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workbookPr showInkAnnotation="0" codeName="ThisWorkbook" defaultThemeVersion="124226"/>
  <mc:AlternateContent xmlns:mc="http://schemas.openxmlformats.org/markup-compatibility/2006">
    <mc:Choice Requires="x15">
      <x15ac:absPath xmlns:x15ac="http://schemas.microsoft.com/office/spreadsheetml/2010/11/ac" url="C:\Users\thewi\Desktop\Ventures\NexusPoint\GovCon\"/>
    </mc:Choice>
  </mc:AlternateContent>
  <xr:revisionPtr revIDLastSave="0" documentId="13_ncr:1_{78B3FB0B-F981-4548-B9A6-9539102926DD}" xr6:coauthVersionLast="47" xr6:coauthVersionMax="47" xr10:uidLastSave="{00000000-0000-0000-0000-000000000000}"/>
  <bookViews>
    <workbookView xWindow="1140" yWindow="740" windowWidth="24650" windowHeight="20860" tabRatio="868" xr2:uid="{00000000-000D-0000-FFFF-FFFF00000000}"/>
  </bookViews>
  <sheets>
    <sheet name="INPUT" sheetId="1" r:id="rId1"/>
    <sheet name="Project Mgmt Hours" sheetId="43" r:id="rId2"/>
    <sheet name="Previously Awarded" sheetId="39" r:id="rId3"/>
    <sheet name="Data" sheetId="35" state="hidden" r:id="rId4"/>
    <sheet name="Previously Awarded Warranty" sheetId="47" state="hidden" r:id="rId5"/>
    <sheet name="Labor (NGEN)" sheetId="29" r:id="rId6"/>
    <sheet name="Wall Plugs" sheetId="46" r:id="rId7"/>
    <sheet name="ISP-OSP" sheetId="41" r:id="rId8"/>
    <sheet name="Facilities" sheetId="40" r:id="rId9"/>
    <sheet name="Misc Materials" sheetId="44" r:id="rId10"/>
    <sheet name="HW" sheetId="38" r:id="rId11"/>
    <sheet name="HW Installation" sheetId="42" r:id="rId12"/>
    <sheet name="HW Uninstalls" sheetId="45" r:id="rId13"/>
    <sheet name="Change History" sheetId="7" r:id="rId14"/>
  </sheets>
  <definedNames>
    <definedName name="__123Graph_A" localSheetId="11" hidden="1">#REF!</definedName>
    <definedName name="__123Graph_A" localSheetId="12" hidden="1">#REF!</definedName>
    <definedName name="__123Graph_A" localSheetId="7" hidden="1">#REF!</definedName>
    <definedName name="__123Graph_A" localSheetId="9" hidden="1">#REF!</definedName>
    <definedName name="__123Graph_A" localSheetId="4" hidden="1">#REF!</definedName>
    <definedName name="__123Graph_A" localSheetId="1" hidden="1">#REF!</definedName>
    <definedName name="__123Graph_A" localSheetId="6" hidden="1">#REF!</definedName>
    <definedName name="__123Graph_A" hidden="1">#REF!</definedName>
    <definedName name="__123Graph_B" localSheetId="11" hidden="1">#REF!</definedName>
    <definedName name="__123Graph_B" localSheetId="12" hidden="1">#REF!</definedName>
    <definedName name="__123Graph_B" localSheetId="7" hidden="1">#REF!</definedName>
    <definedName name="__123Graph_B" localSheetId="9" hidden="1">#REF!</definedName>
    <definedName name="__123Graph_B" localSheetId="4" hidden="1">#REF!</definedName>
    <definedName name="__123Graph_B" localSheetId="1" hidden="1">#REF!</definedName>
    <definedName name="__123Graph_B" localSheetId="6" hidden="1">#REF!</definedName>
    <definedName name="__123Graph_B" hidden="1">#REF!</definedName>
    <definedName name="__123Graph_E" localSheetId="11" hidden="1">#REF!</definedName>
    <definedName name="__123Graph_E" localSheetId="12" hidden="1">#REF!</definedName>
    <definedName name="__123Graph_E" localSheetId="7" hidden="1">#REF!</definedName>
    <definedName name="__123Graph_E" localSheetId="9" hidden="1">#REF!</definedName>
    <definedName name="__123Graph_E" localSheetId="4" hidden="1">#REF!</definedName>
    <definedName name="__123Graph_E" localSheetId="1" hidden="1">#REF!</definedName>
    <definedName name="__123Graph_E" localSheetId="6" hidden="1">#REF!</definedName>
    <definedName name="__123Graph_E" hidden="1">#REF!</definedName>
    <definedName name="__123Graph_EReport" localSheetId="11" hidden="1">#REF!</definedName>
    <definedName name="__123Graph_EReport" localSheetId="12" hidden="1">#REF!</definedName>
    <definedName name="__123Graph_EReport" localSheetId="7" hidden="1">#REF!</definedName>
    <definedName name="__123Graph_EReport" localSheetId="9" hidden="1">#REF!</definedName>
    <definedName name="__123Graph_EReport" localSheetId="4" hidden="1">#REF!</definedName>
    <definedName name="__123Graph_EReport" localSheetId="1" hidden="1">#REF!</definedName>
    <definedName name="__123Graph_EReport" localSheetId="6" hidden="1">#REF!</definedName>
    <definedName name="__123Graph_EReport" hidden="1">#REF!</definedName>
    <definedName name="__123Graph_F" localSheetId="11" hidden="1">#REF!</definedName>
    <definedName name="__123Graph_F" localSheetId="12" hidden="1">#REF!</definedName>
    <definedName name="__123Graph_F" localSheetId="7" hidden="1">#REF!</definedName>
    <definedName name="__123Graph_F" localSheetId="9" hidden="1">#REF!</definedName>
    <definedName name="__123Graph_F" localSheetId="4" hidden="1">#REF!</definedName>
    <definedName name="__123Graph_F" localSheetId="1" hidden="1">#REF!</definedName>
    <definedName name="__123Graph_F" localSheetId="6" hidden="1">#REF!</definedName>
    <definedName name="__123Graph_F" hidden="1">#REF!</definedName>
    <definedName name="__123Graph_FReport" localSheetId="11" hidden="1">#REF!</definedName>
    <definedName name="__123Graph_FReport" localSheetId="12" hidden="1">#REF!</definedName>
    <definedName name="__123Graph_FReport" localSheetId="7" hidden="1">#REF!</definedName>
    <definedName name="__123Graph_FReport" localSheetId="9" hidden="1">#REF!</definedName>
    <definedName name="__123Graph_FReport" localSheetId="4" hidden="1">#REF!</definedName>
    <definedName name="__123Graph_FReport" localSheetId="1" hidden="1">#REF!</definedName>
    <definedName name="__123Graph_FReport" localSheetId="6" hidden="1">#REF!</definedName>
    <definedName name="__123Graph_FReport" hidden="1">#REF!</definedName>
    <definedName name="__123Graph_X" localSheetId="11" hidden="1">#REF!</definedName>
    <definedName name="__123Graph_X" localSheetId="12" hidden="1">#REF!</definedName>
    <definedName name="__123Graph_X" localSheetId="7" hidden="1">#REF!</definedName>
    <definedName name="__123Graph_X" localSheetId="9" hidden="1">#REF!</definedName>
    <definedName name="__123Graph_X" localSheetId="4" hidden="1">#REF!</definedName>
    <definedName name="__123Graph_X" localSheetId="1" hidden="1">#REF!</definedName>
    <definedName name="__123Graph_X" localSheetId="6" hidden="1">#REF!</definedName>
    <definedName name="__123Graph_X" hidden="1">#REF!</definedName>
    <definedName name="_4S" localSheetId="11" hidden="1">#REF!</definedName>
    <definedName name="_4S" localSheetId="12" hidden="1">#REF!</definedName>
    <definedName name="_4S" localSheetId="7" hidden="1">#REF!</definedName>
    <definedName name="_4S" localSheetId="9" hidden="1">#REF!</definedName>
    <definedName name="_4S" localSheetId="4" hidden="1">#REF!</definedName>
    <definedName name="_4S" localSheetId="1" hidden="1">#REF!</definedName>
    <definedName name="_4S" localSheetId="6" hidden="1">#REF!</definedName>
    <definedName name="_4S" hidden="1">#REF!</definedName>
    <definedName name="_7_0_S" localSheetId="11" hidden="1">#REF!</definedName>
    <definedName name="_7_0_S" localSheetId="12" hidden="1">#REF!</definedName>
    <definedName name="_7_0_S" localSheetId="7" hidden="1">#REF!</definedName>
    <definedName name="_7_0_S" localSheetId="9" hidden="1">#REF!</definedName>
    <definedName name="_7_0_S" localSheetId="4" hidden="1">#REF!</definedName>
    <definedName name="_7_0_S" localSheetId="1" hidden="1">#REF!</definedName>
    <definedName name="_7_0_S" localSheetId="6" hidden="1">#REF!</definedName>
    <definedName name="_7_0_S" hidden="1">#REF!</definedName>
    <definedName name="_Fill" localSheetId="11" hidden="1">#REF!</definedName>
    <definedName name="_Fill" localSheetId="12" hidden="1">#REF!</definedName>
    <definedName name="_Fill" localSheetId="7" hidden="1">#REF!</definedName>
    <definedName name="_Fill" localSheetId="9" hidden="1">#REF!</definedName>
    <definedName name="_Fill" localSheetId="4" hidden="1">#REF!</definedName>
    <definedName name="_Fill" localSheetId="1" hidden="1">#REF!</definedName>
    <definedName name="_Fill" localSheetId="6" hidden="1">#REF!</definedName>
    <definedName name="_Fill" hidden="1">#REF!</definedName>
    <definedName name="_xlnm._FilterDatabase" localSheetId="3" hidden="1">Data!#REF!</definedName>
    <definedName name="_xlnm._FilterDatabase" localSheetId="10" hidden="1">HW!$B$1:$C$318</definedName>
    <definedName name="_xlnm._FilterDatabase" localSheetId="11" hidden="1">'HW Installation'!$B$1:$C$158</definedName>
    <definedName name="_xlnm._FilterDatabase" localSheetId="12" hidden="1">'HW Uninstalls'!$B$1:$B$9</definedName>
    <definedName name="_xlnm._FilterDatabase" localSheetId="0" hidden="1">INPUT!$AM$624:$AN$635</definedName>
    <definedName name="_xlnm._FilterDatabase" localSheetId="9" hidden="1">'Misc Materials'!$C$1:$C$408</definedName>
    <definedName name="_Key1" localSheetId="11" hidden="1">#REF!</definedName>
    <definedName name="_Key1" localSheetId="12" hidden="1">#REF!</definedName>
    <definedName name="_Key1" localSheetId="7" hidden="1">#REF!</definedName>
    <definedName name="_Key1" localSheetId="9" hidden="1">#REF!</definedName>
    <definedName name="_Key1" localSheetId="4" hidden="1">#REF!</definedName>
    <definedName name="_Key1" localSheetId="1" hidden="1">#REF!</definedName>
    <definedName name="_Key1" localSheetId="6" hidden="1">#REF!</definedName>
    <definedName name="_Key1" hidden="1">#REF!</definedName>
    <definedName name="_Order1" hidden="1">255</definedName>
    <definedName name="_Order2" hidden="1">255</definedName>
    <definedName name="_Parse_In" localSheetId="11" hidden="1">#REF!</definedName>
    <definedName name="_Parse_In" localSheetId="12" hidden="1">#REF!</definedName>
    <definedName name="_Parse_In" localSheetId="7" hidden="1">#REF!</definedName>
    <definedName name="_Parse_In" localSheetId="9" hidden="1">#REF!</definedName>
    <definedName name="_Parse_In" localSheetId="4" hidden="1">#REF!</definedName>
    <definedName name="_Parse_In" localSheetId="1" hidden="1">#REF!</definedName>
    <definedName name="_Parse_In" localSheetId="6" hidden="1">#REF!</definedName>
    <definedName name="_Parse_In" hidden="1">#REF!</definedName>
    <definedName name="_Parse_Out" localSheetId="11" hidden="1">#REF!</definedName>
    <definedName name="_Parse_Out" localSheetId="12" hidden="1">#REF!</definedName>
    <definedName name="_Parse_Out" localSheetId="7" hidden="1">#REF!</definedName>
    <definedName name="_Parse_Out" localSheetId="9" hidden="1">#REF!</definedName>
    <definedName name="_Parse_Out" localSheetId="4" hidden="1">#REF!</definedName>
    <definedName name="_Parse_Out" localSheetId="1" hidden="1">#REF!</definedName>
    <definedName name="_Parse_Out" localSheetId="6" hidden="1">#REF!</definedName>
    <definedName name="_Parse_Out" hidden="1">#REF!</definedName>
    <definedName name="_Sort" localSheetId="11" hidden="1">#REF!</definedName>
    <definedName name="_Sort" localSheetId="12" hidden="1">#REF!</definedName>
    <definedName name="_Sort" localSheetId="7" hidden="1">#REF!</definedName>
    <definedName name="_Sort" localSheetId="9" hidden="1">#REF!</definedName>
    <definedName name="_Sort" localSheetId="4" hidden="1">#REF!</definedName>
    <definedName name="_Sort" localSheetId="1" hidden="1">#REF!</definedName>
    <definedName name="_Sort" localSheetId="6" hidden="1">#REF!</definedName>
    <definedName name="_Sort" hidden="1">#REF!</definedName>
    <definedName name="aaaa" localSheetId="7" hidden="1">{"'Vietnam'!$E$21:$W$45","'Vietnam'!$E$21:$W$45"}</definedName>
    <definedName name="aaaa" localSheetId="1" hidden="1">{"'Vietnam'!$E$21:$W$45","'Vietnam'!$E$21:$W$45"}</definedName>
    <definedName name="aaaa" localSheetId="6" hidden="1">{"'Vietnam'!$E$21:$W$45","'Vietnam'!$E$21:$W$45"}</definedName>
    <definedName name="aaaa" hidden="1">{"'Vietnam'!$E$21:$W$45","'Vietnam'!$E$21:$W$45"}</definedName>
    <definedName name="aaaaa" hidden="1">{"'Vietnam'!$E$21:$W$45","'Vietnam'!$E$21:$W$45"}</definedName>
    <definedName name="Access_Button" hidden="1">"FIGBUS_FIGBUS_List"</definedName>
    <definedName name="AccessDatabase" hidden="1">"W:\WPFILES\GB759\EXCEL\FIGBUS.mdb"</definedName>
    <definedName name="ALLcats">INPUT!$B$38:$V$581</definedName>
    <definedName name="BAN_LAN_Price">Data!$P$5:$S$321</definedName>
    <definedName name="BANnoNpriced">INPUT!$B$515:$V$550</definedName>
    <definedName name="BANprevpriced">INPUT!$B$493:$V$513</definedName>
    <definedName name="BANpriced">INPUT!$B$362:$V$491</definedName>
    <definedName name="bbbb" localSheetId="7" hidden="1">{"'Vietnam'!$E$21:$W$45","'Vietnam'!$E$21:$W$45"}</definedName>
    <definedName name="bbbb" localSheetId="1" hidden="1">{"'Vietnam'!$E$21:$W$45","'Vietnam'!$E$21:$W$45"}</definedName>
    <definedName name="bbbb" localSheetId="6" hidden="1">{"'Vietnam'!$E$21:$W$45","'Vietnam'!$E$21:$W$45"}</definedName>
    <definedName name="bbbb" hidden="1">{"'Vietnam'!$E$21:$W$45","'Vietnam'!$E$21:$W$45"}</definedName>
    <definedName name="CABnoNpriced">INPUT!$B$157:$V$207</definedName>
    <definedName name="CABpriced">INPUT!$B$146:$V$156</definedName>
    <definedName name="CBRE">INPUT!$B$47:$V$51</definedName>
    <definedName name="cccc" localSheetId="7" hidden="1">{"'Vietnam'!$E$21:$W$45","'Vietnam'!$E$21:$W$45"}</definedName>
    <definedName name="cccc" localSheetId="1" hidden="1">{"'Vietnam'!$E$21:$W$45","'Vietnam'!$E$21:$W$45"}</definedName>
    <definedName name="cccc" localSheetId="6" hidden="1">{"'Vietnam'!$E$21:$W$45","'Vietnam'!$E$21:$W$45"}</definedName>
    <definedName name="cccc" hidden="1">{"'Vietnam'!$E$21:$W$45","'Vietnam'!$E$21:$W$45"}</definedName>
    <definedName name="Clin5000Rates">Data!$H$5:$M$117</definedName>
    <definedName name="eeee" localSheetId="7" hidden="1">{"'Vietnam'!$E$21:$W$45","'Vietnam'!$E$21:$W$45"}</definedName>
    <definedName name="eeee" localSheetId="1" hidden="1">{"'Vietnam'!$E$21:$W$45","'Vietnam'!$E$21:$W$45"}</definedName>
    <definedName name="eeee" localSheetId="6" hidden="1">{"'Vietnam'!$E$21:$W$45","'Vietnam'!$E$21:$W$45"}</definedName>
    <definedName name="eeee" hidden="1">{"'Vietnam'!$E$21:$W$45","'Vietnam'!$E$21:$W$45"}</definedName>
    <definedName name="Facilities_Tasks">Data!$E$111:$E$140</definedName>
    <definedName name="Facilities_Tasks_Price">Data!$E$112:$F$141</definedName>
    <definedName name="FiscalYear">Data!$A$5:$A$10</definedName>
    <definedName name="FiscalYearTable">Data!$A$5:$B$10</definedName>
    <definedName name="gggg" localSheetId="7" hidden="1">{"'Vietnam'!$E$21:$W$45","'Vietnam'!$E$21:$W$45"}</definedName>
    <definedName name="gggg" localSheetId="1" hidden="1">{"'Vietnam'!$E$21:$W$45","'Vietnam'!$E$21:$W$45"}</definedName>
    <definedName name="gggg" localSheetId="6" hidden="1">{"'Vietnam'!$E$21:$W$45","'Vietnam'!$E$21:$W$45"}</definedName>
    <definedName name="gggg" hidden="1">{"'Vietnam'!$E$21:$W$45","'Vietnam'!$E$21:$W$45"}</definedName>
    <definedName name="GP_Reuse">Data!$A$14:$A$16</definedName>
    <definedName name="Hardware_Only">Data!$A$21:$A$22</definedName>
    <definedName name="hhhh" localSheetId="7" hidden="1">{"'Vietnam'!$E$21:$W$45","'Vietnam'!$E$21:$W$45"}</definedName>
    <definedName name="hhhh" localSheetId="1" hidden="1">{"'Vietnam'!$E$21:$W$45","'Vietnam'!$E$21:$W$45"}</definedName>
    <definedName name="hhhh" localSheetId="6" hidden="1">{"'Vietnam'!$E$21:$W$45","'Vietnam'!$E$21:$W$45"}</definedName>
    <definedName name="hhhh" hidden="1">{"'Vietnam'!$E$21:$W$45","'Vietnam'!$E$21:$W$45"}</definedName>
    <definedName name="HTML_CodePage" hidden="1">1252</definedName>
    <definedName name="HTML_Control" localSheetId="7" hidden="1">{"'Vietnam'!$E$21:$W$45","'Vietnam'!$E$21:$W$45"}</definedName>
    <definedName name="HTML_Control" localSheetId="1" hidden="1">{"'Vietnam'!$E$21:$W$45","'Vietnam'!$E$21:$W$45"}</definedName>
    <definedName name="HTML_Control" localSheetId="6" hidden="1">{"'Vietnam'!$E$21:$W$45","'Vietnam'!$E$21:$W$45"}</definedName>
    <definedName name="HTML_Control" hidden="1">{"'Vietnam'!$E$21:$W$45","'Vietnam'!$E$21:$W$45"}</definedName>
    <definedName name="HTML_Control1" localSheetId="7" hidden="1">{"'Vietnam'!$E$21:$W$45","'Vietnam'!$E$21:$W$45"}</definedName>
    <definedName name="HTML_Control1" localSheetId="1" hidden="1">{"'Vietnam'!$E$21:$W$45","'Vietnam'!$E$21:$W$45"}</definedName>
    <definedName name="HTML_Control1" localSheetId="6" hidden="1">{"'Vietnam'!$E$21:$W$45","'Vietnam'!$E$21:$W$45"}</definedName>
    <definedName name="HTML_Control1" hidden="1">{"'Vietnam'!$E$21:$W$45","'Vietnam'!$E$21:$W$45"}</definedName>
    <definedName name="HTML_Control2" localSheetId="7" hidden="1">{"'Vietnam'!$E$21:$W$45","'Vietnam'!$E$21:$W$45"}</definedName>
    <definedName name="HTML_Control2" localSheetId="1" hidden="1">{"'Vietnam'!$E$21:$W$45","'Vietnam'!$E$21:$W$45"}</definedName>
    <definedName name="HTML_Control2" localSheetId="6" hidden="1">{"'Vietnam'!$E$21:$W$45","'Vietnam'!$E$21:$W$45"}</definedName>
    <definedName name="HTML_Control2" hidden="1">{"'Vietnam'!$E$21:$W$45","'Vietnam'!$E$21:$W$45"}</definedName>
    <definedName name="HTML_Control3" localSheetId="7" hidden="1">{"'Vietnam'!$E$21:$W$45","'Vietnam'!$E$21:$W$45"}</definedName>
    <definedName name="HTML_Control3" localSheetId="1" hidden="1">{"'Vietnam'!$E$21:$W$45","'Vietnam'!$E$21:$W$45"}</definedName>
    <definedName name="HTML_Control3" localSheetId="6" hidden="1">{"'Vietnam'!$E$21:$W$45","'Vietnam'!$E$21:$W$45"}</definedName>
    <definedName name="HTML_Control3" hidden="1">{"'Vietnam'!$E$21:$W$45","'Vietnam'!$E$21:$W$45"}</definedName>
    <definedName name="HTML_COntrol4" localSheetId="7" hidden="1">{"'Vietnam'!$E$21:$W$45","'Vietnam'!$E$21:$W$45"}</definedName>
    <definedName name="HTML_COntrol4" localSheetId="1" hidden="1">{"'Vietnam'!$E$21:$W$45","'Vietnam'!$E$21:$W$45"}</definedName>
    <definedName name="HTML_COntrol4" localSheetId="6" hidden="1">{"'Vietnam'!$E$21:$W$45","'Vietnam'!$E$21:$W$45"}</definedName>
    <definedName name="HTML_COntrol4" hidden="1">{"'Vietnam'!$E$21:$W$45","'Vietnam'!$E$21:$W$45"}</definedName>
    <definedName name="HTML_Control5" localSheetId="7" hidden="1">{"'Vietnam'!$E$21:$W$45","'Vietnam'!$E$21:$W$45"}</definedName>
    <definedName name="HTML_Control5" localSheetId="1" hidden="1">{"'Vietnam'!$E$21:$W$45","'Vietnam'!$E$21:$W$45"}</definedName>
    <definedName name="HTML_Control5" localSheetId="6" hidden="1">{"'Vietnam'!$E$21:$W$45","'Vietnam'!$E$21:$W$45"}</definedName>
    <definedName name="HTML_Control5" hidden="1">{"'Vietnam'!$E$21:$W$45","'Vietnam'!$E$21:$W$45"}</definedName>
    <definedName name="HTML_Description" hidden="1">""</definedName>
    <definedName name="HTML_Email" hidden="1">""</definedName>
    <definedName name="HTML_Header" hidden="1">"Vietnam"</definedName>
    <definedName name="HTML_LastUpdate" hidden="1">"5/15/00"</definedName>
    <definedName name="HTML_LineAfter" hidden="1">FALSE</definedName>
    <definedName name="HTML_LineBefore" hidden="1">FALSE</definedName>
    <definedName name="HTML_Name" hidden="1">"Unisys"</definedName>
    <definedName name="HTML_OBDlg2" hidden="1">TRUE</definedName>
    <definedName name="HTML_OBDlg4" hidden="1">TRUE</definedName>
    <definedName name="HTML_OS" hidden="1">0</definedName>
    <definedName name="HTML_Title" hidden="1">"Collaboration_Checklist_V2"</definedName>
    <definedName name="HTML1_10" hidden="1">""</definedName>
    <definedName name="HTML1_11" hidden="1">1</definedName>
    <definedName name="HTML1_2" hidden="1">1</definedName>
    <definedName name="HTML1_3" hidden="1">"AN$"</definedName>
    <definedName name="HTML1_4" hidden="1">"LAN Inst"</definedName>
    <definedName name="HTML1_5" hidden="1">""</definedName>
    <definedName name="HTML1_6" hidden="1">-4146</definedName>
    <definedName name="HTML1_7" hidden="1">-4146</definedName>
    <definedName name="HTML1_8" hidden="1">"7/31/96"</definedName>
    <definedName name="HTML1_9" hidden="1">"Jonathan Schembor/Andersen Con."</definedName>
    <definedName name="HTML2_10" hidden="1">""</definedName>
    <definedName name="HTML2_11" hidden="1">1</definedName>
    <definedName name="HTML2_2" hidden="1">1</definedName>
    <definedName name="HTML2_3" hidden="1">"AN$"</definedName>
    <definedName name="HTML2_4" hidden="1">"50 Node"</definedName>
    <definedName name="HTML2_5" hidden="1">""</definedName>
    <definedName name="HTML2_6" hidden="1">-4146</definedName>
    <definedName name="HTML2_7" hidden="1">-4146</definedName>
    <definedName name="HTML2_8" hidden="1">"7/31/96"</definedName>
    <definedName name="HTML2_9" hidden="1">"Jonathan Schembor/Andersen Con."</definedName>
    <definedName name="HTML3_10" hidden="1">""</definedName>
    <definedName name="HTML3_11" hidden="1">1</definedName>
    <definedName name="HTML3_2" hidden="1">1</definedName>
    <definedName name="HTML3_3" hidden="1">"AN$"</definedName>
    <definedName name="HTML3_4" hidden="1">"Maint"</definedName>
    <definedName name="HTML3_5" hidden="1">""</definedName>
    <definedName name="HTML3_6" hidden="1">-4146</definedName>
    <definedName name="HTML3_7" hidden="1">-4146</definedName>
    <definedName name="HTML3_8" hidden="1">"7/31/96"</definedName>
    <definedName name="HTML3_9" hidden="1">"Jonathan Schembor/Andersen Con."</definedName>
    <definedName name="HTML4_10" hidden="1">""</definedName>
    <definedName name="HTML4_11" hidden="1">1</definedName>
    <definedName name="HTML4_2" hidden="1">1</definedName>
    <definedName name="HTML4_3" hidden="1">"AN$"</definedName>
    <definedName name="HTML4_4" hidden="1">"Support"</definedName>
    <definedName name="HTML4_5" hidden="1">""</definedName>
    <definedName name="HTML4_6" hidden="1">-4146</definedName>
    <definedName name="HTML4_7" hidden="1">-4146</definedName>
    <definedName name="HTML4_8" hidden="1">"7/31/96"</definedName>
    <definedName name="HTML4_9" hidden="1">"Jonathan Schembor/Andersen Con."</definedName>
    <definedName name="HTML5_10" hidden="1">""</definedName>
    <definedName name="HTML5_11" hidden="1">1</definedName>
    <definedName name="HTML5_2" hidden="1">1</definedName>
    <definedName name="HTML5_3" hidden="1">"AN$"</definedName>
    <definedName name="HTML5_4" hidden="1">"1st Pass"</definedName>
    <definedName name="HTML5_5" hidden="1">""</definedName>
    <definedName name="HTML5_6" hidden="1">-4146</definedName>
    <definedName name="HTML5_7" hidden="1">-4146</definedName>
    <definedName name="HTML5_8" hidden="1">"7/31/96"</definedName>
    <definedName name="HTML5_9" hidden="1">"Jonathan Schembor/Andersen Con."</definedName>
    <definedName name="HTMLCount" hidden="1">5</definedName>
    <definedName name="HW_Desc_Model">Data!$P$4:$Q$321</definedName>
    <definedName name="HW_Desc_Model_Price">Data!$P$4:$R$321</definedName>
    <definedName name="HW_Description">Data!$P$4:$P$321</definedName>
    <definedName name="HWMnonPriced" localSheetId="0">INPUT!#REF!</definedName>
    <definedName name="HWMprevPriced">INPUT!#REF!</definedName>
    <definedName name="HWnoNpriced">INPUT!$B$319:$V$359</definedName>
    <definedName name="HWprevpriced">INPUT!$B$297:$V$317</definedName>
    <definedName name="HWpriced">INPUT!$B$263:$V$295</definedName>
    <definedName name="iiii" localSheetId="7" hidden="1">{"'Vietnam'!$E$21:$W$45","'Vietnam'!$E$21:$W$45"}</definedName>
    <definedName name="iiii" localSheetId="1" hidden="1">{"'Vietnam'!$E$21:$W$45","'Vietnam'!$E$21:$W$45"}</definedName>
    <definedName name="iiii" localSheetId="6" hidden="1">{"'Vietnam'!$E$21:$W$45","'Vietnam'!$E$21:$W$45"}</definedName>
    <definedName name="iiii" hidden="1">{"'Vietnam'!$E$21:$W$45","'Vietnam'!$E$21:$W$45"}</definedName>
    <definedName name="InstallOnlySuffix">" - INSTALLATION ONLY - NOT ORDERABLE"</definedName>
    <definedName name="ISP_OSP_Price">Data!$E$4:$F$108</definedName>
    <definedName name="ISP_OSP_Tasks">Data!$E$4:$E$107</definedName>
    <definedName name="ISP_OSP_Tasks_Price">Data!$E$4:$F$108</definedName>
    <definedName name="ISPnoNpriced">INPUT!$B$92:$V$142</definedName>
    <definedName name="ISPpriced">INPUT!$B$76:$V$91</definedName>
    <definedName name="ISPtbd">INPUT!$U$93:$U$142</definedName>
    <definedName name="JobTitle">Data!$H$4:$H$117</definedName>
    <definedName name="LABOR">INPUT!$B$62:$V$72</definedName>
    <definedName name="Misc_Mrtls">Data!$W$4:$W$410</definedName>
    <definedName name="Misc_Mrtls_Price">Data!$W$4:$X$410</definedName>
    <definedName name="MMPriced">INPUT!$B$210:$V$260</definedName>
    <definedName name="ODCnoNpriced">INPUT!$B$576:$V$581</definedName>
    <definedName name="Order2" hidden="1">255</definedName>
    <definedName name="PAHW_Desc_Install_Price">'Previously Awarded'!$A$2:$F$92</definedName>
    <definedName name="PAHW_Desc_Model">'Previously Awarded'!$A$2:$B$92</definedName>
    <definedName name="PAHW_Desc_Prev_RAP">'Previously Awarded'!$A$2:$D$92</definedName>
    <definedName name="PAHW_Desc_Price">'Previously Awarded'!$A$2:$E$92</definedName>
    <definedName name="PAHW_Desc_Vendor">'Previously Awarded'!$A$2:$C$92</definedName>
    <definedName name="PAHW_Description">'Previously Awarded'!$A$2:$A$92</definedName>
    <definedName name="PAHWM_Desc_Model">'Previously Awarded Warranty'!$A$2:$B$92</definedName>
    <definedName name="PAHWM_Desc_Prev_RAP">'Previously Awarded Warranty'!$A$2:$D$92</definedName>
    <definedName name="PAHWM_Desc_Price">'Previously Awarded Warranty'!$A$2:$E$92</definedName>
    <definedName name="PAHWM_Desc_Vendor">'Previously Awarded Warranty'!$A$2:$C$92</definedName>
    <definedName name="PAHWM_Description">'Previously Awarded Warranty'!$A$2:$A$92</definedName>
    <definedName name="_xlnm.Print_Area" localSheetId="0">INPUT!$A$1:$W$581</definedName>
    <definedName name="_xlnm.Print_Titles" localSheetId="8">Facilities!$1:$3</definedName>
    <definedName name="_xlnm.Print_Titles" localSheetId="7">'ISP-OSP'!$1:$3</definedName>
    <definedName name="_xlnm.Print_Titles" localSheetId="5">'Labor (NGEN)'!$1:$2</definedName>
    <definedName name="UNINpriced">INPUT!$B$553:$V$573</definedName>
    <definedName name="Uninstall_Category">Data!$Z$4:$Z$12</definedName>
    <definedName name="Uninstall_Pricing">Data!$Z$5:$AD$12</definedName>
    <definedName name="Uninstall_Scenario">Data!$Z$15:$Z$20</definedName>
    <definedName name="Uninstall_Scenario_Table">Data!$Z$16:$AA$20</definedName>
    <definedName name="WallPlug">INPUT!$B$38:$V$45</definedName>
  </definedNames>
  <calcPr calcId="191029"/>
</workbook>
</file>

<file path=xl/calcChain.xml><?xml version="1.0" encoding="utf-8"?>
<calcChain xmlns="http://schemas.openxmlformats.org/spreadsheetml/2006/main">
  <c r="D104" i="42" l="1"/>
  <c r="D105" i="42"/>
  <c r="D106" i="42"/>
  <c r="D107" i="42"/>
  <c r="D108" i="42"/>
  <c r="D109" i="42"/>
  <c r="D110" i="42"/>
  <c r="D111" i="42"/>
  <c r="D112" i="42"/>
  <c r="D113" i="42"/>
  <c r="D114" i="42"/>
  <c r="D115" i="42"/>
  <c r="D116" i="42"/>
  <c r="D117" i="42"/>
  <c r="D118" i="42"/>
  <c r="D119" i="42"/>
  <c r="D120" i="42"/>
  <c r="C104" i="42"/>
  <c r="C105" i="42"/>
  <c r="C106" i="42"/>
  <c r="C107" i="42"/>
  <c r="C108" i="42"/>
  <c r="C109" i="42"/>
  <c r="C110" i="42"/>
  <c r="C111" i="42"/>
  <c r="C112" i="42"/>
  <c r="C113" i="42"/>
  <c r="C114" i="42"/>
  <c r="C115" i="42"/>
  <c r="C116" i="42"/>
  <c r="C117" i="42"/>
  <c r="C118" i="42"/>
  <c r="C119" i="42"/>
  <c r="C120" i="42"/>
  <c r="B104" i="42"/>
  <c r="B105" i="42"/>
  <c r="B106" i="42"/>
  <c r="B107" i="42"/>
  <c r="B108" i="42"/>
  <c r="B109" i="42"/>
  <c r="B110" i="42"/>
  <c r="B111" i="42"/>
  <c r="B112" i="42"/>
  <c r="B113" i="42"/>
  <c r="B114" i="42"/>
  <c r="B115" i="42"/>
  <c r="B116" i="42"/>
  <c r="B117" i="42"/>
  <c r="B118" i="42"/>
  <c r="B119" i="42"/>
  <c r="B120" i="42"/>
  <c r="D113" i="38"/>
  <c r="D114" i="38"/>
  <c r="D115" i="38"/>
  <c r="D116" i="38"/>
  <c r="D117" i="38"/>
  <c r="D118" i="38"/>
  <c r="D119" i="38"/>
  <c r="C113" i="38"/>
  <c r="C114" i="38"/>
  <c r="C115" i="38"/>
  <c r="C116" i="38"/>
  <c r="C117" i="38"/>
  <c r="C118" i="38"/>
  <c r="C119" i="38"/>
  <c r="B113" i="38"/>
  <c r="B114" i="38"/>
  <c r="B115" i="38"/>
  <c r="B116" i="38"/>
  <c r="B117" i="38"/>
  <c r="B118" i="38"/>
  <c r="B119" i="38"/>
  <c r="S552" i="1" l="1"/>
  <c r="U554" i="1"/>
  <c r="U555" i="1"/>
  <c r="U556" i="1"/>
  <c r="U557" i="1"/>
  <c r="U558" i="1"/>
  <c r="U559" i="1"/>
  <c r="U560" i="1"/>
  <c r="U561" i="1"/>
  <c r="U562" i="1"/>
  <c r="U563" i="1"/>
  <c r="U564" i="1"/>
  <c r="U565" i="1"/>
  <c r="U566" i="1"/>
  <c r="U567" i="1"/>
  <c r="U568" i="1"/>
  <c r="U569" i="1"/>
  <c r="U570" i="1"/>
  <c r="U571" i="1"/>
  <c r="U572" i="1"/>
  <c r="U573" i="1"/>
  <c r="U552" i="1" l="1"/>
  <c r="D7" i="38"/>
  <c r="C7" i="38"/>
  <c r="B7" i="38"/>
  <c r="P455" i="1" l="1"/>
  <c r="P456" i="1"/>
  <c r="P457" i="1"/>
  <c r="P458" i="1"/>
  <c r="P459" i="1"/>
  <c r="P460" i="1"/>
  <c r="P461" i="1"/>
  <c r="P462" i="1"/>
  <c r="P463" i="1"/>
  <c r="P464" i="1"/>
  <c r="P465" i="1"/>
  <c r="C455" i="1"/>
  <c r="C456" i="1"/>
  <c r="C457" i="1"/>
  <c r="C458" i="1"/>
  <c r="C459" i="1"/>
  <c r="C460" i="1"/>
  <c r="C461" i="1"/>
  <c r="C462" i="1"/>
  <c r="C463" i="1"/>
  <c r="C464" i="1"/>
  <c r="C465" i="1"/>
  <c r="P454" i="1"/>
  <c r="C454" i="1"/>
  <c r="D122" i="42"/>
  <c r="D123" i="42"/>
  <c r="D124" i="42"/>
  <c r="D125" i="42"/>
  <c r="D126" i="42"/>
  <c r="D127" i="42"/>
  <c r="D128" i="42"/>
  <c r="D129" i="42"/>
  <c r="D130" i="42"/>
  <c r="D131" i="42"/>
  <c r="D132" i="42"/>
  <c r="D133" i="42"/>
  <c r="C122" i="42"/>
  <c r="C123" i="42"/>
  <c r="C124" i="42"/>
  <c r="C125" i="42"/>
  <c r="C126" i="42"/>
  <c r="C127" i="42"/>
  <c r="C128" i="42"/>
  <c r="C129" i="42"/>
  <c r="C130" i="42"/>
  <c r="C131" i="42"/>
  <c r="C132" i="42"/>
  <c r="C133" i="42"/>
  <c r="B122" i="42"/>
  <c r="B123" i="42"/>
  <c r="B124" i="42"/>
  <c r="B125" i="42"/>
  <c r="B126" i="42"/>
  <c r="B127" i="42"/>
  <c r="B128" i="42"/>
  <c r="B129" i="42"/>
  <c r="B130" i="42"/>
  <c r="B131" i="42"/>
  <c r="B132" i="42"/>
  <c r="B133" i="42"/>
  <c r="D121" i="42"/>
  <c r="C121" i="42"/>
  <c r="B121" i="42"/>
  <c r="D132" i="38"/>
  <c r="D133" i="38"/>
  <c r="D134" i="38"/>
  <c r="D135" i="38"/>
  <c r="D136" i="38"/>
  <c r="D137" i="38"/>
  <c r="D138" i="38"/>
  <c r="D139" i="38"/>
  <c r="D140" i="38"/>
  <c r="D141" i="38"/>
  <c r="D142" i="38"/>
  <c r="D143" i="38"/>
  <c r="D131" i="38"/>
  <c r="C132" i="38"/>
  <c r="C133" i="38"/>
  <c r="C134" i="38"/>
  <c r="C135" i="38"/>
  <c r="C136" i="38"/>
  <c r="C137" i="38"/>
  <c r="C138" i="38"/>
  <c r="C139" i="38"/>
  <c r="C140" i="38"/>
  <c r="C141" i="38"/>
  <c r="C142" i="38"/>
  <c r="C143" i="38"/>
  <c r="C131" i="38"/>
  <c r="B132" i="38"/>
  <c r="B133" i="38"/>
  <c r="B134" i="38"/>
  <c r="B135" i="38"/>
  <c r="B136" i="38"/>
  <c r="B137" i="38"/>
  <c r="B138" i="38"/>
  <c r="B139" i="38"/>
  <c r="B140" i="38"/>
  <c r="B141" i="38"/>
  <c r="B142" i="38"/>
  <c r="B143" i="38"/>
  <c r="B131" i="38"/>
  <c r="P491" i="1" l="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U45" i="1"/>
  <c r="U44" i="1"/>
  <c r="U43" i="1"/>
  <c r="U42" i="1"/>
  <c r="U41" i="1"/>
  <c r="U40" i="1"/>
  <c r="D134" i="42" l="1"/>
  <c r="D135" i="42"/>
  <c r="D136" i="42"/>
  <c r="D137" i="42"/>
  <c r="D138" i="42"/>
  <c r="D139" i="42"/>
  <c r="D140" i="42"/>
  <c r="D141" i="42"/>
  <c r="D142" i="42"/>
  <c r="D143" i="42"/>
  <c r="D144" i="42"/>
  <c r="D145" i="42"/>
  <c r="D146" i="42"/>
  <c r="D147" i="42"/>
  <c r="D148" i="42"/>
  <c r="D149" i="42"/>
  <c r="D150" i="42"/>
  <c r="D151" i="42"/>
  <c r="D152" i="42"/>
  <c r="C134" i="42"/>
  <c r="C135" i="42"/>
  <c r="C136" i="42"/>
  <c r="C137" i="42"/>
  <c r="C138" i="42"/>
  <c r="C139" i="42"/>
  <c r="C140" i="42"/>
  <c r="C141" i="42"/>
  <c r="C142" i="42"/>
  <c r="C143" i="42"/>
  <c r="C144" i="42"/>
  <c r="C145" i="42"/>
  <c r="C146" i="42"/>
  <c r="C147" i="42"/>
  <c r="C148" i="42"/>
  <c r="C149" i="42"/>
  <c r="C150" i="42"/>
  <c r="C151" i="42"/>
  <c r="C152" i="42"/>
  <c r="B134" i="42"/>
  <c r="B135" i="42"/>
  <c r="B136" i="42"/>
  <c r="B137" i="42"/>
  <c r="B138" i="42"/>
  <c r="B139" i="42"/>
  <c r="B140" i="42"/>
  <c r="B141" i="42"/>
  <c r="B142" i="42"/>
  <c r="B143" i="42"/>
  <c r="B144" i="42"/>
  <c r="B145" i="42"/>
  <c r="B146" i="42"/>
  <c r="B147" i="42"/>
  <c r="B148" i="42"/>
  <c r="B149" i="42"/>
  <c r="B150" i="42"/>
  <c r="B151" i="42"/>
  <c r="B152" i="42"/>
  <c r="D144" i="38"/>
  <c r="D145" i="38"/>
  <c r="D146" i="38"/>
  <c r="D147" i="38"/>
  <c r="D148" i="38"/>
  <c r="D149" i="38"/>
  <c r="D150" i="38"/>
  <c r="D151" i="38"/>
  <c r="D152" i="38"/>
  <c r="D153" i="38"/>
  <c r="D154" i="38"/>
  <c r="D155" i="38"/>
  <c r="D156" i="38"/>
  <c r="D157" i="38"/>
  <c r="D158" i="38"/>
  <c r="D159" i="38"/>
  <c r="D160" i="38"/>
  <c r="D161" i="38"/>
  <c r="D162" i="38"/>
  <c r="D163" i="38"/>
  <c r="D164" i="38"/>
  <c r="D165" i="38"/>
  <c r="D166" i="38"/>
  <c r="D167" i="38"/>
  <c r="D168" i="38"/>
  <c r="D169" i="38"/>
  <c r="D170" i="38"/>
  <c r="D171" i="38"/>
  <c r="C144" i="38"/>
  <c r="C145" i="38"/>
  <c r="C146" i="38"/>
  <c r="C147" i="38"/>
  <c r="C148" i="38"/>
  <c r="C149" i="38"/>
  <c r="C150" i="38"/>
  <c r="C151" i="38"/>
  <c r="C152" i="38"/>
  <c r="C153" i="38"/>
  <c r="C154" i="38"/>
  <c r="C155" i="38"/>
  <c r="C156" i="38"/>
  <c r="C157" i="38"/>
  <c r="C158" i="38"/>
  <c r="C159" i="38"/>
  <c r="C160" i="38"/>
  <c r="C161" i="38"/>
  <c r="C162" i="38"/>
  <c r="C163" i="38"/>
  <c r="C164" i="38"/>
  <c r="C165" i="38"/>
  <c r="C166" i="38"/>
  <c r="C167" i="38"/>
  <c r="C168" i="38"/>
  <c r="C169" i="38"/>
  <c r="C170" i="38"/>
  <c r="C171" i="38"/>
  <c r="B144" i="38"/>
  <c r="B145" i="38"/>
  <c r="B146" i="38"/>
  <c r="B147" i="38"/>
  <c r="B148" i="38"/>
  <c r="B149" i="38"/>
  <c r="B150" i="38"/>
  <c r="B151" i="38"/>
  <c r="B152" i="38"/>
  <c r="B153" i="38"/>
  <c r="B154" i="38"/>
  <c r="B155" i="38"/>
  <c r="B156" i="38"/>
  <c r="B157" i="38"/>
  <c r="B158" i="38"/>
  <c r="B159" i="38"/>
  <c r="B160" i="38"/>
  <c r="B161" i="38"/>
  <c r="B162" i="38"/>
  <c r="B163" i="38"/>
  <c r="B164" i="38"/>
  <c r="B165" i="38"/>
  <c r="B166" i="38"/>
  <c r="B167" i="38"/>
  <c r="B168" i="38"/>
  <c r="B169" i="38"/>
  <c r="B170" i="38"/>
  <c r="B171" i="38"/>
  <c r="B70" i="42"/>
  <c r="B68" i="42"/>
  <c r="B66" i="42"/>
  <c r="B64" i="42"/>
  <c r="B62" i="42"/>
  <c r="B60" i="42"/>
  <c r="B58" i="42"/>
  <c r="B56" i="42"/>
  <c r="B53" i="42"/>
  <c r="B51" i="42"/>
  <c r="B49" i="42"/>
  <c r="B47" i="42"/>
  <c r="B44" i="42"/>
  <c r="B42" i="42"/>
  <c r="B40" i="42"/>
  <c r="B37" i="42"/>
  <c r="B34" i="42"/>
  <c r="B32" i="42"/>
  <c r="B29" i="42"/>
  <c r="B26" i="42"/>
  <c r="B24" i="42"/>
  <c r="B22" i="42"/>
  <c r="B19" i="42"/>
  <c r="B17" i="42"/>
  <c r="B15" i="42"/>
  <c r="B12" i="42"/>
  <c r="B9" i="42"/>
  <c r="B6" i="42"/>
  <c r="D3" i="42"/>
  <c r="D4" i="42"/>
  <c r="D5" i="42"/>
  <c r="D6" i="42"/>
  <c r="D7" i="42"/>
  <c r="D8" i="42"/>
  <c r="D9" i="42"/>
  <c r="D10" i="42"/>
  <c r="D11" i="42"/>
  <c r="D12" i="42"/>
  <c r="D13" i="42"/>
  <c r="D14" i="42"/>
  <c r="D15" i="42"/>
  <c r="D16" i="42"/>
  <c r="D17" i="42"/>
  <c r="D18" i="42"/>
  <c r="D19" i="42"/>
  <c r="D20" i="42"/>
  <c r="D21" i="42"/>
  <c r="D22" i="42"/>
  <c r="D23" i="42"/>
  <c r="D24" i="42"/>
  <c r="D25" i="42"/>
  <c r="D26" i="42"/>
  <c r="D27" i="42"/>
  <c r="D28" i="42"/>
  <c r="D29" i="42"/>
  <c r="D30" i="42"/>
  <c r="D31" i="42"/>
  <c r="D32" i="42"/>
  <c r="D33" i="42"/>
  <c r="D34" i="42"/>
  <c r="D35" i="42"/>
  <c r="D36" i="42"/>
  <c r="D37" i="42"/>
  <c r="D38" i="42"/>
  <c r="D39" i="42"/>
  <c r="D40" i="42"/>
  <c r="D41" i="42"/>
  <c r="D42" i="42"/>
  <c r="D43" i="42"/>
  <c r="D44" i="42"/>
  <c r="D45" i="42"/>
  <c r="D46" i="42"/>
  <c r="D47" i="42"/>
  <c r="D48" i="42"/>
  <c r="D49" i="42"/>
  <c r="D50" i="42"/>
  <c r="D51" i="42"/>
  <c r="D52" i="42"/>
  <c r="D53" i="42"/>
  <c r="D54" i="42"/>
  <c r="D55" i="42"/>
  <c r="D56" i="42"/>
  <c r="D57" i="42"/>
  <c r="D58" i="42"/>
  <c r="D59" i="42"/>
  <c r="D60" i="42"/>
  <c r="D61" i="42"/>
  <c r="D62" i="42"/>
  <c r="D63" i="42"/>
  <c r="D64" i="42"/>
  <c r="D65" i="42"/>
  <c r="D66" i="42"/>
  <c r="D67" i="42"/>
  <c r="D68" i="42"/>
  <c r="D69" i="42"/>
  <c r="D70" i="42"/>
  <c r="D71" i="42"/>
  <c r="D72" i="42"/>
  <c r="D73" i="42"/>
  <c r="D74" i="42"/>
  <c r="D75" i="42"/>
  <c r="D76" i="42"/>
  <c r="D77" i="42"/>
  <c r="D78" i="42"/>
  <c r="D79" i="42"/>
  <c r="D80" i="42"/>
  <c r="D81" i="42"/>
  <c r="D82" i="42"/>
  <c r="D83" i="42"/>
  <c r="D84" i="42"/>
  <c r="D85" i="42"/>
  <c r="D86" i="42"/>
  <c r="D87" i="42"/>
  <c r="D88" i="42"/>
  <c r="D89" i="42"/>
  <c r="D90" i="42"/>
  <c r="D91" i="42"/>
  <c r="D92" i="42"/>
  <c r="D93" i="42"/>
  <c r="D94" i="42"/>
  <c r="D95" i="42"/>
  <c r="D96" i="42"/>
  <c r="D97" i="42"/>
  <c r="D98" i="42"/>
  <c r="D99" i="42"/>
  <c r="D100" i="42"/>
  <c r="D101" i="42"/>
  <c r="D102" i="42"/>
  <c r="C3" i="42"/>
  <c r="C4" i="42"/>
  <c r="C5" i="42"/>
  <c r="C7" i="42"/>
  <c r="C8" i="42"/>
  <c r="C10" i="42"/>
  <c r="C11" i="42"/>
  <c r="C13" i="42"/>
  <c r="C14" i="42"/>
  <c r="C16" i="42"/>
  <c r="C18" i="42"/>
  <c r="C20" i="42"/>
  <c r="C21" i="42"/>
  <c r="C23" i="42"/>
  <c r="C25" i="42"/>
  <c r="C27" i="42"/>
  <c r="C28" i="42"/>
  <c r="C30" i="42"/>
  <c r="C31" i="42"/>
  <c r="C33" i="42"/>
  <c r="C35" i="42"/>
  <c r="C36" i="42"/>
  <c r="C38" i="42"/>
  <c r="C39" i="42"/>
  <c r="C41" i="42"/>
  <c r="C43" i="42"/>
  <c r="C45" i="42"/>
  <c r="C46" i="42"/>
  <c r="C48" i="42"/>
  <c r="C50" i="42"/>
  <c r="C52" i="42"/>
  <c r="C54" i="42"/>
  <c r="C55" i="42"/>
  <c r="C57" i="42"/>
  <c r="C59" i="42"/>
  <c r="C61" i="42"/>
  <c r="C63" i="42"/>
  <c r="C65" i="42"/>
  <c r="C67" i="42"/>
  <c r="C69" i="42"/>
  <c r="C71" i="42"/>
  <c r="C72" i="42"/>
  <c r="C73" i="42"/>
  <c r="C74" i="42"/>
  <c r="C75" i="42"/>
  <c r="C76" i="42"/>
  <c r="C77" i="42"/>
  <c r="C78" i="42"/>
  <c r="C79" i="42"/>
  <c r="C80" i="42"/>
  <c r="C81" i="42"/>
  <c r="C82" i="42"/>
  <c r="C83" i="42"/>
  <c r="C84" i="42"/>
  <c r="C85" i="42"/>
  <c r="C86" i="42"/>
  <c r="C87" i="42"/>
  <c r="C88" i="42"/>
  <c r="C89" i="42"/>
  <c r="C90" i="42"/>
  <c r="C91" i="42"/>
  <c r="C92" i="42"/>
  <c r="C93" i="42"/>
  <c r="C94" i="42"/>
  <c r="C95" i="42"/>
  <c r="C96" i="42"/>
  <c r="C97" i="42"/>
  <c r="C98" i="42"/>
  <c r="C99" i="42"/>
  <c r="C100" i="42"/>
  <c r="C101" i="42"/>
  <c r="C102" i="42"/>
  <c r="B3" i="42"/>
  <c r="B4" i="42"/>
  <c r="B5" i="42"/>
  <c r="B7" i="42"/>
  <c r="B8" i="42"/>
  <c r="B10" i="42"/>
  <c r="B11" i="42"/>
  <c r="B13" i="42"/>
  <c r="B14" i="42"/>
  <c r="B16" i="42"/>
  <c r="B18" i="42"/>
  <c r="B20" i="42"/>
  <c r="B21" i="42"/>
  <c r="B23" i="42"/>
  <c r="B25" i="42"/>
  <c r="B27" i="42"/>
  <c r="B28" i="42"/>
  <c r="B30" i="42"/>
  <c r="B31" i="42"/>
  <c r="B33" i="42"/>
  <c r="B35" i="42"/>
  <c r="B36" i="42"/>
  <c r="B38" i="42"/>
  <c r="B39" i="42"/>
  <c r="B41" i="42"/>
  <c r="B43" i="42"/>
  <c r="B45" i="42"/>
  <c r="B46" i="42"/>
  <c r="B48" i="42"/>
  <c r="B50" i="42"/>
  <c r="B52" i="42"/>
  <c r="B54" i="42"/>
  <c r="B55" i="42"/>
  <c r="B57" i="42"/>
  <c r="B59" i="42"/>
  <c r="B61" i="42"/>
  <c r="B63" i="42"/>
  <c r="B65" i="42"/>
  <c r="B67" i="42"/>
  <c r="B69" i="42"/>
  <c r="B71" i="42"/>
  <c r="B72" i="42"/>
  <c r="B73" i="42"/>
  <c r="B74" i="42"/>
  <c r="B75" i="42"/>
  <c r="B76" i="42"/>
  <c r="B77" i="42"/>
  <c r="B78" i="42"/>
  <c r="B79" i="42"/>
  <c r="B80" i="42"/>
  <c r="B81" i="42"/>
  <c r="B82" i="42"/>
  <c r="B83" i="42"/>
  <c r="B84" i="42"/>
  <c r="B85" i="42"/>
  <c r="B86" i="42"/>
  <c r="B87" i="42"/>
  <c r="B88" i="42"/>
  <c r="B89" i="42"/>
  <c r="B90" i="42"/>
  <c r="B91" i="42"/>
  <c r="B92" i="42"/>
  <c r="B93" i="42"/>
  <c r="B94" i="42"/>
  <c r="B95" i="42"/>
  <c r="B96" i="42"/>
  <c r="B97" i="42"/>
  <c r="B98" i="42"/>
  <c r="B99" i="42"/>
  <c r="B100" i="42"/>
  <c r="B101" i="42"/>
  <c r="B102" i="42"/>
  <c r="D4" i="38" l="1"/>
  <c r="D5" i="38"/>
  <c r="D6" i="38"/>
  <c r="D8" i="38"/>
  <c r="D9" i="38"/>
  <c r="D10" i="38"/>
  <c r="D11" i="38"/>
  <c r="D12" i="38"/>
  <c r="D13" i="38"/>
  <c r="D15" i="38"/>
  <c r="D16" i="38"/>
  <c r="D18" i="38"/>
  <c r="D19" i="38"/>
  <c r="D21" i="38"/>
  <c r="D22" i="38"/>
  <c r="D24" i="38"/>
  <c r="D26" i="38"/>
  <c r="D28" i="38"/>
  <c r="D29" i="38"/>
  <c r="D31" i="38"/>
  <c r="D33" i="38"/>
  <c r="D35" i="38"/>
  <c r="D36" i="38"/>
  <c r="D38" i="38"/>
  <c r="D39" i="38"/>
  <c r="D41" i="38"/>
  <c r="D43" i="38"/>
  <c r="D44" i="38"/>
  <c r="D46" i="38"/>
  <c r="D47" i="38"/>
  <c r="D49" i="38"/>
  <c r="D51" i="38"/>
  <c r="D53" i="38"/>
  <c r="D54" i="38"/>
  <c r="D56" i="38"/>
  <c r="D58" i="38"/>
  <c r="D60" i="38"/>
  <c r="D62" i="38"/>
  <c r="D63" i="38"/>
  <c r="D65" i="38"/>
  <c r="D67" i="38"/>
  <c r="D69" i="38"/>
  <c r="D71" i="38"/>
  <c r="D73" i="38"/>
  <c r="D75" i="38"/>
  <c r="D77" i="38"/>
  <c r="D79" i="38"/>
  <c r="D80" i="38"/>
  <c r="D81" i="38"/>
  <c r="D82" i="38"/>
  <c r="D83" i="38"/>
  <c r="D84" i="38"/>
  <c r="D85" i="38"/>
  <c r="D86" i="38"/>
  <c r="D87" i="38"/>
  <c r="D88" i="38"/>
  <c r="D89" i="38"/>
  <c r="D90" i="38"/>
  <c r="D91" i="38"/>
  <c r="D92" i="38"/>
  <c r="D93" i="38"/>
  <c r="D94" i="38"/>
  <c r="D95" i="38"/>
  <c r="D96" i="38"/>
  <c r="D97" i="38"/>
  <c r="D98" i="38"/>
  <c r="D99" i="38"/>
  <c r="D100" i="38"/>
  <c r="D101" i="38"/>
  <c r="D102" i="38"/>
  <c r="D103" i="38"/>
  <c r="D104" i="38"/>
  <c r="D105" i="38"/>
  <c r="D106" i="38"/>
  <c r="D107" i="38"/>
  <c r="D108" i="38"/>
  <c r="D109" i="38"/>
  <c r="D110" i="38"/>
  <c r="C4" i="38"/>
  <c r="C5" i="38"/>
  <c r="C6" i="38"/>
  <c r="C8" i="38"/>
  <c r="C9" i="38"/>
  <c r="C10" i="38"/>
  <c r="C11" i="38"/>
  <c r="C12" i="38"/>
  <c r="C13" i="38"/>
  <c r="C15" i="38"/>
  <c r="C16" i="38"/>
  <c r="C18" i="38"/>
  <c r="C19" i="38"/>
  <c r="C21" i="38"/>
  <c r="C22" i="38"/>
  <c r="C24" i="38"/>
  <c r="C26" i="38"/>
  <c r="C28" i="38"/>
  <c r="C29" i="38"/>
  <c r="C31" i="38"/>
  <c r="C33" i="38"/>
  <c r="C35" i="38"/>
  <c r="C36" i="38"/>
  <c r="C38" i="38"/>
  <c r="C39" i="38"/>
  <c r="C41" i="38"/>
  <c r="C43" i="38"/>
  <c r="C44" i="38"/>
  <c r="C46" i="38"/>
  <c r="C47" i="38"/>
  <c r="C49" i="38"/>
  <c r="C51" i="38"/>
  <c r="C53" i="38"/>
  <c r="C54" i="38"/>
  <c r="C56" i="38"/>
  <c r="C58" i="38"/>
  <c r="C60" i="38"/>
  <c r="C62" i="38"/>
  <c r="C63" i="38"/>
  <c r="C65" i="38"/>
  <c r="C67" i="38"/>
  <c r="C69" i="38"/>
  <c r="C71" i="38"/>
  <c r="C73" i="38"/>
  <c r="C75" i="38"/>
  <c r="C77" i="38"/>
  <c r="C79" i="38"/>
  <c r="C80" i="38"/>
  <c r="C81" i="38"/>
  <c r="C82" i="38"/>
  <c r="C83" i="38"/>
  <c r="C84" i="38"/>
  <c r="C85" i="38"/>
  <c r="C86" i="38"/>
  <c r="C87" i="38"/>
  <c r="C88" i="38"/>
  <c r="C89" i="38"/>
  <c r="C90" i="38"/>
  <c r="C91" i="38"/>
  <c r="C92" i="38"/>
  <c r="C93" i="38"/>
  <c r="C94" i="38"/>
  <c r="C95" i="38"/>
  <c r="C96" i="38"/>
  <c r="C97" i="38"/>
  <c r="C98" i="38"/>
  <c r="C99" i="38"/>
  <c r="C100" i="38"/>
  <c r="C101" i="38"/>
  <c r="C102" i="38"/>
  <c r="C103" i="38"/>
  <c r="C104" i="38"/>
  <c r="C105" i="38"/>
  <c r="C106" i="38"/>
  <c r="C107" i="38"/>
  <c r="C108" i="38"/>
  <c r="C109" i="38"/>
  <c r="C110" i="38"/>
  <c r="B78" i="38"/>
  <c r="B76" i="38"/>
  <c r="B74" i="38"/>
  <c r="B72" i="38"/>
  <c r="B70" i="38"/>
  <c r="B68" i="38"/>
  <c r="B66" i="38"/>
  <c r="B64" i="38"/>
  <c r="B61" i="38"/>
  <c r="B59" i="38"/>
  <c r="B57" i="38"/>
  <c r="B55" i="38"/>
  <c r="B52" i="38"/>
  <c r="B50" i="38"/>
  <c r="B48" i="38"/>
  <c r="B45" i="38"/>
  <c r="B42" i="38"/>
  <c r="B40" i="38"/>
  <c r="B37" i="38"/>
  <c r="B34" i="38"/>
  <c r="B32" i="38"/>
  <c r="B30" i="38"/>
  <c r="B27" i="38"/>
  <c r="B25" i="38"/>
  <c r="B23" i="38"/>
  <c r="B20" i="38"/>
  <c r="B17" i="38"/>
  <c r="B14" i="38"/>
  <c r="B15" i="38"/>
  <c r="B16" i="38"/>
  <c r="B18" i="38"/>
  <c r="B19" i="38"/>
  <c r="B21" i="38"/>
  <c r="B22" i="38"/>
  <c r="B24" i="38"/>
  <c r="B26" i="38"/>
  <c r="B28" i="38"/>
  <c r="B29" i="38"/>
  <c r="B31" i="38"/>
  <c r="B33" i="38"/>
  <c r="B35" i="38"/>
  <c r="B36" i="38"/>
  <c r="B38" i="38"/>
  <c r="B39" i="38"/>
  <c r="B41" i="38"/>
  <c r="B43" i="38"/>
  <c r="B44" i="38"/>
  <c r="B46" i="38"/>
  <c r="B47" i="38"/>
  <c r="B49" i="38"/>
  <c r="B51" i="38"/>
  <c r="B53" i="38"/>
  <c r="B54" i="38"/>
  <c r="B56" i="38"/>
  <c r="B58" i="38"/>
  <c r="B60" i="38"/>
  <c r="B62" i="38"/>
  <c r="B63" i="38"/>
  <c r="B65" i="38"/>
  <c r="B67" i="38"/>
  <c r="B69" i="38"/>
  <c r="B71" i="38"/>
  <c r="B73" i="38"/>
  <c r="B75" i="38"/>
  <c r="B77" i="38"/>
  <c r="B79" i="38"/>
  <c r="B80" i="38"/>
  <c r="B81" i="38"/>
  <c r="B82" i="38"/>
  <c r="B83" i="38"/>
  <c r="B84" i="38"/>
  <c r="B85" i="38"/>
  <c r="B86" i="38"/>
  <c r="B87" i="38"/>
  <c r="B88" i="38"/>
  <c r="B89" i="38"/>
  <c r="B90" i="38"/>
  <c r="B91" i="38"/>
  <c r="B92" i="38"/>
  <c r="B93" i="38"/>
  <c r="B94" i="38"/>
  <c r="B95" i="38"/>
  <c r="B96" i="38"/>
  <c r="B97" i="38"/>
  <c r="B98" i="38"/>
  <c r="B99" i="38"/>
  <c r="B100" i="38"/>
  <c r="B101" i="38"/>
  <c r="B102" i="38"/>
  <c r="B103" i="38"/>
  <c r="B104" i="38"/>
  <c r="B105" i="38"/>
  <c r="B106" i="38"/>
  <c r="B107" i="38"/>
  <c r="B108" i="38"/>
  <c r="B109" i="38"/>
  <c r="B110" i="38"/>
  <c r="B12" i="38" l="1"/>
  <c r="B13" i="38"/>
  <c r="B10" i="38"/>
  <c r="B11" i="38"/>
  <c r="B4" i="38"/>
  <c r="B5" i="38"/>
  <c r="B6" i="38"/>
  <c r="B8" i="38"/>
  <c r="B9" i="38"/>
  <c r="D3" i="38" l="1"/>
  <c r="C3" i="38"/>
  <c r="B3" i="38"/>
  <c r="D2" i="42"/>
  <c r="C2" i="42"/>
  <c r="B2" i="42"/>
  <c r="D103" i="42" l="1"/>
  <c r="C103" i="42"/>
  <c r="B103" i="42"/>
  <c r="D259" i="38"/>
  <c r="D260" i="38"/>
  <c r="D261" i="38"/>
  <c r="D262" i="38"/>
  <c r="D263" i="38"/>
  <c r="D264" i="38"/>
  <c r="D265" i="38"/>
  <c r="D266" i="38"/>
  <c r="D267" i="38"/>
  <c r="D268" i="38"/>
  <c r="D269" i="38"/>
  <c r="D270" i="38"/>
  <c r="D271" i="38"/>
  <c r="D272" i="38"/>
  <c r="D273" i="38"/>
  <c r="D274" i="38"/>
  <c r="D275" i="38"/>
  <c r="D276" i="38"/>
  <c r="D277" i="38"/>
  <c r="D278" i="38"/>
  <c r="D279" i="38"/>
  <c r="D280" i="38"/>
  <c r="D281" i="38"/>
  <c r="D282" i="38"/>
  <c r="D283" i="38"/>
  <c r="D284" i="38"/>
  <c r="D285" i="38"/>
  <c r="D286" i="38"/>
  <c r="D287" i="38"/>
  <c r="D288" i="38"/>
  <c r="D289" i="38"/>
  <c r="D290" i="38"/>
  <c r="D291" i="38"/>
  <c r="D292" i="38"/>
  <c r="D293" i="38"/>
  <c r="D294" i="38"/>
  <c r="D295" i="38"/>
  <c r="D296" i="38"/>
  <c r="D297" i="38"/>
  <c r="D298" i="38"/>
  <c r="C259" i="38"/>
  <c r="C260" i="38"/>
  <c r="C261" i="38"/>
  <c r="C262" i="38"/>
  <c r="C263" i="38"/>
  <c r="C264" i="38"/>
  <c r="C265" i="38"/>
  <c r="C266" i="38"/>
  <c r="C267" i="38"/>
  <c r="C268" i="38"/>
  <c r="C269" i="38"/>
  <c r="C270" i="38"/>
  <c r="C271" i="38"/>
  <c r="C272" i="38"/>
  <c r="C273" i="38"/>
  <c r="C274" i="38"/>
  <c r="C275" i="38"/>
  <c r="C276" i="38"/>
  <c r="C277" i="38"/>
  <c r="C278" i="38"/>
  <c r="C279" i="38"/>
  <c r="C280" i="38"/>
  <c r="C281" i="38"/>
  <c r="C282" i="38"/>
  <c r="C283" i="38"/>
  <c r="C284" i="38"/>
  <c r="C285" i="38"/>
  <c r="C286" i="38"/>
  <c r="C287" i="38"/>
  <c r="C288" i="38"/>
  <c r="C289" i="38"/>
  <c r="C290" i="38"/>
  <c r="C291" i="38"/>
  <c r="C292" i="38"/>
  <c r="C293" i="38"/>
  <c r="C294" i="38"/>
  <c r="C295" i="38"/>
  <c r="C296" i="38"/>
  <c r="C297" i="38"/>
  <c r="C298" i="38"/>
  <c r="B259" i="38"/>
  <c r="B260" i="38"/>
  <c r="B261" i="38"/>
  <c r="B262" i="38"/>
  <c r="B263" i="38"/>
  <c r="B264" i="38"/>
  <c r="B265" i="38"/>
  <c r="B266" i="38"/>
  <c r="B267" i="38"/>
  <c r="B268" i="38"/>
  <c r="B269" i="38"/>
  <c r="B270" i="38"/>
  <c r="B271" i="38"/>
  <c r="B272" i="38"/>
  <c r="B273" i="38"/>
  <c r="B274" i="38"/>
  <c r="B275" i="38"/>
  <c r="B276" i="38"/>
  <c r="B277" i="38"/>
  <c r="B278" i="38"/>
  <c r="B279" i="38"/>
  <c r="B280" i="38"/>
  <c r="B281" i="38"/>
  <c r="B282" i="38"/>
  <c r="B283" i="38"/>
  <c r="B284" i="38"/>
  <c r="B285" i="38"/>
  <c r="B286" i="38"/>
  <c r="B287" i="38"/>
  <c r="B288" i="38"/>
  <c r="B289" i="38"/>
  <c r="B290" i="38"/>
  <c r="B291" i="38"/>
  <c r="B292" i="38"/>
  <c r="B293" i="38"/>
  <c r="B294" i="38"/>
  <c r="B295" i="38"/>
  <c r="B296" i="38"/>
  <c r="B297" i="38"/>
  <c r="B298" i="38"/>
  <c r="D234" i="38"/>
  <c r="D235" i="38"/>
  <c r="D236" i="38"/>
  <c r="D237" i="38"/>
  <c r="D238" i="38"/>
  <c r="D239" i="38"/>
  <c r="D240" i="38"/>
  <c r="D241" i="38"/>
  <c r="D242" i="38"/>
  <c r="D243" i="38"/>
  <c r="D244" i="38"/>
  <c r="D245" i="38"/>
  <c r="D246" i="38"/>
  <c r="D247" i="38"/>
  <c r="D248" i="38"/>
  <c r="D249" i="38"/>
  <c r="D250" i="38"/>
  <c r="D251" i="38"/>
  <c r="D252" i="38"/>
  <c r="D253" i="38"/>
  <c r="D254" i="38"/>
  <c r="D255" i="38"/>
  <c r="D256" i="38"/>
  <c r="C234" i="38"/>
  <c r="C235" i="38"/>
  <c r="C236" i="38"/>
  <c r="C237" i="38"/>
  <c r="C238" i="38"/>
  <c r="C239" i="38"/>
  <c r="C240" i="38"/>
  <c r="C241" i="38"/>
  <c r="C242" i="38"/>
  <c r="C243" i="38"/>
  <c r="C244" i="38"/>
  <c r="C245" i="38"/>
  <c r="C246" i="38"/>
  <c r="C247" i="38"/>
  <c r="C248" i="38"/>
  <c r="C249" i="38"/>
  <c r="C250" i="38"/>
  <c r="C251" i="38"/>
  <c r="C252" i="38"/>
  <c r="C253" i="38"/>
  <c r="C254" i="38"/>
  <c r="C255" i="38"/>
  <c r="C256" i="38"/>
  <c r="B234" i="38"/>
  <c r="B235" i="38"/>
  <c r="B236" i="38"/>
  <c r="B237" i="38"/>
  <c r="B238" i="38"/>
  <c r="B239" i="38"/>
  <c r="B240" i="38"/>
  <c r="B241" i="38"/>
  <c r="B242" i="38"/>
  <c r="B243" i="38"/>
  <c r="B244" i="38"/>
  <c r="B245" i="38"/>
  <c r="B246" i="38"/>
  <c r="B247" i="38"/>
  <c r="B248" i="38"/>
  <c r="B249" i="38"/>
  <c r="B250" i="38"/>
  <c r="B251" i="38"/>
  <c r="B252" i="38"/>
  <c r="B253" i="38"/>
  <c r="B254" i="38"/>
  <c r="B255" i="38"/>
  <c r="B256" i="38"/>
  <c r="D182" i="38"/>
  <c r="D183" i="38"/>
  <c r="D184" i="38"/>
  <c r="D185" i="38"/>
  <c r="D186" i="38"/>
  <c r="D187" i="38"/>
  <c r="D188" i="38"/>
  <c r="D189" i="38"/>
  <c r="D190" i="38"/>
  <c r="D191" i="38"/>
  <c r="D192" i="38"/>
  <c r="D193" i="38"/>
  <c r="D194" i="38"/>
  <c r="D195" i="38"/>
  <c r="D196" i="38"/>
  <c r="D197" i="38"/>
  <c r="D198" i="38"/>
  <c r="D199" i="38"/>
  <c r="D200" i="38"/>
  <c r="D201" i="38"/>
  <c r="D202" i="38"/>
  <c r="D203" i="38"/>
  <c r="D204" i="38"/>
  <c r="D205" i="38"/>
  <c r="D206" i="38"/>
  <c r="D207" i="38"/>
  <c r="D208" i="38"/>
  <c r="D209" i="38"/>
  <c r="D210" i="38"/>
  <c r="D211" i="38"/>
  <c r="D212" i="38"/>
  <c r="D213" i="38"/>
  <c r="D214" i="38"/>
  <c r="D215" i="38"/>
  <c r="D216" i="38"/>
  <c r="D217" i="38"/>
  <c r="D218" i="38"/>
  <c r="D219" i="38"/>
  <c r="D220" i="38"/>
  <c r="D221" i="38"/>
  <c r="D222" i="38"/>
  <c r="D223" i="38"/>
  <c r="D224" i="38"/>
  <c r="D225" i="38"/>
  <c r="D226" i="38"/>
  <c r="D227" i="38"/>
  <c r="D228" i="38"/>
  <c r="D229" i="38"/>
  <c r="D230" i="38"/>
  <c r="D231" i="38"/>
  <c r="C182" i="38"/>
  <c r="C183" i="38"/>
  <c r="C184" i="38"/>
  <c r="C185" i="38"/>
  <c r="C186" i="38"/>
  <c r="C187" i="38"/>
  <c r="C188" i="38"/>
  <c r="C189" i="38"/>
  <c r="C190" i="38"/>
  <c r="C191" i="38"/>
  <c r="C192" i="38"/>
  <c r="C193" i="38"/>
  <c r="C194" i="38"/>
  <c r="C195" i="38"/>
  <c r="C196" i="38"/>
  <c r="C197" i="38"/>
  <c r="C198" i="38"/>
  <c r="C199" i="38"/>
  <c r="C200" i="38"/>
  <c r="C201" i="38"/>
  <c r="C202" i="38"/>
  <c r="C203" i="38"/>
  <c r="C204" i="38"/>
  <c r="C205" i="38"/>
  <c r="C206" i="38"/>
  <c r="C207" i="38"/>
  <c r="C208" i="38"/>
  <c r="C209" i="38"/>
  <c r="C210" i="38"/>
  <c r="C211" i="38"/>
  <c r="C212" i="38"/>
  <c r="C213" i="38"/>
  <c r="C214" i="38"/>
  <c r="C215" i="38"/>
  <c r="C216" i="38"/>
  <c r="C217" i="38"/>
  <c r="C218" i="38"/>
  <c r="C219" i="38"/>
  <c r="C220" i="38"/>
  <c r="C221" i="38"/>
  <c r="C222" i="38"/>
  <c r="C223" i="38"/>
  <c r="C224" i="38"/>
  <c r="C225" i="38"/>
  <c r="C226" i="38"/>
  <c r="C227" i="38"/>
  <c r="C228" i="38"/>
  <c r="C229" i="38"/>
  <c r="C230" i="38"/>
  <c r="C231" i="38"/>
  <c r="B182" i="38"/>
  <c r="B183" i="38"/>
  <c r="B184" i="38"/>
  <c r="B185" i="38"/>
  <c r="B186" i="38"/>
  <c r="B187" i="38"/>
  <c r="B188" i="38"/>
  <c r="B189" i="38"/>
  <c r="B190" i="38"/>
  <c r="B191" i="38"/>
  <c r="B192" i="38"/>
  <c r="B193" i="38"/>
  <c r="B194" i="38"/>
  <c r="B195" i="38"/>
  <c r="B196" i="38"/>
  <c r="B197" i="38"/>
  <c r="B198" i="38"/>
  <c r="B199" i="38"/>
  <c r="B200" i="38"/>
  <c r="B201" i="38"/>
  <c r="B202" i="38"/>
  <c r="B203" i="38"/>
  <c r="B204" i="38"/>
  <c r="B205" i="38"/>
  <c r="B206" i="38"/>
  <c r="B207" i="38"/>
  <c r="B208" i="38"/>
  <c r="B209" i="38"/>
  <c r="B210" i="38"/>
  <c r="B211" i="38"/>
  <c r="B212" i="38"/>
  <c r="B213" i="38"/>
  <c r="B214" i="38"/>
  <c r="B215" i="38"/>
  <c r="B216" i="38"/>
  <c r="B217" i="38"/>
  <c r="B218" i="38"/>
  <c r="B219" i="38"/>
  <c r="B220" i="38"/>
  <c r="B221" i="38"/>
  <c r="B222" i="38"/>
  <c r="B223" i="38"/>
  <c r="B224" i="38"/>
  <c r="B225" i="38"/>
  <c r="B226" i="38"/>
  <c r="B227" i="38"/>
  <c r="B228" i="38"/>
  <c r="B229" i="38"/>
  <c r="B230" i="38"/>
  <c r="B231" i="38"/>
  <c r="D112" i="38" l="1"/>
  <c r="C112" i="38"/>
  <c r="B112" i="38"/>
  <c r="D120" i="38"/>
  <c r="C120" i="38"/>
  <c r="B120" i="38"/>
  <c r="U50" i="1" l="1"/>
  <c r="U51" i="1"/>
  <c r="G36" i="1" s="1"/>
  <c r="U49" i="1"/>
  <c r="S47" i="1"/>
  <c r="U47" i="1" l="1"/>
  <c r="D154" i="42"/>
  <c r="D155" i="42"/>
  <c r="D156" i="42"/>
  <c r="D157" i="42"/>
  <c r="D158" i="42"/>
  <c r="C154" i="42"/>
  <c r="C155" i="42"/>
  <c r="C156" i="42"/>
  <c r="C157" i="42"/>
  <c r="C158" i="42"/>
  <c r="B154" i="42"/>
  <c r="B155" i="42"/>
  <c r="B156" i="42"/>
  <c r="B157" i="42"/>
  <c r="B158" i="42"/>
  <c r="D153" i="42"/>
  <c r="C153" i="42"/>
  <c r="B153" i="42"/>
  <c r="D233" i="38"/>
  <c r="D258" i="38"/>
  <c r="D300" i="38"/>
  <c r="D301" i="38"/>
  <c r="D302" i="38"/>
  <c r="D303" i="38"/>
  <c r="D304" i="38"/>
  <c r="D305" i="38"/>
  <c r="D306" i="38"/>
  <c r="D307" i="38"/>
  <c r="D308" i="38"/>
  <c r="D309" i="38"/>
  <c r="D310" i="38"/>
  <c r="D311" i="38"/>
  <c r="D312" i="38"/>
  <c r="D313" i="38"/>
  <c r="D314" i="38"/>
  <c r="D315" i="38"/>
  <c r="D316" i="38"/>
  <c r="D317" i="38"/>
  <c r="D318" i="38"/>
  <c r="C233" i="38"/>
  <c r="B257" i="38"/>
  <c r="C258" i="38"/>
  <c r="B299" i="38"/>
  <c r="C300" i="38"/>
  <c r="C301" i="38"/>
  <c r="C302" i="38"/>
  <c r="C303" i="38"/>
  <c r="C304" i="38"/>
  <c r="C305" i="38"/>
  <c r="C306" i="38"/>
  <c r="C307" i="38"/>
  <c r="C308" i="38"/>
  <c r="C309" i="38"/>
  <c r="C310" i="38"/>
  <c r="C311" i="38"/>
  <c r="C312" i="38"/>
  <c r="C313" i="38"/>
  <c r="C314" i="38"/>
  <c r="C315" i="38"/>
  <c r="C316" i="38"/>
  <c r="C317" i="38"/>
  <c r="C318" i="38"/>
  <c r="B318" i="38"/>
  <c r="B233" i="38"/>
  <c r="B258" i="38"/>
  <c r="B300" i="38"/>
  <c r="B301" i="38"/>
  <c r="B302" i="38"/>
  <c r="B303" i="38"/>
  <c r="B304" i="38"/>
  <c r="B305" i="38"/>
  <c r="B306" i="38"/>
  <c r="B307" i="38"/>
  <c r="B308" i="38"/>
  <c r="B309" i="38"/>
  <c r="B310" i="38"/>
  <c r="B311" i="38"/>
  <c r="B312" i="38"/>
  <c r="B313" i="38"/>
  <c r="B314" i="38"/>
  <c r="B315" i="38"/>
  <c r="B316" i="38"/>
  <c r="B317" i="38"/>
  <c r="D181" i="38"/>
  <c r="C181" i="38"/>
  <c r="B232" i="38"/>
  <c r="B181" i="38"/>
  <c r="D173" i="38"/>
  <c r="D174" i="38"/>
  <c r="D175" i="38"/>
  <c r="D176" i="38"/>
  <c r="D177" i="38"/>
  <c r="D178" i="38"/>
  <c r="D179" i="38"/>
  <c r="C173" i="38"/>
  <c r="C174" i="38"/>
  <c r="C175" i="38"/>
  <c r="C176" i="38"/>
  <c r="C177" i="38"/>
  <c r="C178" i="38"/>
  <c r="C179" i="38"/>
  <c r="B180" i="38"/>
  <c r="B173" i="38"/>
  <c r="B174" i="38"/>
  <c r="B175" i="38"/>
  <c r="B176" i="38"/>
  <c r="B177" i="38"/>
  <c r="B178" i="38"/>
  <c r="B179" i="38"/>
  <c r="B172" i="38"/>
  <c r="D121" i="38"/>
  <c r="D122" i="38"/>
  <c r="D123" i="38"/>
  <c r="D124" i="38"/>
  <c r="D125" i="38"/>
  <c r="D126" i="38"/>
  <c r="D127" i="38"/>
  <c r="D128" i="38"/>
  <c r="D129" i="38"/>
  <c r="C121" i="38"/>
  <c r="C122" i="38"/>
  <c r="C123" i="38"/>
  <c r="C124" i="38"/>
  <c r="C125" i="38"/>
  <c r="C126" i="38"/>
  <c r="C127" i="38"/>
  <c r="C128" i="38"/>
  <c r="C129" i="38"/>
  <c r="B130" i="38"/>
  <c r="B121" i="38"/>
  <c r="B122" i="38"/>
  <c r="B123" i="38"/>
  <c r="B124" i="38"/>
  <c r="B125" i="38"/>
  <c r="B126" i="38"/>
  <c r="B127" i="38"/>
  <c r="B128" i="38"/>
  <c r="B129" i="38"/>
  <c r="B111" i="38"/>
  <c r="D11" i="45" l="1"/>
  <c r="B11" i="45" l="1"/>
  <c r="F4" i="45"/>
  <c r="F5" i="45"/>
  <c r="F6" i="45"/>
  <c r="F7" i="45"/>
  <c r="F8" i="45"/>
  <c r="F9" i="45"/>
  <c r="F11" i="45"/>
  <c r="E4" i="45"/>
  <c r="E5" i="45"/>
  <c r="E6" i="45"/>
  <c r="E7" i="45"/>
  <c r="E8" i="45"/>
  <c r="E9" i="45"/>
  <c r="E11" i="45"/>
  <c r="D4" i="45"/>
  <c r="D5" i="45"/>
  <c r="D6" i="45"/>
  <c r="D7" i="45"/>
  <c r="D8" i="45"/>
  <c r="D9" i="45"/>
  <c r="D3" i="45"/>
  <c r="E3" i="45"/>
  <c r="F3" i="45"/>
  <c r="C4" i="45"/>
  <c r="C5" i="45"/>
  <c r="C6" i="45"/>
  <c r="C7" i="45"/>
  <c r="C8" i="45"/>
  <c r="C9" i="45"/>
  <c r="C11" i="45"/>
  <c r="C3" i="45"/>
  <c r="U581" i="1" l="1"/>
  <c r="U580" i="1"/>
  <c r="U579" i="1"/>
  <c r="U578" i="1"/>
  <c r="U550" i="1"/>
  <c r="U549" i="1"/>
  <c r="U548" i="1"/>
  <c r="U547" i="1"/>
  <c r="U546" i="1"/>
  <c r="U545" i="1"/>
  <c r="U544" i="1"/>
  <c r="U543" i="1"/>
  <c r="U542" i="1"/>
  <c r="U541" i="1"/>
  <c r="U540" i="1"/>
  <c r="U539" i="1"/>
  <c r="U538" i="1"/>
  <c r="U537" i="1"/>
  <c r="U536" i="1"/>
  <c r="U535" i="1"/>
  <c r="U534" i="1"/>
  <c r="U533" i="1"/>
  <c r="U532" i="1"/>
  <c r="U531" i="1"/>
  <c r="U530" i="1"/>
  <c r="U529" i="1"/>
  <c r="U528" i="1"/>
  <c r="U527" i="1"/>
  <c r="U526" i="1"/>
  <c r="U525" i="1"/>
  <c r="U524" i="1"/>
  <c r="U523" i="1"/>
  <c r="U522" i="1"/>
  <c r="U521" i="1"/>
  <c r="U520" i="1"/>
  <c r="U519" i="1"/>
  <c r="U518" i="1"/>
  <c r="U517" i="1"/>
  <c r="U359" i="1"/>
  <c r="U358" i="1"/>
  <c r="U357" i="1"/>
  <c r="U356" i="1"/>
  <c r="U355" i="1"/>
  <c r="U354" i="1"/>
  <c r="U353" i="1"/>
  <c r="U352" i="1"/>
  <c r="U351" i="1"/>
  <c r="U350" i="1"/>
  <c r="U349" i="1"/>
  <c r="U348" i="1"/>
  <c r="U347" i="1"/>
  <c r="U346" i="1"/>
  <c r="U345" i="1"/>
  <c r="U344" i="1"/>
  <c r="U343" i="1"/>
  <c r="U342" i="1"/>
  <c r="U341" i="1"/>
  <c r="U340" i="1"/>
  <c r="U339" i="1"/>
  <c r="U338" i="1"/>
  <c r="U337" i="1"/>
  <c r="U336" i="1"/>
  <c r="U335" i="1"/>
  <c r="U334" i="1"/>
  <c r="U333" i="1"/>
  <c r="U332" i="1"/>
  <c r="U331" i="1"/>
  <c r="U330" i="1"/>
  <c r="U329" i="1"/>
  <c r="U328" i="1"/>
  <c r="U327" i="1"/>
  <c r="U326" i="1"/>
  <c r="U325" i="1"/>
  <c r="U324" i="1"/>
  <c r="U323" i="1"/>
  <c r="U322" i="1"/>
  <c r="U321" i="1"/>
  <c r="U317" i="1"/>
  <c r="U316" i="1"/>
  <c r="U315" i="1"/>
  <c r="U314" i="1"/>
  <c r="U313" i="1"/>
  <c r="U312" i="1"/>
  <c r="U311" i="1"/>
  <c r="U310" i="1"/>
  <c r="U309" i="1"/>
  <c r="U308" i="1"/>
  <c r="U307" i="1"/>
  <c r="U306" i="1"/>
  <c r="U305" i="1"/>
  <c r="U304" i="1"/>
  <c r="U303" i="1"/>
  <c r="U302" i="1"/>
  <c r="U301" i="1"/>
  <c r="U300" i="1"/>
  <c r="U299" i="1"/>
  <c r="U295" i="1"/>
  <c r="U294" i="1"/>
  <c r="U293" i="1"/>
  <c r="U292" i="1"/>
  <c r="U291" i="1"/>
  <c r="U290" i="1"/>
  <c r="U289" i="1"/>
  <c r="U288" i="1"/>
  <c r="U287" i="1"/>
  <c r="U286" i="1"/>
  <c r="U285" i="1"/>
  <c r="U284" i="1"/>
  <c r="U283" i="1"/>
  <c r="U282" i="1"/>
  <c r="U281" i="1"/>
  <c r="U280" i="1"/>
  <c r="U279" i="1"/>
  <c r="U278" i="1"/>
  <c r="U277" i="1"/>
  <c r="U276" i="1"/>
  <c r="U275" i="1"/>
  <c r="U274" i="1"/>
  <c r="U273" i="1"/>
  <c r="U272" i="1"/>
  <c r="U271" i="1"/>
  <c r="U270" i="1"/>
  <c r="U269" i="1"/>
  <c r="U268" i="1"/>
  <c r="U267" i="1"/>
  <c r="U260" i="1"/>
  <c r="U259" i="1"/>
  <c r="U258" i="1"/>
  <c r="U257" i="1"/>
  <c r="U256" i="1"/>
  <c r="U255" i="1"/>
  <c r="U254" i="1"/>
  <c r="U253" i="1"/>
  <c r="U252" i="1"/>
  <c r="U251" i="1"/>
  <c r="U250" i="1"/>
  <c r="U249" i="1"/>
  <c r="U248" i="1"/>
  <c r="U247" i="1"/>
  <c r="U246" i="1"/>
  <c r="U245" i="1"/>
  <c r="U244" i="1"/>
  <c r="U243" i="1"/>
  <c r="U242" i="1"/>
  <c r="U241" i="1"/>
  <c r="U240" i="1"/>
  <c r="U239" i="1"/>
  <c r="U238" i="1"/>
  <c r="U237" i="1"/>
  <c r="U236" i="1"/>
  <c r="U235" i="1"/>
  <c r="U234" i="1"/>
  <c r="U233" i="1"/>
  <c r="U232" i="1"/>
  <c r="U231" i="1"/>
  <c r="U230" i="1"/>
  <c r="U229" i="1"/>
  <c r="U228" i="1"/>
  <c r="U227" i="1"/>
  <c r="U226" i="1"/>
  <c r="U225" i="1"/>
  <c r="U224" i="1"/>
  <c r="U223" i="1"/>
  <c r="U222" i="1"/>
  <c r="U221" i="1"/>
  <c r="U220" i="1"/>
  <c r="U219" i="1"/>
  <c r="U218" i="1"/>
  <c r="U217" i="1"/>
  <c r="U216" i="1"/>
  <c r="U215" i="1"/>
  <c r="U214" i="1"/>
  <c r="U213" i="1"/>
  <c r="U207" i="1"/>
  <c r="U206" i="1"/>
  <c r="U205" i="1"/>
  <c r="U204" i="1"/>
  <c r="U203" i="1"/>
  <c r="U202" i="1"/>
  <c r="U201" i="1"/>
  <c r="U200" i="1"/>
  <c r="U199" i="1"/>
  <c r="U198" i="1"/>
  <c r="U197" i="1"/>
  <c r="U196" i="1"/>
  <c r="U195" i="1"/>
  <c r="U194" i="1"/>
  <c r="U193" i="1"/>
  <c r="U192" i="1"/>
  <c r="U191" i="1"/>
  <c r="U190" i="1"/>
  <c r="U189" i="1"/>
  <c r="U188" i="1"/>
  <c r="U187" i="1"/>
  <c r="U186" i="1"/>
  <c r="U185" i="1"/>
  <c r="U184" i="1"/>
  <c r="U183" i="1"/>
  <c r="U182" i="1"/>
  <c r="U181" i="1"/>
  <c r="U180" i="1"/>
  <c r="U179" i="1"/>
  <c r="U178" i="1"/>
  <c r="U177" i="1"/>
  <c r="U176" i="1"/>
  <c r="U175" i="1"/>
  <c r="U174" i="1"/>
  <c r="U173" i="1"/>
  <c r="U172" i="1"/>
  <c r="U171" i="1"/>
  <c r="U170" i="1"/>
  <c r="U169" i="1"/>
  <c r="U168" i="1"/>
  <c r="U167" i="1"/>
  <c r="U166" i="1"/>
  <c r="U165" i="1"/>
  <c r="U164" i="1"/>
  <c r="U163" i="1"/>
  <c r="U162" i="1"/>
  <c r="U161" i="1"/>
  <c r="U160" i="1"/>
  <c r="U159" i="1"/>
  <c r="U156" i="1"/>
  <c r="U155" i="1"/>
  <c r="U154" i="1"/>
  <c r="U153" i="1"/>
  <c r="U152" i="1"/>
  <c r="U151" i="1"/>
  <c r="U150" i="1"/>
  <c r="U149" i="1"/>
  <c r="U148" i="1"/>
  <c r="U142" i="1"/>
  <c r="U141" i="1"/>
  <c r="U140" i="1"/>
  <c r="U139" i="1"/>
  <c r="U138" i="1"/>
  <c r="U137" i="1"/>
  <c r="U136" i="1"/>
  <c r="U135" i="1"/>
  <c r="U134" i="1"/>
  <c r="U133" i="1"/>
  <c r="U132" i="1"/>
  <c r="U131" i="1"/>
  <c r="U130" i="1"/>
  <c r="U129" i="1"/>
  <c r="U128" i="1"/>
  <c r="U127" i="1"/>
  <c r="U126" i="1"/>
  <c r="U125" i="1"/>
  <c r="U124" i="1"/>
  <c r="U123" i="1"/>
  <c r="U122" i="1"/>
  <c r="U121" i="1"/>
  <c r="U120" i="1"/>
  <c r="U119" i="1"/>
  <c r="U118" i="1"/>
  <c r="U117" i="1"/>
  <c r="U116" i="1"/>
  <c r="U115" i="1"/>
  <c r="U114" i="1"/>
  <c r="U113" i="1"/>
  <c r="U112" i="1"/>
  <c r="U111" i="1"/>
  <c r="U110" i="1"/>
  <c r="U109" i="1"/>
  <c r="U108" i="1"/>
  <c r="U107" i="1"/>
  <c r="U106" i="1"/>
  <c r="U105" i="1"/>
  <c r="U104" i="1"/>
  <c r="A27" i="7" l="1"/>
  <c r="V1" i="1" s="1"/>
  <c r="D26" i="7"/>
  <c r="B9" i="45"/>
  <c r="B8" i="45"/>
  <c r="B7" i="45"/>
  <c r="B6" i="45"/>
  <c r="B5" i="45"/>
  <c r="B4" i="45"/>
  <c r="B3" i="45"/>
  <c r="B2" i="38"/>
  <c r="D408" i="44"/>
  <c r="C408" i="44"/>
  <c r="B408" i="44"/>
  <c r="D407" i="44"/>
  <c r="C407" i="44"/>
  <c r="B407" i="44"/>
  <c r="D406" i="44"/>
  <c r="C406" i="44"/>
  <c r="B406" i="44"/>
  <c r="D405" i="44"/>
  <c r="C405" i="44"/>
  <c r="B405" i="44"/>
  <c r="D404" i="44"/>
  <c r="C404" i="44"/>
  <c r="B404" i="44"/>
  <c r="D403" i="44"/>
  <c r="C403" i="44"/>
  <c r="B403" i="44"/>
  <c r="D402" i="44"/>
  <c r="C402" i="44"/>
  <c r="B402" i="44"/>
  <c r="D401" i="44"/>
  <c r="C401" i="44"/>
  <c r="B401" i="44"/>
  <c r="D400" i="44"/>
  <c r="C400" i="44"/>
  <c r="B400" i="44"/>
  <c r="D399" i="44"/>
  <c r="C399" i="44"/>
  <c r="B399" i="44"/>
  <c r="D398" i="44"/>
  <c r="C398" i="44"/>
  <c r="B398" i="44"/>
  <c r="D397" i="44"/>
  <c r="C397" i="44"/>
  <c r="B397" i="44"/>
  <c r="D396" i="44"/>
  <c r="C396" i="44"/>
  <c r="B396" i="44"/>
  <c r="D395" i="44"/>
  <c r="C395" i="44"/>
  <c r="B395" i="44"/>
  <c r="D394" i="44"/>
  <c r="C394" i="44"/>
  <c r="B394" i="44"/>
  <c r="D393" i="44"/>
  <c r="C393" i="44"/>
  <c r="B393" i="44"/>
  <c r="D392" i="44"/>
  <c r="C392" i="44"/>
  <c r="B392" i="44"/>
  <c r="D391" i="44"/>
  <c r="C391" i="44"/>
  <c r="B391" i="44"/>
  <c r="D390" i="44"/>
  <c r="C390" i="44"/>
  <c r="B390" i="44"/>
  <c r="D389" i="44"/>
  <c r="C389" i="44"/>
  <c r="B389" i="44"/>
  <c r="D388" i="44"/>
  <c r="C388" i="44"/>
  <c r="B388" i="44"/>
  <c r="D387" i="44"/>
  <c r="C387" i="44"/>
  <c r="B387" i="44"/>
  <c r="D386" i="44"/>
  <c r="C386" i="44"/>
  <c r="B386" i="44"/>
  <c r="D385" i="44"/>
  <c r="C385" i="44"/>
  <c r="B385" i="44"/>
  <c r="D384" i="44"/>
  <c r="C384" i="44"/>
  <c r="B384" i="44"/>
  <c r="D383" i="44"/>
  <c r="C383" i="44"/>
  <c r="B383" i="44"/>
  <c r="D382" i="44"/>
  <c r="C382" i="44"/>
  <c r="B382" i="44"/>
  <c r="D381" i="44"/>
  <c r="C381" i="44"/>
  <c r="B381" i="44"/>
  <c r="D380" i="44"/>
  <c r="C380" i="44"/>
  <c r="B380" i="44"/>
  <c r="D379" i="44"/>
  <c r="C379" i="44"/>
  <c r="B379" i="44"/>
  <c r="D378" i="44"/>
  <c r="C378" i="44"/>
  <c r="B378" i="44"/>
  <c r="D377" i="44"/>
  <c r="C377" i="44"/>
  <c r="B377" i="44"/>
  <c r="D376" i="44"/>
  <c r="C376" i="44"/>
  <c r="B376" i="44"/>
  <c r="D375" i="44"/>
  <c r="C375" i="44"/>
  <c r="B375" i="44"/>
  <c r="D374" i="44"/>
  <c r="C374" i="44"/>
  <c r="B374" i="44"/>
  <c r="D373" i="44"/>
  <c r="C373" i="44"/>
  <c r="B373" i="44"/>
  <c r="D372" i="44"/>
  <c r="C372" i="44"/>
  <c r="B372" i="44"/>
  <c r="D371" i="44"/>
  <c r="C371" i="44"/>
  <c r="B371" i="44"/>
  <c r="D370" i="44"/>
  <c r="C370" i="44"/>
  <c r="B370" i="44"/>
  <c r="D369" i="44"/>
  <c r="C369" i="44"/>
  <c r="B369" i="44"/>
  <c r="D368" i="44"/>
  <c r="C368" i="44"/>
  <c r="B368" i="44"/>
  <c r="D367" i="44"/>
  <c r="C367" i="44"/>
  <c r="B367" i="44"/>
  <c r="D366" i="44"/>
  <c r="C366" i="44"/>
  <c r="B366" i="44"/>
  <c r="D365" i="44"/>
  <c r="C365" i="44"/>
  <c r="B365" i="44"/>
  <c r="D364" i="44"/>
  <c r="C364" i="44"/>
  <c r="B364" i="44"/>
  <c r="D363" i="44"/>
  <c r="C363" i="44"/>
  <c r="B363" i="44"/>
  <c r="D362" i="44"/>
  <c r="C362" i="44"/>
  <c r="B362" i="44"/>
  <c r="D361" i="44"/>
  <c r="C361" i="44"/>
  <c r="B361" i="44"/>
  <c r="D360" i="44"/>
  <c r="C360" i="44"/>
  <c r="B360" i="44"/>
  <c r="D359" i="44"/>
  <c r="C359" i="44"/>
  <c r="B359" i="44"/>
  <c r="D358" i="44"/>
  <c r="C358" i="44"/>
  <c r="B358" i="44"/>
  <c r="D357" i="44"/>
  <c r="C357" i="44"/>
  <c r="B357" i="44"/>
  <c r="D356" i="44"/>
  <c r="C356" i="44"/>
  <c r="B356" i="44"/>
  <c r="D355" i="44"/>
  <c r="C355" i="44"/>
  <c r="B355" i="44"/>
  <c r="D354" i="44"/>
  <c r="C354" i="44"/>
  <c r="B354" i="44"/>
  <c r="D353" i="44"/>
  <c r="C353" i="44"/>
  <c r="B353" i="44"/>
  <c r="D352" i="44"/>
  <c r="C352" i="44"/>
  <c r="B352" i="44"/>
  <c r="D351" i="44"/>
  <c r="C351" i="44"/>
  <c r="B351" i="44"/>
  <c r="D350" i="44"/>
  <c r="C350" i="44"/>
  <c r="B350" i="44"/>
  <c r="D349" i="44"/>
  <c r="C349" i="44"/>
  <c r="B349" i="44"/>
  <c r="D348" i="44"/>
  <c r="C348" i="44"/>
  <c r="B348" i="44"/>
  <c r="D347" i="44"/>
  <c r="C347" i="44"/>
  <c r="B347" i="44"/>
  <c r="D346" i="44"/>
  <c r="C346" i="44"/>
  <c r="B346" i="44"/>
  <c r="D345" i="44"/>
  <c r="C345" i="44"/>
  <c r="B345" i="44"/>
  <c r="D344" i="44"/>
  <c r="C344" i="44"/>
  <c r="B344" i="44"/>
  <c r="D343" i="44"/>
  <c r="C343" i="44"/>
  <c r="B343" i="44"/>
  <c r="D342" i="44"/>
  <c r="C342" i="44"/>
  <c r="B342" i="44"/>
  <c r="D341" i="44"/>
  <c r="C341" i="44"/>
  <c r="B341" i="44"/>
  <c r="D340" i="44"/>
  <c r="C340" i="44"/>
  <c r="B340" i="44"/>
  <c r="D339" i="44"/>
  <c r="C339" i="44"/>
  <c r="B339" i="44"/>
  <c r="D338" i="44"/>
  <c r="C338" i="44"/>
  <c r="B338" i="44"/>
  <c r="D337" i="44"/>
  <c r="C337" i="44"/>
  <c r="B337" i="44"/>
  <c r="D336" i="44"/>
  <c r="C336" i="44"/>
  <c r="B336" i="44"/>
  <c r="D335" i="44"/>
  <c r="C335" i="44"/>
  <c r="B335" i="44"/>
  <c r="D334" i="44"/>
  <c r="C334" i="44"/>
  <c r="B334" i="44"/>
  <c r="D333" i="44"/>
  <c r="C333" i="44"/>
  <c r="B333" i="44"/>
  <c r="D332" i="44"/>
  <c r="C332" i="44"/>
  <c r="B332" i="44"/>
  <c r="D331" i="44"/>
  <c r="C331" i="44"/>
  <c r="B331" i="44"/>
  <c r="D330" i="44"/>
  <c r="C330" i="44"/>
  <c r="B330" i="44"/>
  <c r="D329" i="44"/>
  <c r="C329" i="44"/>
  <c r="B329" i="44"/>
  <c r="D328" i="44"/>
  <c r="C328" i="44"/>
  <c r="B328" i="44"/>
  <c r="D327" i="44"/>
  <c r="C327" i="44"/>
  <c r="B327" i="44"/>
  <c r="D326" i="44"/>
  <c r="C326" i="44"/>
  <c r="B326" i="44"/>
  <c r="D325" i="44"/>
  <c r="C325" i="44"/>
  <c r="B325" i="44"/>
  <c r="D324" i="44"/>
  <c r="C324" i="44"/>
  <c r="B324" i="44"/>
  <c r="D323" i="44"/>
  <c r="C323" i="44"/>
  <c r="B323" i="44"/>
  <c r="D322" i="44"/>
  <c r="C322" i="44"/>
  <c r="B322" i="44"/>
  <c r="D321" i="44"/>
  <c r="C321" i="44"/>
  <c r="B321" i="44"/>
  <c r="D320" i="44"/>
  <c r="C320" i="44"/>
  <c r="B320" i="44"/>
  <c r="D319" i="44"/>
  <c r="C319" i="44"/>
  <c r="B319" i="44"/>
  <c r="D318" i="44"/>
  <c r="C318" i="44"/>
  <c r="B318" i="44"/>
  <c r="D317" i="44"/>
  <c r="C317" i="44"/>
  <c r="B317" i="44"/>
  <c r="D316" i="44"/>
  <c r="C316" i="44"/>
  <c r="B316" i="44"/>
  <c r="D315" i="44"/>
  <c r="C315" i="44"/>
  <c r="B315" i="44"/>
  <c r="D314" i="44"/>
  <c r="C314" i="44"/>
  <c r="B314" i="44"/>
  <c r="D313" i="44"/>
  <c r="C313" i="44"/>
  <c r="B313" i="44"/>
  <c r="D312" i="44"/>
  <c r="C312" i="44"/>
  <c r="B312" i="44"/>
  <c r="D311" i="44"/>
  <c r="C311" i="44"/>
  <c r="B311" i="44"/>
  <c r="D310" i="44"/>
  <c r="C310" i="44"/>
  <c r="B310" i="44"/>
  <c r="D309" i="44"/>
  <c r="C309" i="44"/>
  <c r="B309" i="44"/>
  <c r="D308" i="44"/>
  <c r="C308" i="44"/>
  <c r="B308" i="44"/>
  <c r="D307" i="44"/>
  <c r="C307" i="44"/>
  <c r="B307" i="44"/>
  <c r="D306" i="44"/>
  <c r="C306" i="44"/>
  <c r="B306" i="44"/>
  <c r="D305" i="44"/>
  <c r="C305" i="44"/>
  <c r="B305" i="44"/>
  <c r="D304" i="44"/>
  <c r="C304" i="44"/>
  <c r="B304" i="44"/>
  <c r="D303" i="44"/>
  <c r="C303" i="44"/>
  <c r="B303" i="44"/>
  <c r="D302" i="44"/>
  <c r="C302" i="44"/>
  <c r="B302" i="44"/>
  <c r="D301" i="44"/>
  <c r="C301" i="44"/>
  <c r="B301" i="44"/>
  <c r="D300" i="44"/>
  <c r="C300" i="44"/>
  <c r="B300" i="44"/>
  <c r="D299" i="44"/>
  <c r="C299" i="44"/>
  <c r="B299" i="44"/>
  <c r="D298" i="44"/>
  <c r="C298" i="44"/>
  <c r="B298" i="44"/>
  <c r="D297" i="44"/>
  <c r="C297" i="44"/>
  <c r="B297" i="44"/>
  <c r="D296" i="44"/>
  <c r="C296" i="44"/>
  <c r="B296" i="44"/>
  <c r="D295" i="44"/>
  <c r="C295" i="44"/>
  <c r="B295" i="44"/>
  <c r="D294" i="44"/>
  <c r="C294" i="44"/>
  <c r="B294" i="44"/>
  <c r="D293" i="44"/>
  <c r="C293" i="44"/>
  <c r="B293" i="44"/>
  <c r="D292" i="44"/>
  <c r="C292" i="44"/>
  <c r="B292" i="44"/>
  <c r="D291" i="44"/>
  <c r="C291" i="44"/>
  <c r="B291" i="44"/>
  <c r="D290" i="44"/>
  <c r="C290" i="44"/>
  <c r="B290" i="44"/>
  <c r="D289" i="44"/>
  <c r="C289" i="44"/>
  <c r="B289" i="44"/>
  <c r="D288" i="44"/>
  <c r="C288" i="44"/>
  <c r="B288" i="44"/>
  <c r="D287" i="44"/>
  <c r="C287" i="44"/>
  <c r="B287" i="44"/>
  <c r="D286" i="44"/>
  <c r="C286" i="44"/>
  <c r="B286" i="44"/>
  <c r="D285" i="44"/>
  <c r="C285" i="44"/>
  <c r="B285" i="44"/>
  <c r="D284" i="44"/>
  <c r="C284" i="44"/>
  <c r="B284" i="44"/>
  <c r="D283" i="44"/>
  <c r="C283" i="44"/>
  <c r="B283" i="44"/>
  <c r="D282" i="44"/>
  <c r="C282" i="44"/>
  <c r="B282" i="44"/>
  <c r="D281" i="44"/>
  <c r="C281" i="44"/>
  <c r="B281" i="44"/>
  <c r="D280" i="44"/>
  <c r="C280" i="44"/>
  <c r="B280" i="44"/>
  <c r="D279" i="44"/>
  <c r="C279" i="44"/>
  <c r="B279" i="44"/>
  <c r="D278" i="44"/>
  <c r="C278" i="44"/>
  <c r="B278" i="44"/>
  <c r="D277" i="44"/>
  <c r="C277" i="44"/>
  <c r="B277" i="44"/>
  <c r="D276" i="44"/>
  <c r="C276" i="44"/>
  <c r="B276" i="44"/>
  <c r="D275" i="44"/>
  <c r="C275" i="44"/>
  <c r="B275" i="44"/>
  <c r="D274" i="44"/>
  <c r="C274" i="44"/>
  <c r="B274" i="44"/>
  <c r="D273" i="44"/>
  <c r="C273" i="44"/>
  <c r="B273" i="44"/>
  <c r="D272" i="44"/>
  <c r="C272" i="44"/>
  <c r="B272" i="44"/>
  <c r="D271" i="44"/>
  <c r="C271" i="44"/>
  <c r="B271" i="44"/>
  <c r="D270" i="44"/>
  <c r="C270" i="44"/>
  <c r="B270" i="44"/>
  <c r="D269" i="44"/>
  <c r="C269" i="44"/>
  <c r="B269" i="44"/>
  <c r="D268" i="44"/>
  <c r="C268" i="44"/>
  <c r="B268" i="44"/>
  <c r="D267" i="44"/>
  <c r="C267" i="44"/>
  <c r="B267" i="44"/>
  <c r="D266" i="44"/>
  <c r="C266" i="44"/>
  <c r="B266" i="44"/>
  <c r="D265" i="44"/>
  <c r="C265" i="44"/>
  <c r="B265" i="44"/>
  <c r="D264" i="44"/>
  <c r="C264" i="44"/>
  <c r="B264" i="44"/>
  <c r="D263" i="44"/>
  <c r="C263" i="44"/>
  <c r="B263" i="44"/>
  <c r="D262" i="44"/>
  <c r="C262" i="44"/>
  <c r="B262" i="44"/>
  <c r="D261" i="44"/>
  <c r="C261" i="44"/>
  <c r="B261" i="44"/>
  <c r="D260" i="44"/>
  <c r="C260" i="44"/>
  <c r="B260" i="44"/>
  <c r="D259" i="44"/>
  <c r="C259" i="44"/>
  <c r="B259" i="44"/>
  <c r="D258" i="44"/>
  <c r="C258" i="44"/>
  <c r="B258" i="44"/>
  <c r="D257" i="44"/>
  <c r="C257" i="44"/>
  <c r="B257" i="44"/>
  <c r="D256" i="44"/>
  <c r="C256" i="44"/>
  <c r="B256" i="44"/>
  <c r="D255" i="44"/>
  <c r="C255" i="44"/>
  <c r="B255" i="44"/>
  <c r="D254" i="44"/>
  <c r="C254" i="44"/>
  <c r="B254" i="44"/>
  <c r="D253" i="44"/>
  <c r="C253" i="44"/>
  <c r="B253" i="44"/>
  <c r="D252" i="44"/>
  <c r="C252" i="44"/>
  <c r="B252" i="44"/>
  <c r="D251" i="44"/>
  <c r="C251" i="44"/>
  <c r="B251" i="44"/>
  <c r="D250" i="44"/>
  <c r="C250" i="44"/>
  <c r="B250" i="44"/>
  <c r="D249" i="44"/>
  <c r="C249" i="44"/>
  <c r="B249" i="44"/>
  <c r="D248" i="44"/>
  <c r="C248" i="44"/>
  <c r="B248" i="44"/>
  <c r="D247" i="44"/>
  <c r="C247" i="44"/>
  <c r="B247" i="44"/>
  <c r="D246" i="44"/>
  <c r="C246" i="44"/>
  <c r="B246" i="44"/>
  <c r="D245" i="44"/>
  <c r="C245" i="44"/>
  <c r="B245" i="44"/>
  <c r="D244" i="44"/>
  <c r="C244" i="44"/>
  <c r="B244" i="44"/>
  <c r="D243" i="44"/>
  <c r="C243" i="44"/>
  <c r="B243" i="44"/>
  <c r="D242" i="44"/>
  <c r="C242" i="44"/>
  <c r="B242" i="44"/>
  <c r="D241" i="44"/>
  <c r="C241" i="44"/>
  <c r="B241" i="44"/>
  <c r="D240" i="44"/>
  <c r="C240" i="44"/>
  <c r="B240" i="44"/>
  <c r="D239" i="44"/>
  <c r="C239" i="44"/>
  <c r="B239" i="44"/>
  <c r="D238" i="44"/>
  <c r="C238" i="44"/>
  <c r="B238" i="44"/>
  <c r="D237" i="44"/>
  <c r="C237" i="44"/>
  <c r="B237" i="44"/>
  <c r="D236" i="44"/>
  <c r="C236" i="44"/>
  <c r="B236" i="44"/>
  <c r="D235" i="44"/>
  <c r="C235" i="44"/>
  <c r="B235" i="44"/>
  <c r="D234" i="44"/>
  <c r="C234" i="44"/>
  <c r="B234" i="44"/>
  <c r="D233" i="44"/>
  <c r="C233" i="44"/>
  <c r="B233" i="44"/>
  <c r="D232" i="44"/>
  <c r="C232" i="44"/>
  <c r="B232" i="44"/>
  <c r="D231" i="44"/>
  <c r="C231" i="44"/>
  <c r="B231" i="44"/>
  <c r="D230" i="44"/>
  <c r="C230" i="44"/>
  <c r="B230" i="44"/>
  <c r="D229" i="44"/>
  <c r="C229" i="44"/>
  <c r="B229" i="44"/>
  <c r="D228" i="44"/>
  <c r="C228" i="44"/>
  <c r="B228" i="44"/>
  <c r="D227" i="44"/>
  <c r="C227" i="44"/>
  <c r="B227" i="44"/>
  <c r="D226" i="44"/>
  <c r="C226" i="44"/>
  <c r="B226" i="44"/>
  <c r="D225" i="44"/>
  <c r="C225" i="44"/>
  <c r="B225" i="44"/>
  <c r="D224" i="44"/>
  <c r="C224" i="44"/>
  <c r="B224" i="44"/>
  <c r="D223" i="44"/>
  <c r="C223" i="44"/>
  <c r="B223" i="44"/>
  <c r="D222" i="44"/>
  <c r="C222" i="44"/>
  <c r="B222" i="44"/>
  <c r="D221" i="44"/>
  <c r="C221" i="44"/>
  <c r="B221" i="44"/>
  <c r="D220" i="44"/>
  <c r="C220" i="44"/>
  <c r="B220" i="44"/>
  <c r="D219" i="44"/>
  <c r="C219" i="44"/>
  <c r="B219" i="44"/>
  <c r="D218" i="44"/>
  <c r="C218" i="44"/>
  <c r="B218" i="44"/>
  <c r="D217" i="44"/>
  <c r="C217" i="44"/>
  <c r="B217" i="44"/>
  <c r="D216" i="44"/>
  <c r="C216" i="44"/>
  <c r="B216" i="44"/>
  <c r="D215" i="44"/>
  <c r="C215" i="44"/>
  <c r="B215" i="44"/>
  <c r="D214" i="44"/>
  <c r="C214" i="44"/>
  <c r="B214" i="44"/>
  <c r="D213" i="44"/>
  <c r="C213" i="44"/>
  <c r="B213" i="44"/>
  <c r="D212" i="44"/>
  <c r="C212" i="44"/>
  <c r="B212" i="44"/>
  <c r="D211" i="44"/>
  <c r="C211" i="44"/>
  <c r="B211" i="44"/>
  <c r="D210" i="44"/>
  <c r="C210" i="44"/>
  <c r="B210" i="44"/>
  <c r="D209" i="44"/>
  <c r="C209" i="44"/>
  <c r="B209" i="44"/>
  <c r="D208" i="44"/>
  <c r="C208" i="44"/>
  <c r="B208" i="44"/>
  <c r="D207" i="44"/>
  <c r="C207" i="44"/>
  <c r="B207" i="44"/>
  <c r="D206" i="44"/>
  <c r="C206" i="44"/>
  <c r="B206" i="44"/>
  <c r="D205" i="44"/>
  <c r="C205" i="44"/>
  <c r="B205" i="44"/>
  <c r="D204" i="44"/>
  <c r="C204" i="44"/>
  <c r="B204" i="44"/>
  <c r="D203" i="44"/>
  <c r="C203" i="44"/>
  <c r="B203" i="44"/>
  <c r="D202" i="44"/>
  <c r="C202" i="44"/>
  <c r="B202" i="44"/>
  <c r="D201" i="44"/>
  <c r="C201" i="44"/>
  <c r="B201" i="44"/>
  <c r="D200" i="44"/>
  <c r="C200" i="44"/>
  <c r="B200" i="44"/>
  <c r="D199" i="44"/>
  <c r="C199" i="44"/>
  <c r="B199" i="44"/>
  <c r="D198" i="44"/>
  <c r="C198" i="44"/>
  <c r="B198" i="44"/>
  <c r="D197" i="44"/>
  <c r="C197" i="44"/>
  <c r="B197" i="44"/>
  <c r="D196" i="44"/>
  <c r="C196" i="44"/>
  <c r="B196" i="44"/>
  <c r="D195" i="44"/>
  <c r="C195" i="44"/>
  <c r="B195" i="44"/>
  <c r="D194" i="44"/>
  <c r="C194" i="44"/>
  <c r="B194" i="44"/>
  <c r="D193" i="44"/>
  <c r="C193" i="44"/>
  <c r="B193" i="44"/>
  <c r="D192" i="44"/>
  <c r="C192" i="44"/>
  <c r="B192" i="44"/>
  <c r="D191" i="44"/>
  <c r="C191" i="44"/>
  <c r="B191" i="44"/>
  <c r="D190" i="44"/>
  <c r="C190" i="44"/>
  <c r="B190" i="44"/>
  <c r="D189" i="44"/>
  <c r="C189" i="44"/>
  <c r="B189" i="44"/>
  <c r="D188" i="44"/>
  <c r="C188" i="44"/>
  <c r="B188" i="44"/>
  <c r="D187" i="44"/>
  <c r="C187" i="44"/>
  <c r="B187" i="44"/>
  <c r="D186" i="44"/>
  <c r="C186" i="44"/>
  <c r="B186" i="44"/>
  <c r="D185" i="44"/>
  <c r="C185" i="44"/>
  <c r="B185" i="44"/>
  <c r="D184" i="44"/>
  <c r="C184" i="44"/>
  <c r="B184" i="44"/>
  <c r="D183" i="44"/>
  <c r="C183" i="44"/>
  <c r="B183" i="44"/>
  <c r="D182" i="44"/>
  <c r="C182" i="44"/>
  <c r="B182" i="44"/>
  <c r="D181" i="44"/>
  <c r="C181" i="44"/>
  <c r="B181" i="44"/>
  <c r="D180" i="44"/>
  <c r="C180" i="44"/>
  <c r="B180" i="44"/>
  <c r="D179" i="44"/>
  <c r="C179" i="44"/>
  <c r="B179" i="44"/>
  <c r="D178" i="44"/>
  <c r="C178" i="44"/>
  <c r="B178" i="44"/>
  <c r="D177" i="44"/>
  <c r="C177" i="44"/>
  <c r="B177" i="44"/>
  <c r="D176" i="44"/>
  <c r="C176" i="44"/>
  <c r="B176" i="44"/>
  <c r="D175" i="44"/>
  <c r="C175" i="44"/>
  <c r="B175" i="44"/>
  <c r="D174" i="44"/>
  <c r="C174" i="44"/>
  <c r="B174" i="44"/>
  <c r="D173" i="44"/>
  <c r="C173" i="44"/>
  <c r="B173" i="44"/>
  <c r="D172" i="44"/>
  <c r="C172" i="44"/>
  <c r="B172" i="44"/>
  <c r="D171" i="44"/>
  <c r="C171" i="44"/>
  <c r="B171" i="44"/>
  <c r="D170" i="44"/>
  <c r="C170" i="44"/>
  <c r="B170" i="44"/>
  <c r="D169" i="44"/>
  <c r="C169" i="44"/>
  <c r="B169" i="44"/>
  <c r="D168" i="44"/>
  <c r="C168" i="44"/>
  <c r="B168" i="44"/>
  <c r="D167" i="44"/>
  <c r="C167" i="44"/>
  <c r="B167" i="44"/>
  <c r="D166" i="44"/>
  <c r="C166" i="44"/>
  <c r="B166" i="44"/>
  <c r="D165" i="44"/>
  <c r="C165" i="44"/>
  <c r="B165" i="44"/>
  <c r="D164" i="44"/>
  <c r="C164" i="44"/>
  <c r="B164" i="44"/>
  <c r="D163" i="44"/>
  <c r="C163" i="44"/>
  <c r="B163" i="44"/>
  <c r="D162" i="44"/>
  <c r="C162" i="44"/>
  <c r="B162" i="44"/>
  <c r="D161" i="44"/>
  <c r="C161" i="44"/>
  <c r="B161" i="44"/>
  <c r="D160" i="44"/>
  <c r="C160" i="44"/>
  <c r="B160" i="44"/>
  <c r="D159" i="44"/>
  <c r="C159" i="44"/>
  <c r="B159" i="44"/>
  <c r="D158" i="44"/>
  <c r="C158" i="44"/>
  <c r="B158" i="44"/>
  <c r="D157" i="44"/>
  <c r="C157" i="44"/>
  <c r="B157" i="44"/>
  <c r="D156" i="44"/>
  <c r="C156" i="44"/>
  <c r="B156" i="44"/>
  <c r="D155" i="44"/>
  <c r="C155" i="44"/>
  <c r="B155" i="44"/>
  <c r="D154" i="44"/>
  <c r="C154" i="44"/>
  <c r="B154" i="44"/>
  <c r="D153" i="44"/>
  <c r="C153" i="44"/>
  <c r="B153" i="44"/>
  <c r="D152" i="44"/>
  <c r="C152" i="44"/>
  <c r="B152" i="44"/>
  <c r="D151" i="44"/>
  <c r="C151" i="44"/>
  <c r="B151" i="44"/>
  <c r="D150" i="44"/>
  <c r="C150" i="44"/>
  <c r="B150" i="44"/>
  <c r="D149" i="44"/>
  <c r="C149" i="44"/>
  <c r="B149" i="44"/>
  <c r="D148" i="44"/>
  <c r="C148" i="44"/>
  <c r="B148" i="44"/>
  <c r="D147" i="44"/>
  <c r="C147" i="44"/>
  <c r="B147" i="44"/>
  <c r="D146" i="44"/>
  <c r="C146" i="44"/>
  <c r="B146" i="44"/>
  <c r="D145" i="44"/>
  <c r="C145" i="44"/>
  <c r="B145" i="44"/>
  <c r="D144" i="44"/>
  <c r="C144" i="44"/>
  <c r="B144" i="44"/>
  <c r="D143" i="44"/>
  <c r="C143" i="44"/>
  <c r="B143" i="44"/>
  <c r="D142" i="44"/>
  <c r="C142" i="44"/>
  <c r="B142" i="44"/>
  <c r="D141" i="44"/>
  <c r="C141" i="44"/>
  <c r="B141" i="44"/>
  <c r="D140" i="44"/>
  <c r="C140" i="44"/>
  <c r="B140" i="44"/>
  <c r="D139" i="44"/>
  <c r="C139" i="44"/>
  <c r="B139" i="44"/>
  <c r="D138" i="44"/>
  <c r="C138" i="44"/>
  <c r="B138" i="44"/>
  <c r="D137" i="44"/>
  <c r="C137" i="44"/>
  <c r="B137" i="44"/>
  <c r="D136" i="44"/>
  <c r="C136" i="44"/>
  <c r="B136" i="44"/>
  <c r="D135" i="44"/>
  <c r="C135" i="44"/>
  <c r="B135" i="44"/>
  <c r="D134" i="44"/>
  <c r="C134" i="44"/>
  <c r="B134" i="44"/>
  <c r="D133" i="44"/>
  <c r="C133" i="44"/>
  <c r="B133" i="44"/>
  <c r="D132" i="44"/>
  <c r="C132" i="44"/>
  <c r="B132" i="44"/>
  <c r="D131" i="44"/>
  <c r="C131" i="44"/>
  <c r="B131" i="44"/>
  <c r="D130" i="44"/>
  <c r="C130" i="44"/>
  <c r="B130" i="44"/>
  <c r="D129" i="44"/>
  <c r="C129" i="44"/>
  <c r="B129" i="44"/>
  <c r="D128" i="44"/>
  <c r="C128" i="44"/>
  <c r="B128" i="44"/>
  <c r="D127" i="44"/>
  <c r="C127" i="44"/>
  <c r="B127" i="44"/>
  <c r="D126" i="44"/>
  <c r="C126" i="44"/>
  <c r="B126" i="44"/>
  <c r="D125" i="44"/>
  <c r="C125" i="44"/>
  <c r="B125" i="44"/>
  <c r="D124" i="44"/>
  <c r="C124" i="44"/>
  <c r="B124" i="44"/>
  <c r="D123" i="44"/>
  <c r="C123" i="44"/>
  <c r="B123" i="44"/>
  <c r="D122" i="44"/>
  <c r="C122" i="44"/>
  <c r="B122" i="44"/>
  <c r="D121" i="44"/>
  <c r="C121" i="44"/>
  <c r="B121" i="44"/>
  <c r="D120" i="44"/>
  <c r="C120" i="44"/>
  <c r="B120" i="44"/>
  <c r="D119" i="44"/>
  <c r="C119" i="44"/>
  <c r="B119" i="44"/>
  <c r="D118" i="44"/>
  <c r="C118" i="44"/>
  <c r="B118" i="44"/>
  <c r="D117" i="44"/>
  <c r="C117" i="44"/>
  <c r="B117" i="44"/>
  <c r="D116" i="44"/>
  <c r="C116" i="44"/>
  <c r="B116" i="44"/>
  <c r="D115" i="44"/>
  <c r="C115" i="44"/>
  <c r="B115" i="44"/>
  <c r="D114" i="44"/>
  <c r="C114" i="44"/>
  <c r="B114" i="44"/>
  <c r="D113" i="44"/>
  <c r="C113" i="44"/>
  <c r="B113" i="44"/>
  <c r="D112" i="44"/>
  <c r="C112" i="44"/>
  <c r="B112" i="44"/>
  <c r="D111" i="44"/>
  <c r="C111" i="44"/>
  <c r="B111" i="44"/>
  <c r="D110" i="44"/>
  <c r="C110" i="44"/>
  <c r="B110" i="44"/>
  <c r="D109" i="44"/>
  <c r="C109" i="44"/>
  <c r="B109" i="44"/>
  <c r="D108" i="44"/>
  <c r="C108" i="44"/>
  <c r="B108" i="44"/>
  <c r="D107" i="44"/>
  <c r="C107" i="44"/>
  <c r="B107" i="44"/>
  <c r="D106" i="44"/>
  <c r="C106" i="44"/>
  <c r="B106" i="44"/>
  <c r="D105" i="44"/>
  <c r="C105" i="44"/>
  <c r="B105" i="44"/>
  <c r="D104" i="44"/>
  <c r="C104" i="44"/>
  <c r="B104" i="44"/>
  <c r="D103" i="44"/>
  <c r="C103" i="44"/>
  <c r="B103" i="44"/>
  <c r="D102" i="44"/>
  <c r="C102" i="44"/>
  <c r="B102" i="44"/>
  <c r="D101" i="44"/>
  <c r="C101" i="44"/>
  <c r="B101" i="44"/>
  <c r="D100" i="44"/>
  <c r="C100" i="44"/>
  <c r="B100" i="44"/>
  <c r="D99" i="44"/>
  <c r="C99" i="44"/>
  <c r="B99" i="44"/>
  <c r="D98" i="44"/>
  <c r="C98" i="44"/>
  <c r="B98" i="44"/>
  <c r="D97" i="44"/>
  <c r="C97" i="44"/>
  <c r="B97" i="44"/>
  <c r="D96" i="44"/>
  <c r="C96" i="44"/>
  <c r="B96" i="44"/>
  <c r="D95" i="44"/>
  <c r="C95" i="44"/>
  <c r="B95" i="44"/>
  <c r="D94" i="44"/>
  <c r="C94" i="44"/>
  <c r="B94" i="44"/>
  <c r="D93" i="44"/>
  <c r="C93" i="44"/>
  <c r="B93" i="44"/>
  <c r="D92" i="44"/>
  <c r="C92" i="44"/>
  <c r="B92" i="44"/>
  <c r="D91" i="44"/>
  <c r="C91" i="44"/>
  <c r="B91" i="44"/>
  <c r="D90" i="44"/>
  <c r="C90" i="44"/>
  <c r="B90" i="44"/>
  <c r="D89" i="44"/>
  <c r="C89" i="44"/>
  <c r="B89" i="44"/>
  <c r="D88" i="44"/>
  <c r="C88" i="44"/>
  <c r="B88" i="44"/>
  <c r="D87" i="44"/>
  <c r="C87" i="44"/>
  <c r="B87" i="44"/>
  <c r="D86" i="44"/>
  <c r="C86" i="44"/>
  <c r="B86" i="44"/>
  <c r="D85" i="44"/>
  <c r="C85" i="44"/>
  <c r="B85" i="44"/>
  <c r="D84" i="44"/>
  <c r="C84" i="44"/>
  <c r="B84" i="44"/>
  <c r="D83" i="44"/>
  <c r="C83" i="44"/>
  <c r="B83" i="44"/>
  <c r="D82" i="44"/>
  <c r="C82" i="44"/>
  <c r="B82" i="44"/>
  <c r="D81" i="44"/>
  <c r="C81" i="44"/>
  <c r="B81" i="44"/>
  <c r="D80" i="44"/>
  <c r="C80" i="44"/>
  <c r="B80" i="44"/>
  <c r="D79" i="44"/>
  <c r="C79" i="44"/>
  <c r="B79" i="44"/>
  <c r="D78" i="44"/>
  <c r="C78" i="44"/>
  <c r="B78" i="44"/>
  <c r="D77" i="44"/>
  <c r="C77" i="44"/>
  <c r="B77" i="44"/>
  <c r="D76" i="44"/>
  <c r="C76" i="44"/>
  <c r="B76" i="44"/>
  <c r="D75" i="44"/>
  <c r="C75" i="44"/>
  <c r="B75" i="44"/>
  <c r="D74" i="44"/>
  <c r="C74" i="44"/>
  <c r="B74" i="44"/>
  <c r="D73" i="44"/>
  <c r="C73" i="44"/>
  <c r="B73" i="44"/>
  <c r="D72" i="44"/>
  <c r="C72" i="44"/>
  <c r="B72" i="44"/>
  <c r="D71" i="44"/>
  <c r="C71" i="44"/>
  <c r="B71" i="44"/>
  <c r="D70" i="44"/>
  <c r="C70" i="44"/>
  <c r="B70" i="44"/>
  <c r="D69" i="44"/>
  <c r="C69" i="44"/>
  <c r="B69" i="44"/>
  <c r="D68" i="44"/>
  <c r="C68" i="44"/>
  <c r="B68" i="44"/>
  <c r="D67" i="44"/>
  <c r="C67" i="44"/>
  <c r="B67" i="44"/>
  <c r="D66" i="44"/>
  <c r="C66" i="44"/>
  <c r="B66" i="44"/>
  <c r="D65" i="44"/>
  <c r="C65" i="44"/>
  <c r="B65" i="44"/>
  <c r="D64" i="44"/>
  <c r="C64" i="44"/>
  <c r="B64" i="44"/>
  <c r="D63" i="44"/>
  <c r="C63" i="44"/>
  <c r="B63" i="44"/>
  <c r="D62" i="44"/>
  <c r="C62" i="44"/>
  <c r="B62" i="44"/>
  <c r="D61" i="44"/>
  <c r="C61" i="44"/>
  <c r="B61" i="44"/>
  <c r="D60" i="44"/>
  <c r="C60" i="44"/>
  <c r="B60" i="44"/>
  <c r="D59" i="44"/>
  <c r="C59" i="44"/>
  <c r="B59" i="44"/>
  <c r="D58" i="44"/>
  <c r="C58" i="44"/>
  <c r="B58" i="44"/>
  <c r="D57" i="44"/>
  <c r="C57" i="44"/>
  <c r="B57" i="44"/>
  <c r="D56" i="44"/>
  <c r="C56" i="44"/>
  <c r="B56" i="44"/>
  <c r="D55" i="44"/>
  <c r="C55" i="44"/>
  <c r="B55" i="44"/>
  <c r="D54" i="44"/>
  <c r="C54" i="44"/>
  <c r="B54" i="44"/>
  <c r="D53" i="44"/>
  <c r="C53" i="44"/>
  <c r="B53" i="44"/>
  <c r="D52" i="44"/>
  <c r="C52" i="44"/>
  <c r="B52" i="44"/>
  <c r="D51" i="44"/>
  <c r="C51" i="44"/>
  <c r="B51" i="44"/>
  <c r="D50" i="44"/>
  <c r="C50" i="44"/>
  <c r="B50" i="44"/>
  <c r="D49" i="44"/>
  <c r="C49" i="44"/>
  <c r="B49" i="44"/>
  <c r="D48" i="44"/>
  <c r="C48" i="44"/>
  <c r="B48" i="44"/>
  <c r="D47" i="44"/>
  <c r="C47" i="44"/>
  <c r="B47" i="44"/>
  <c r="D46" i="44"/>
  <c r="C46" i="44"/>
  <c r="B46" i="44"/>
  <c r="D45" i="44"/>
  <c r="C45" i="44"/>
  <c r="B45" i="44"/>
  <c r="D44" i="44"/>
  <c r="C44" i="44"/>
  <c r="B44" i="44"/>
  <c r="D43" i="44"/>
  <c r="C43" i="44"/>
  <c r="B43" i="44"/>
  <c r="D42" i="44"/>
  <c r="C42" i="44"/>
  <c r="B42" i="44"/>
  <c r="D41" i="44"/>
  <c r="C41" i="44"/>
  <c r="B41" i="44"/>
  <c r="D40" i="44"/>
  <c r="C40" i="44"/>
  <c r="B40" i="44"/>
  <c r="D39" i="44"/>
  <c r="C39" i="44"/>
  <c r="B39" i="44"/>
  <c r="D38" i="44"/>
  <c r="C38" i="44"/>
  <c r="B38" i="44"/>
  <c r="D37" i="44"/>
  <c r="C37" i="44"/>
  <c r="B37" i="44"/>
  <c r="D36" i="44"/>
  <c r="C36" i="44"/>
  <c r="B36" i="44"/>
  <c r="D35" i="44"/>
  <c r="C35" i="44"/>
  <c r="B35" i="44"/>
  <c r="D34" i="44"/>
  <c r="C34" i="44"/>
  <c r="B34" i="44"/>
  <c r="D33" i="44"/>
  <c r="C33" i="44"/>
  <c r="B33" i="44"/>
  <c r="D32" i="44"/>
  <c r="C32" i="44"/>
  <c r="B32" i="44"/>
  <c r="D31" i="44"/>
  <c r="C31" i="44"/>
  <c r="B31" i="44"/>
  <c r="D30" i="44"/>
  <c r="C30" i="44"/>
  <c r="B30" i="44"/>
  <c r="D29" i="44"/>
  <c r="C29" i="44"/>
  <c r="B29" i="44"/>
  <c r="D28" i="44"/>
  <c r="C28" i="44"/>
  <c r="B28" i="44"/>
  <c r="D27" i="44"/>
  <c r="C27" i="44"/>
  <c r="B27" i="44"/>
  <c r="D26" i="44"/>
  <c r="C26" i="44"/>
  <c r="B26" i="44"/>
  <c r="D25" i="44"/>
  <c r="C25" i="44"/>
  <c r="B25" i="44"/>
  <c r="D24" i="44"/>
  <c r="C24" i="44"/>
  <c r="B24" i="44"/>
  <c r="D23" i="44"/>
  <c r="C23" i="44"/>
  <c r="B23" i="44"/>
  <c r="D22" i="44"/>
  <c r="C22" i="44"/>
  <c r="B22" i="44"/>
  <c r="D21" i="44"/>
  <c r="C21" i="44"/>
  <c r="B21" i="44"/>
  <c r="D20" i="44"/>
  <c r="C20" i="44"/>
  <c r="B20" i="44"/>
  <c r="D19" i="44"/>
  <c r="C19" i="44"/>
  <c r="B19" i="44"/>
  <c r="D18" i="44"/>
  <c r="C18" i="44"/>
  <c r="B18" i="44"/>
  <c r="D17" i="44"/>
  <c r="C17" i="44"/>
  <c r="B17" i="44"/>
  <c r="D16" i="44"/>
  <c r="C16" i="44"/>
  <c r="B16" i="44"/>
  <c r="D15" i="44"/>
  <c r="C15" i="44"/>
  <c r="B15" i="44"/>
  <c r="D14" i="44"/>
  <c r="C14" i="44"/>
  <c r="B14" i="44"/>
  <c r="D13" i="44"/>
  <c r="C13" i="44"/>
  <c r="B13" i="44"/>
  <c r="D12" i="44"/>
  <c r="C12" i="44"/>
  <c r="B12" i="44"/>
  <c r="D11" i="44"/>
  <c r="C11" i="44"/>
  <c r="B11" i="44"/>
  <c r="D10" i="44"/>
  <c r="C10" i="44"/>
  <c r="B10" i="44"/>
  <c r="D9" i="44"/>
  <c r="C9" i="44"/>
  <c r="B9" i="44"/>
  <c r="D8" i="44"/>
  <c r="C8" i="44"/>
  <c r="B8" i="44"/>
  <c r="D7" i="44"/>
  <c r="C7" i="44"/>
  <c r="B7" i="44"/>
  <c r="D6" i="44"/>
  <c r="C6" i="44"/>
  <c r="B6" i="44"/>
  <c r="D5" i="44"/>
  <c r="C5" i="44"/>
  <c r="B5" i="44"/>
  <c r="D4" i="44"/>
  <c r="C4" i="44"/>
  <c r="B4" i="44"/>
  <c r="D3" i="44"/>
  <c r="C3" i="44"/>
  <c r="B3" i="44"/>
  <c r="A1" i="44"/>
  <c r="D36" i="40"/>
  <c r="B36" i="40"/>
  <c r="D35" i="40"/>
  <c r="B35" i="40"/>
  <c r="D34" i="40"/>
  <c r="B34" i="40"/>
  <c r="D33" i="40"/>
  <c r="B33" i="40"/>
  <c r="D31" i="40"/>
  <c r="B31" i="40"/>
  <c r="D30" i="40"/>
  <c r="B30" i="40"/>
  <c r="D29" i="40"/>
  <c r="B29" i="40"/>
  <c r="D28" i="40"/>
  <c r="B28" i="40"/>
  <c r="D27" i="40"/>
  <c r="B27" i="40"/>
  <c r="D26" i="40"/>
  <c r="B26" i="40"/>
  <c r="D25" i="40"/>
  <c r="B25" i="40"/>
  <c r="D24" i="40"/>
  <c r="B24" i="40"/>
  <c r="D23" i="40"/>
  <c r="B23" i="40"/>
  <c r="D22" i="40"/>
  <c r="B22" i="40"/>
  <c r="D21" i="40"/>
  <c r="B21" i="40"/>
  <c r="D20" i="40"/>
  <c r="B20" i="40"/>
  <c r="D19" i="40"/>
  <c r="B19" i="40"/>
  <c r="D18" i="40"/>
  <c r="B18" i="40"/>
  <c r="D17" i="40"/>
  <c r="B17" i="40"/>
  <c r="D16" i="40"/>
  <c r="B16" i="40"/>
  <c r="D15" i="40"/>
  <c r="B15" i="40"/>
  <c r="D13" i="40"/>
  <c r="B13" i="40"/>
  <c r="D12" i="40"/>
  <c r="B12" i="40"/>
  <c r="D11" i="40"/>
  <c r="B11" i="40"/>
  <c r="D10" i="40"/>
  <c r="B10" i="40"/>
  <c r="D9" i="40"/>
  <c r="B9" i="40"/>
  <c r="D8" i="40"/>
  <c r="B8" i="40"/>
  <c r="D6" i="40"/>
  <c r="B6" i="40"/>
  <c r="D5" i="40"/>
  <c r="B5" i="40"/>
  <c r="D115" i="41"/>
  <c r="B115" i="41"/>
  <c r="D114" i="41"/>
  <c r="B114" i="41"/>
  <c r="D113" i="41"/>
  <c r="B113" i="41"/>
  <c r="D112" i="41"/>
  <c r="B112" i="41"/>
  <c r="D111" i="41"/>
  <c r="B111" i="41"/>
  <c r="D110" i="41"/>
  <c r="B110" i="41"/>
  <c r="D109" i="41"/>
  <c r="B109" i="41"/>
  <c r="D108" i="41"/>
  <c r="B108" i="41"/>
  <c r="D107" i="41"/>
  <c r="B107" i="41"/>
  <c r="D106" i="41"/>
  <c r="B106" i="41"/>
  <c r="D105" i="41"/>
  <c r="B105" i="41"/>
  <c r="D104" i="41"/>
  <c r="B104" i="41"/>
  <c r="D102" i="41"/>
  <c r="B102" i="41"/>
  <c r="D101" i="41"/>
  <c r="B101" i="41"/>
  <c r="D100" i="41"/>
  <c r="B100" i="41"/>
  <c r="D99" i="41"/>
  <c r="B99" i="41"/>
  <c r="D98" i="41"/>
  <c r="B98" i="41"/>
  <c r="D97" i="41"/>
  <c r="B97" i="41"/>
  <c r="D96" i="41"/>
  <c r="B96" i="41"/>
  <c r="D95" i="41"/>
  <c r="B95" i="41"/>
  <c r="D94" i="41"/>
  <c r="B94" i="41"/>
  <c r="D93" i="41"/>
  <c r="B93" i="41"/>
  <c r="D92" i="41"/>
  <c r="B92" i="41"/>
  <c r="D91" i="41"/>
  <c r="B91" i="41"/>
  <c r="D90" i="41"/>
  <c r="B90" i="41"/>
  <c r="D89" i="41"/>
  <c r="B89" i="41"/>
  <c r="D88" i="41"/>
  <c r="B88" i="41"/>
  <c r="D87" i="41"/>
  <c r="B87" i="41"/>
  <c r="D86" i="41"/>
  <c r="B86" i="41"/>
  <c r="D84" i="41"/>
  <c r="B84" i="41"/>
  <c r="D82" i="41"/>
  <c r="B82" i="41"/>
  <c r="D81" i="41"/>
  <c r="B81" i="41"/>
  <c r="D80" i="41"/>
  <c r="B80" i="41"/>
  <c r="D79" i="41"/>
  <c r="B79" i="41"/>
  <c r="D78" i="41"/>
  <c r="B78" i="41"/>
  <c r="D77" i="41"/>
  <c r="B77" i="41"/>
  <c r="D76" i="41"/>
  <c r="B76" i="41"/>
  <c r="D75" i="41"/>
  <c r="B75" i="41"/>
  <c r="D74" i="41"/>
  <c r="B74" i="41"/>
  <c r="D73" i="41"/>
  <c r="B73" i="41"/>
  <c r="D72" i="41"/>
  <c r="B72" i="41"/>
  <c r="D71" i="41"/>
  <c r="B71" i="41"/>
  <c r="D70" i="41"/>
  <c r="B70" i="41"/>
  <c r="D69" i="41"/>
  <c r="B69" i="41"/>
  <c r="D68" i="41"/>
  <c r="B68" i="41"/>
  <c r="D67" i="41"/>
  <c r="B67" i="41"/>
  <c r="D66" i="41"/>
  <c r="B66" i="41"/>
  <c r="D65" i="41"/>
  <c r="B65" i="41"/>
  <c r="D64" i="41"/>
  <c r="B64" i="41"/>
  <c r="D63" i="41"/>
  <c r="B63" i="41"/>
  <c r="D62" i="41"/>
  <c r="B62" i="41"/>
  <c r="D61" i="41"/>
  <c r="B61" i="41"/>
  <c r="D60" i="41"/>
  <c r="B60" i="41"/>
  <c r="D58" i="41"/>
  <c r="B58" i="41"/>
  <c r="D57" i="41"/>
  <c r="B57" i="41"/>
  <c r="D56" i="41"/>
  <c r="B56" i="41"/>
  <c r="D55" i="41"/>
  <c r="B55" i="41"/>
  <c r="D54" i="41"/>
  <c r="B54" i="41"/>
  <c r="D53" i="41"/>
  <c r="B53" i="41"/>
  <c r="D52" i="41"/>
  <c r="B52" i="41"/>
  <c r="D50" i="41"/>
  <c r="B50" i="41"/>
  <c r="D49" i="41"/>
  <c r="B49" i="41"/>
  <c r="D48" i="41"/>
  <c r="B48" i="41"/>
  <c r="D47" i="41"/>
  <c r="B47" i="41"/>
  <c r="D46" i="41"/>
  <c r="B46" i="41"/>
  <c r="D45" i="41"/>
  <c r="B45" i="41"/>
  <c r="D44" i="41"/>
  <c r="B44" i="41"/>
  <c r="D42" i="41"/>
  <c r="B42" i="41"/>
  <c r="D41" i="41"/>
  <c r="B41" i="41"/>
  <c r="D40" i="41"/>
  <c r="B40" i="41"/>
  <c r="D39" i="41"/>
  <c r="B39" i="41"/>
  <c r="D38" i="41"/>
  <c r="B38" i="41"/>
  <c r="D37" i="41"/>
  <c r="B37" i="41"/>
  <c r="D36" i="41"/>
  <c r="B36" i="41"/>
  <c r="D35" i="41"/>
  <c r="B35" i="41"/>
  <c r="D34" i="41"/>
  <c r="B34" i="41"/>
  <c r="D32" i="41"/>
  <c r="B32" i="41"/>
  <c r="D31" i="41"/>
  <c r="B31" i="41"/>
  <c r="D30" i="41"/>
  <c r="B30" i="41"/>
  <c r="D29" i="41"/>
  <c r="B29" i="41"/>
  <c r="D28" i="41"/>
  <c r="B28" i="41"/>
  <c r="D27" i="41"/>
  <c r="B27" i="41"/>
  <c r="D26" i="41"/>
  <c r="B26" i="41"/>
  <c r="D25" i="41"/>
  <c r="B25" i="41"/>
  <c r="D24" i="41"/>
  <c r="B24" i="41"/>
  <c r="D23" i="41"/>
  <c r="B23" i="41"/>
  <c r="D22" i="41"/>
  <c r="B22" i="41"/>
  <c r="D21" i="41"/>
  <c r="B21" i="41"/>
  <c r="D20" i="41"/>
  <c r="B20" i="41"/>
  <c r="D19" i="41"/>
  <c r="B19" i="41"/>
  <c r="D18" i="41"/>
  <c r="B18" i="41"/>
  <c r="D17" i="41"/>
  <c r="B17" i="41"/>
  <c r="D16" i="41"/>
  <c r="B16" i="41"/>
  <c r="D15" i="41"/>
  <c r="B15" i="41"/>
  <c r="D14" i="41"/>
  <c r="B14" i="41"/>
  <c r="D13" i="41"/>
  <c r="B13" i="41"/>
  <c r="D12" i="41"/>
  <c r="B12" i="41"/>
  <c r="D11" i="41"/>
  <c r="B11" i="41"/>
  <c r="D9" i="41"/>
  <c r="D8" i="41"/>
  <c r="D7" i="41"/>
  <c r="D6" i="41"/>
  <c r="D5" i="41"/>
  <c r="D6" i="46"/>
  <c r="D5" i="46"/>
  <c r="D4" i="46"/>
  <c r="F115" i="29"/>
  <c r="E115" i="29"/>
  <c r="D115" i="29"/>
  <c r="C115" i="29"/>
  <c r="B115" i="29"/>
  <c r="A115" i="29"/>
  <c r="F114" i="29"/>
  <c r="E114" i="29"/>
  <c r="D114" i="29"/>
  <c r="C114" i="29"/>
  <c r="B114" i="29"/>
  <c r="A114" i="29"/>
  <c r="F113" i="29"/>
  <c r="E113" i="29"/>
  <c r="D113" i="29"/>
  <c r="C113" i="29"/>
  <c r="B113" i="29"/>
  <c r="A113" i="29"/>
  <c r="F112" i="29"/>
  <c r="E112" i="29"/>
  <c r="D112" i="29"/>
  <c r="C112" i="29"/>
  <c r="B112" i="29"/>
  <c r="A112" i="29"/>
  <c r="F111" i="29"/>
  <c r="E111" i="29"/>
  <c r="D111" i="29"/>
  <c r="C111" i="29"/>
  <c r="B111" i="29"/>
  <c r="A111" i="29"/>
  <c r="F110" i="29"/>
  <c r="E110" i="29"/>
  <c r="D110" i="29"/>
  <c r="C110" i="29"/>
  <c r="B110" i="29"/>
  <c r="A110" i="29"/>
  <c r="F109" i="29"/>
  <c r="E109" i="29"/>
  <c r="D109" i="29"/>
  <c r="C109" i="29"/>
  <c r="B109" i="29"/>
  <c r="A109" i="29"/>
  <c r="F108" i="29"/>
  <c r="E108" i="29"/>
  <c r="D108" i="29"/>
  <c r="C108" i="29"/>
  <c r="B108" i="29"/>
  <c r="A108" i="29"/>
  <c r="F107" i="29"/>
  <c r="E107" i="29"/>
  <c r="D107" i="29"/>
  <c r="C107" i="29"/>
  <c r="B107" i="29"/>
  <c r="A107" i="29"/>
  <c r="F106" i="29"/>
  <c r="E106" i="29"/>
  <c r="D106" i="29"/>
  <c r="C106" i="29"/>
  <c r="B106" i="29"/>
  <c r="A106" i="29"/>
  <c r="F105" i="29"/>
  <c r="E105" i="29"/>
  <c r="D105" i="29"/>
  <c r="C105" i="29"/>
  <c r="B105" i="29"/>
  <c r="A105" i="29"/>
  <c r="F104" i="29"/>
  <c r="E104" i="29"/>
  <c r="D104" i="29"/>
  <c r="C104" i="29"/>
  <c r="B104" i="29"/>
  <c r="A104" i="29"/>
  <c r="F103" i="29"/>
  <c r="E103" i="29"/>
  <c r="D103" i="29"/>
  <c r="C103" i="29"/>
  <c r="B103" i="29"/>
  <c r="A103" i="29"/>
  <c r="F102" i="29"/>
  <c r="E102" i="29"/>
  <c r="D102" i="29"/>
  <c r="C102" i="29"/>
  <c r="B102" i="29"/>
  <c r="A102" i="29"/>
  <c r="F101" i="29"/>
  <c r="E101" i="29"/>
  <c r="D101" i="29"/>
  <c r="C101" i="29"/>
  <c r="B101" i="29"/>
  <c r="A101" i="29"/>
  <c r="F100" i="29"/>
  <c r="E100" i="29"/>
  <c r="D100" i="29"/>
  <c r="C100" i="29"/>
  <c r="B100" i="29"/>
  <c r="A100" i="29"/>
  <c r="F99" i="29"/>
  <c r="E99" i="29"/>
  <c r="D99" i="29"/>
  <c r="C99" i="29"/>
  <c r="B99" i="29"/>
  <c r="A99" i="29"/>
  <c r="F98" i="29"/>
  <c r="E98" i="29"/>
  <c r="D98" i="29"/>
  <c r="C98" i="29"/>
  <c r="B98" i="29"/>
  <c r="A98" i="29"/>
  <c r="F97" i="29"/>
  <c r="E97" i="29"/>
  <c r="D97" i="29"/>
  <c r="C97" i="29"/>
  <c r="B97" i="29"/>
  <c r="A97" i="29"/>
  <c r="F96" i="29"/>
  <c r="E96" i="29"/>
  <c r="D96" i="29"/>
  <c r="C96" i="29"/>
  <c r="B96" i="29"/>
  <c r="A96" i="29"/>
  <c r="F95" i="29"/>
  <c r="E95" i="29"/>
  <c r="D95" i="29"/>
  <c r="C95" i="29"/>
  <c r="B95" i="29"/>
  <c r="A95" i="29"/>
  <c r="F94" i="29"/>
  <c r="E94" i="29"/>
  <c r="D94" i="29"/>
  <c r="C94" i="29"/>
  <c r="B94" i="29"/>
  <c r="A94" i="29"/>
  <c r="F93" i="29"/>
  <c r="E93" i="29"/>
  <c r="D93" i="29"/>
  <c r="C93" i="29"/>
  <c r="B93" i="29"/>
  <c r="A93" i="29"/>
  <c r="F92" i="29"/>
  <c r="E92" i="29"/>
  <c r="D92" i="29"/>
  <c r="C92" i="29"/>
  <c r="B92" i="29"/>
  <c r="A92" i="29"/>
  <c r="F91" i="29"/>
  <c r="E91" i="29"/>
  <c r="D91" i="29"/>
  <c r="C91" i="29"/>
  <c r="B91" i="29"/>
  <c r="A91" i="29"/>
  <c r="F90" i="29"/>
  <c r="E90" i="29"/>
  <c r="D90" i="29"/>
  <c r="C90" i="29"/>
  <c r="B90" i="29"/>
  <c r="A90" i="29"/>
  <c r="F89" i="29"/>
  <c r="E89" i="29"/>
  <c r="D89" i="29"/>
  <c r="C89" i="29"/>
  <c r="B89" i="29"/>
  <c r="A89" i="29"/>
  <c r="F88" i="29"/>
  <c r="E88" i="29"/>
  <c r="D88" i="29"/>
  <c r="C88" i="29"/>
  <c r="B88" i="29"/>
  <c r="A88" i="29"/>
  <c r="F87" i="29"/>
  <c r="E87" i="29"/>
  <c r="D87" i="29"/>
  <c r="C87" i="29"/>
  <c r="B87" i="29"/>
  <c r="A87" i="29"/>
  <c r="F86" i="29"/>
  <c r="E86" i="29"/>
  <c r="D86" i="29"/>
  <c r="C86" i="29"/>
  <c r="B86" i="29"/>
  <c r="A86" i="29"/>
  <c r="F85" i="29"/>
  <c r="E85" i="29"/>
  <c r="D85" i="29"/>
  <c r="C85" i="29"/>
  <c r="B85" i="29"/>
  <c r="A85" i="29"/>
  <c r="F84" i="29"/>
  <c r="E84" i="29"/>
  <c r="D84" i="29"/>
  <c r="C84" i="29"/>
  <c r="B84" i="29"/>
  <c r="A84" i="29"/>
  <c r="F83" i="29"/>
  <c r="E83" i="29"/>
  <c r="D83" i="29"/>
  <c r="C83" i="29"/>
  <c r="B83" i="29"/>
  <c r="A83" i="29"/>
  <c r="F82" i="29"/>
  <c r="E82" i="29"/>
  <c r="D82" i="29"/>
  <c r="C82" i="29"/>
  <c r="B82" i="29"/>
  <c r="A82" i="29"/>
  <c r="F81" i="29"/>
  <c r="E81" i="29"/>
  <c r="D81" i="29"/>
  <c r="C81" i="29"/>
  <c r="B81" i="29"/>
  <c r="A81" i="29"/>
  <c r="F80" i="29"/>
  <c r="E80" i="29"/>
  <c r="D80" i="29"/>
  <c r="C80" i="29"/>
  <c r="B80" i="29"/>
  <c r="A80" i="29"/>
  <c r="F79" i="29"/>
  <c r="E79" i="29"/>
  <c r="D79" i="29"/>
  <c r="C79" i="29"/>
  <c r="B79" i="29"/>
  <c r="A79" i="29"/>
  <c r="F78" i="29"/>
  <c r="E78" i="29"/>
  <c r="D78" i="29"/>
  <c r="C78" i="29"/>
  <c r="B78" i="29"/>
  <c r="A78" i="29"/>
  <c r="F77" i="29"/>
  <c r="E77" i="29"/>
  <c r="D77" i="29"/>
  <c r="C77" i="29"/>
  <c r="B77" i="29"/>
  <c r="A77" i="29"/>
  <c r="F76" i="29"/>
  <c r="E76" i="29"/>
  <c r="D76" i="29"/>
  <c r="C76" i="29"/>
  <c r="B76" i="29"/>
  <c r="A76" i="29"/>
  <c r="F75" i="29"/>
  <c r="E75" i="29"/>
  <c r="D75" i="29"/>
  <c r="C75" i="29"/>
  <c r="B75" i="29"/>
  <c r="A75" i="29"/>
  <c r="F74" i="29"/>
  <c r="E74" i="29"/>
  <c r="D74" i="29"/>
  <c r="C74" i="29"/>
  <c r="B74" i="29"/>
  <c r="A74" i="29"/>
  <c r="F73" i="29"/>
  <c r="E73" i="29"/>
  <c r="D73" i="29"/>
  <c r="C73" i="29"/>
  <c r="B73" i="29"/>
  <c r="A73" i="29"/>
  <c r="F72" i="29"/>
  <c r="E72" i="29"/>
  <c r="D72" i="29"/>
  <c r="C72" i="29"/>
  <c r="B72" i="29"/>
  <c r="A72" i="29"/>
  <c r="F71" i="29"/>
  <c r="E71" i="29"/>
  <c r="D71" i="29"/>
  <c r="C71" i="29"/>
  <c r="B71" i="29"/>
  <c r="A71" i="29"/>
  <c r="F70" i="29"/>
  <c r="E70" i="29"/>
  <c r="D70" i="29"/>
  <c r="C70" i="29"/>
  <c r="B70" i="29"/>
  <c r="A70" i="29"/>
  <c r="F69" i="29"/>
  <c r="E69" i="29"/>
  <c r="D69" i="29"/>
  <c r="C69" i="29"/>
  <c r="B69" i="29"/>
  <c r="A69" i="29"/>
  <c r="F68" i="29"/>
  <c r="E68" i="29"/>
  <c r="D68" i="29"/>
  <c r="C68" i="29"/>
  <c r="B68" i="29"/>
  <c r="A68" i="29"/>
  <c r="F67" i="29"/>
  <c r="E67" i="29"/>
  <c r="D67" i="29"/>
  <c r="C67" i="29"/>
  <c r="B67" i="29"/>
  <c r="A67" i="29"/>
  <c r="F66" i="29"/>
  <c r="E66" i="29"/>
  <c r="D66" i="29"/>
  <c r="C66" i="29"/>
  <c r="B66" i="29"/>
  <c r="A66" i="29"/>
  <c r="F65" i="29"/>
  <c r="E65" i="29"/>
  <c r="D65" i="29"/>
  <c r="C65" i="29"/>
  <c r="B65" i="29"/>
  <c r="A65" i="29"/>
  <c r="F64" i="29"/>
  <c r="E64" i="29"/>
  <c r="D64" i="29"/>
  <c r="C64" i="29"/>
  <c r="B64" i="29"/>
  <c r="A64" i="29"/>
  <c r="F63" i="29"/>
  <c r="E63" i="29"/>
  <c r="D63" i="29"/>
  <c r="C63" i="29"/>
  <c r="B63" i="29"/>
  <c r="A63" i="29"/>
  <c r="F62" i="29"/>
  <c r="E62" i="29"/>
  <c r="D62" i="29"/>
  <c r="C62" i="29"/>
  <c r="B62" i="29"/>
  <c r="A62" i="29"/>
  <c r="F61" i="29"/>
  <c r="E61" i="29"/>
  <c r="D61" i="29"/>
  <c r="C61" i="29"/>
  <c r="B61" i="29"/>
  <c r="A61" i="29"/>
  <c r="F60" i="29"/>
  <c r="E60" i="29"/>
  <c r="D60" i="29"/>
  <c r="C60" i="29"/>
  <c r="B60" i="29"/>
  <c r="A60" i="29"/>
  <c r="F59" i="29"/>
  <c r="E59" i="29"/>
  <c r="D59" i="29"/>
  <c r="C59" i="29"/>
  <c r="B59" i="29"/>
  <c r="A59" i="29"/>
  <c r="F58" i="29"/>
  <c r="E58" i="29"/>
  <c r="D58" i="29"/>
  <c r="C58" i="29"/>
  <c r="B58" i="29"/>
  <c r="A58" i="29"/>
  <c r="F57" i="29"/>
  <c r="E57" i="29"/>
  <c r="D57" i="29"/>
  <c r="C57" i="29"/>
  <c r="B57" i="29"/>
  <c r="A57" i="29"/>
  <c r="F56" i="29"/>
  <c r="E56" i="29"/>
  <c r="D56" i="29"/>
  <c r="C56" i="29"/>
  <c r="B56" i="29"/>
  <c r="A56" i="29"/>
  <c r="F55" i="29"/>
  <c r="E55" i="29"/>
  <c r="D55" i="29"/>
  <c r="C55" i="29"/>
  <c r="B55" i="29"/>
  <c r="A55" i="29"/>
  <c r="F54" i="29"/>
  <c r="E54" i="29"/>
  <c r="D54" i="29"/>
  <c r="C54" i="29"/>
  <c r="B54" i="29"/>
  <c r="A54" i="29"/>
  <c r="F53" i="29"/>
  <c r="E53" i="29"/>
  <c r="D53" i="29"/>
  <c r="C53" i="29"/>
  <c r="B53" i="29"/>
  <c r="A53" i="29"/>
  <c r="F52" i="29"/>
  <c r="E52" i="29"/>
  <c r="D52" i="29"/>
  <c r="C52" i="29"/>
  <c r="B52" i="29"/>
  <c r="A52" i="29"/>
  <c r="F51" i="29"/>
  <c r="E51" i="29"/>
  <c r="D51" i="29"/>
  <c r="C51" i="29"/>
  <c r="B51" i="29"/>
  <c r="A51" i="29"/>
  <c r="F50" i="29"/>
  <c r="E50" i="29"/>
  <c r="D50" i="29"/>
  <c r="C50" i="29"/>
  <c r="B50" i="29"/>
  <c r="A50" i="29"/>
  <c r="F49" i="29"/>
  <c r="E49" i="29"/>
  <c r="D49" i="29"/>
  <c r="C49" i="29"/>
  <c r="B49" i="29"/>
  <c r="A49" i="29"/>
  <c r="F48" i="29"/>
  <c r="E48" i="29"/>
  <c r="D48" i="29"/>
  <c r="C48" i="29"/>
  <c r="B48" i="29"/>
  <c r="A48" i="29"/>
  <c r="F47" i="29"/>
  <c r="E47" i="29"/>
  <c r="D47" i="29"/>
  <c r="C47" i="29"/>
  <c r="B47" i="29"/>
  <c r="A47" i="29"/>
  <c r="F46" i="29"/>
  <c r="E46" i="29"/>
  <c r="D46" i="29"/>
  <c r="C46" i="29"/>
  <c r="B46" i="29"/>
  <c r="A46" i="29"/>
  <c r="F45" i="29"/>
  <c r="E45" i="29"/>
  <c r="D45" i="29"/>
  <c r="C45" i="29"/>
  <c r="B45" i="29"/>
  <c r="A45" i="29"/>
  <c r="F44" i="29"/>
  <c r="E44" i="29"/>
  <c r="D44" i="29"/>
  <c r="C44" i="29"/>
  <c r="B44" i="29"/>
  <c r="A44" i="29"/>
  <c r="F43" i="29"/>
  <c r="E43" i="29"/>
  <c r="D43" i="29"/>
  <c r="C43" i="29"/>
  <c r="B43" i="29"/>
  <c r="A43" i="29"/>
  <c r="F42" i="29"/>
  <c r="E42" i="29"/>
  <c r="D42" i="29"/>
  <c r="C42" i="29"/>
  <c r="B42" i="29"/>
  <c r="A42" i="29"/>
  <c r="F41" i="29"/>
  <c r="E41" i="29"/>
  <c r="D41" i="29"/>
  <c r="C41" i="29"/>
  <c r="B41" i="29"/>
  <c r="A41" i="29"/>
  <c r="F40" i="29"/>
  <c r="E40" i="29"/>
  <c r="D40" i="29"/>
  <c r="C40" i="29"/>
  <c r="B40" i="29"/>
  <c r="A40" i="29"/>
  <c r="F39" i="29"/>
  <c r="E39" i="29"/>
  <c r="D39" i="29"/>
  <c r="C39" i="29"/>
  <c r="B39" i="29"/>
  <c r="A39" i="29"/>
  <c r="F38" i="29"/>
  <c r="E38" i="29"/>
  <c r="D38" i="29"/>
  <c r="C38" i="29"/>
  <c r="B38" i="29"/>
  <c r="A38" i="29"/>
  <c r="F37" i="29"/>
  <c r="E37" i="29"/>
  <c r="D37" i="29"/>
  <c r="C37" i="29"/>
  <c r="B37" i="29"/>
  <c r="A37" i="29"/>
  <c r="F36" i="29"/>
  <c r="E36" i="29"/>
  <c r="D36" i="29"/>
  <c r="C36" i="29"/>
  <c r="B36" i="29"/>
  <c r="A36" i="29"/>
  <c r="F35" i="29"/>
  <c r="E35" i="29"/>
  <c r="D35" i="29"/>
  <c r="C35" i="29"/>
  <c r="B35" i="29"/>
  <c r="A35" i="29"/>
  <c r="F34" i="29"/>
  <c r="E34" i="29"/>
  <c r="D34" i="29"/>
  <c r="C34" i="29"/>
  <c r="B34" i="29"/>
  <c r="A34" i="29"/>
  <c r="F33" i="29"/>
  <c r="E33" i="29"/>
  <c r="D33" i="29"/>
  <c r="C33" i="29"/>
  <c r="B33" i="29"/>
  <c r="A33" i="29"/>
  <c r="F32" i="29"/>
  <c r="E32" i="29"/>
  <c r="D32" i="29"/>
  <c r="C32" i="29"/>
  <c r="B32" i="29"/>
  <c r="A32" i="29"/>
  <c r="F31" i="29"/>
  <c r="E31" i="29"/>
  <c r="D31" i="29"/>
  <c r="C31" i="29"/>
  <c r="B31" i="29"/>
  <c r="A31" i="29"/>
  <c r="F30" i="29"/>
  <c r="E30" i="29"/>
  <c r="D30" i="29"/>
  <c r="C30" i="29"/>
  <c r="B30" i="29"/>
  <c r="A30" i="29"/>
  <c r="F29" i="29"/>
  <c r="E29" i="29"/>
  <c r="D29" i="29"/>
  <c r="C29" i="29"/>
  <c r="B29" i="29"/>
  <c r="A29" i="29"/>
  <c r="F28" i="29"/>
  <c r="E28" i="29"/>
  <c r="D28" i="29"/>
  <c r="C28" i="29"/>
  <c r="B28" i="29"/>
  <c r="A28" i="29"/>
  <c r="F27" i="29"/>
  <c r="E27" i="29"/>
  <c r="D27" i="29"/>
  <c r="C27" i="29"/>
  <c r="B27" i="29"/>
  <c r="A27" i="29"/>
  <c r="F26" i="29"/>
  <c r="E26" i="29"/>
  <c r="D26" i="29"/>
  <c r="C26" i="29"/>
  <c r="B26" i="29"/>
  <c r="A26" i="29"/>
  <c r="F25" i="29"/>
  <c r="E25" i="29"/>
  <c r="D25" i="29"/>
  <c r="C25" i="29"/>
  <c r="B25" i="29"/>
  <c r="A25" i="29"/>
  <c r="F24" i="29"/>
  <c r="E24" i="29"/>
  <c r="D24" i="29"/>
  <c r="C24" i="29"/>
  <c r="B24" i="29"/>
  <c r="A24" i="29"/>
  <c r="F23" i="29"/>
  <c r="E23" i="29"/>
  <c r="D23" i="29"/>
  <c r="C23" i="29"/>
  <c r="B23" i="29"/>
  <c r="A23" i="29"/>
  <c r="F22" i="29"/>
  <c r="E22" i="29"/>
  <c r="D22" i="29"/>
  <c r="C22" i="29"/>
  <c r="B22" i="29"/>
  <c r="A22" i="29"/>
  <c r="F21" i="29"/>
  <c r="E21" i="29"/>
  <c r="D21" i="29"/>
  <c r="C21" i="29"/>
  <c r="B21" i="29"/>
  <c r="A21" i="29"/>
  <c r="F20" i="29"/>
  <c r="E20" i="29"/>
  <c r="D20" i="29"/>
  <c r="C20" i="29"/>
  <c r="B20" i="29"/>
  <c r="A20" i="29"/>
  <c r="F19" i="29"/>
  <c r="E19" i="29"/>
  <c r="D19" i="29"/>
  <c r="C19" i="29"/>
  <c r="B19" i="29"/>
  <c r="A19" i="29"/>
  <c r="F18" i="29"/>
  <c r="E18" i="29"/>
  <c r="D18" i="29"/>
  <c r="C18" i="29"/>
  <c r="B18" i="29"/>
  <c r="A18" i="29"/>
  <c r="F17" i="29"/>
  <c r="E17" i="29"/>
  <c r="D17" i="29"/>
  <c r="C17" i="29"/>
  <c r="B17" i="29"/>
  <c r="A17" i="29"/>
  <c r="F16" i="29"/>
  <c r="E16" i="29"/>
  <c r="D16" i="29"/>
  <c r="C16" i="29"/>
  <c r="B16" i="29"/>
  <c r="A16" i="29"/>
  <c r="F15" i="29"/>
  <c r="E15" i="29"/>
  <c r="D15" i="29"/>
  <c r="C15" i="29"/>
  <c r="B15" i="29"/>
  <c r="A15" i="29"/>
  <c r="F14" i="29"/>
  <c r="E14" i="29"/>
  <c r="D14" i="29"/>
  <c r="C14" i="29"/>
  <c r="B14" i="29"/>
  <c r="A14" i="29"/>
  <c r="F13" i="29"/>
  <c r="E13" i="29"/>
  <c r="D13" i="29"/>
  <c r="C13" i="29"/>
  <c r="B13" i="29"/>
  <c r="A13" i="29"/>
  <c r="F12" i="29"/>
  <c r="E12" i="29"/>
  <c r="D12" i="29"/>
  <c r="C12" i="29"/>
  <c r="B12" i="29"/>
  <c r="A12" i="29"/>
  <c r="F11" i="29"/>
  <c r="E11" i="29"/>
  <c r="D11" i="29"/>
  <c r="C11" i="29"/>
  <c r="B11" i="29"/>
  <c r="A11" i="29"/>
  <c r="F10" i="29"/>
  <c r="E10" i="29"/>
  <c r="D10" i="29"/>
  <c r="C10" i="29"/>
  <c r="B10" i="29"/>
  <c r="A10" i="29"/>
  <c r="F9" i="29"/>
  <c r="E9" i="29"/>
  <c r="D9" i="29"/>
  <c r="C9" i="29"/>
  <c r="B9" i="29"/>
  <c r="A9" i="29"/>
  <c r="F8" i="29"/>
  <c r="E8" i="29"/>
  <c r="D8" i="29"/>
  <c r="C8" i="29"/>
  <c r="B8" i="29"/>
  <c r="A8" i="29"/>
  <c r="F7" i="29"/>
  <c r="E7" i="29"/>
  <c r="D7" i="29"/>
  <c r="C7" i="29"/>
  <c r="B7" i="29"/>
  <c r="A7" i="29"/>
  <c r="F6" i="29"/>
  <c r="E6" i="29"/>
  <c r="D6" i="29"/>
  <c r="C6" i="29"/>
  <c r="B6" i="29"/>
  <c r="A6" i="29"/>
  <c r="F5" i="29"/>
  <c r="E5" i="29"/>
  <c r="D5" i="29"/>
  <c r="C5" i="29"/>
  <c r="B5" i="29"/>
  <c r="A5" i="29"/>
  <c r="F4" i="29"/>
  <c r="E4" i="29"/>
  <c r="D4" i="29"/>
  <c r="C4" i="29"/>
  <c r="B4" i="29"/>
  <c r="A4" i="29"/>
  <c r="F3" i="29"/>
  <c r="E3" i="29"/>
  <c r="D3" i="29"/>
  <c r="C3" i="29"/>
  <c r="B3" i="29"/>
  <c r="A3" i="29"/>
  <c r="F2" i="29"/>
  <c r="E2" i="29"/>
  <c r="D2" i="29"/>
  <c r="C2" i="29"/>
  <c r="B2" i="29"/>
  <c r="F1" i="29"/>
  <c r="E1" i="29"/>
  <c r="D1" i="29"/>
  <c r="C1" i="29"/>
  <c r="B1" i="29"/>
  <c r="D39" i="43"/>
  <c r="E38" i="43"/>
  <c r="E37" i="43"/>
  <c r="E35" i="43"/>
  <c r="E34" i="43"/>
  <c r="E33" i="43"/>
  <c r="D27" i="43"/>
  <c r="E26" i="43"/>
  <c r="E25" i="43"/>
  <c r="E23" i="43"/>
  <c r="E22" i="43"/>
  <c r="E21" i="43"/>
  <c r="D15" i="43"/>
  <c r="E14" i="43"/>
  <c r="E13" i="43"/>
  <c r="E11" i="43"/>
  <c r="E10" i="43"/>
  <c r="E9" i="43"/>
  <c r="AD581" i="1"/>
  <c r="AD580" i="1"/>
  <c r="AD579" i="1"/>
  <c r="AD578" i="1"/>
  <c r="AD550" i="1"/>
  <c r="AD549" i="1"/>
  <c r="AD548" i="1"/>
  <c r="AD547" i="1"/>
  <c r="AD546" i="1"/>
  <c r="AD545" i="1"/>
  <c r="AD544" i="1"/>
  <c r="AD543" i="1"/>
  <c r="AD542" i="1"/>
  <c r="AD541" i="1"/>
  <c r="AD540" i="1"/>
  <c r="AD539" i="1"/>
  <c r="AD538" i="1"/>
  <c r="AD537" i="1"/>
  <c r="AD536" i="1"/>
  <c r="AD535" i="1"/>
  <c r="AD534" i="1"/>
  <c r="AD533" i="1"/>
  <c r="AD532" i="1"/>
  <c r="AD531" i="1"/>
  <c r="AD530" i="1"/>
  <c r="AD529" i="1"/>
  <c r="AD528" i="1"/>
  <c r="AD527" i="1"/>
  <c r="AD526" i="1"/>
  <c r="AD525" i="1"/>
  <c r="AD524" i="1"/>
  <c r="AD523" i="1"/>
  <c r="AD522" i="1"/>
  <c r="AD521" i="1"/>
  <c r="AD520" i="1"/>
  <c r="AD519" i="1"/>
  <c r="AD518" i="1"/>
  <c r="AD517" i="1"/>
  <c r="U516" i="1"/>
  <c r="AD516" i="1" s="1"/>
  <c r="T513" i="1"/>
  <c r="U513" i="1" s="1"/>
  <c r="P513" i="1"/>
  <c r="C513" i="1"/>
  <c r="T512" i="1"/>
  <c r="U512" i="1" s="1"/>
  <c r="P512" i="1"/>
  <c r="C512" i="1"/>
  <c r="T511" i="1"/>
  <c r="U511" i="1" s="1"/>
  <c r="P511" i="1"/>
  <c r="C511" i="1"/>
  <c r="T510" i="1"/>
  <c r="U510" i="1" s="1"/>
  <c r="P510" i="1"/>
  <c r="C510" i="1"/>
  <c r="T509" i="1"/>
  <c r="U509" i="1" s="1"/>
  <c r="P509" i="1"/>
  <c r="C509" i="1"/>
  <c r="T508" i="1"/>
  <c r="U508" i="1" s="1"/>
  <c r="P508" i="1"/>
  <c r="C508" i="1"/>
  <c r="T507" i="1"/>
  <c r="U507" i="1" s="1"/>
  <c r="P507" i="1"/>
  <c r="C507" i="1"/>
  <c r="T506" i="1"/>
  <c r="U506" i="1" s="1"/>
  <c r="P506" i="1"/>
  <c r="C506" i="1"/>
  <c r="T505" i="1"/>
  <c r="U505" i="1" s="1"/>
  <c r="P505" i="1"/>
  <c r="C505" i="1"/>
  <c r="T504" i="1"/>
  <c r="U504" i="1" s="1"/>
  <c r="P504" i="1"/>
  <c r="C504" i="1"/>
  <c r="T503" i="1"/>
  <c r="U503" i="1" s="1"/>
  <c r="P503" i="1"/>
  <c r="C503" i="1"/>
  <c r="T502" i="1"/>
  <c r="U502" i="1" s="1"/>
  <c r="P502" i="1"/>
  <c r="C502" i="1"/>
  <c r="T501" i="1"/>
  <c r="U501" i="1" s="1"/>
  <c r="P501" i="1"/>
  <c r="C501" i="1"/>
  <c r="T500" i="1"/>
  <c r="U500" i="1" s="1"/>
  <c r="P500" i="1"/>
  <c r="C500" i="1"/>
  <c r="T499" i="1"/>
  <c r="U499" i="1" s="1"/>
  <c r="P499" i="1"/>
  <c r="C499" i="1"/>
  <c r="T498" i="1"/>
  <c r="U498" i="1" s="1"/>
  <c r="P498" i="1"/>
  <c r="C498" i="1"/>
  <c r="T497" i="1"/>
  <c r="U497" i="1" s="1"/>
  <c r="P497" i="1"/>
  <c r="C497" i="1"/>
  <c r="T496" i="1"/>
  <c r="U496" i="1" s="1"/>
  <c r="C496" i="1"/>
  <c r="T495" i="1"/>
  <c r="U495" i="1" s="1"/>
  <c r="P495" i="1"/>
  <c r="C495" i="1"/>
  <c r="T494" i="1"/>
  <c r="U494" i="1" s="1"/>
  <c r="C494"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U320" i="1"/>
  <c r="AD320" i="1" s="1"/>
  <c r="O317" i="1"/>
  <c r="M317" i="1"/>
  <c r="J317" i="1"/>
  <c r="O316" i="1"/>
  <c r="M316" i="1"/>
  <c r="J316" i="1"/>
  <c r="O315" i="1"/>
  <c r="M315" i="1"/>
  <c r="J315" i="1"/>
  <c r="O314" i="1"/>
  <c r="M314" i="1"/>
  <c r="J314" i="1"/>
  <c r="O313" i="1"/>
  <c r="M313" i="1"/>
  <c r="J313" i="1"/>
  <c r="O312" i="1"/>
  <c r="M312" i="1"/>
  <c r="J312" i="1"/>
  <c r="O311" i="1"/>
  <c r="M311" i="1"/>
  <c r="J311" i="1"/>
  <c r="O310" i="1"/>
  <c r="M310" i="1"/>
  <c r="J310" i="1"/>
  <c r="O309" i="1"/>
  <c r="M309" i="1"/>
  <c r="J309" i="1"/>
  <c r="O308" i="1"/>
  <c r="M308" i="1"/>
  <c r="J308" i="1"/>
  <c r="O307" i="1"/>
  <c r="M307" i="1"/>
  <c r="J307" i="1"/>
  <c r="O306" i="1"/>
  <c r="M306" i="1"/>
  <c r="J306" i="1"/>
  <c r="O305" i="1"/>
  <c r="M305" i="1"/>
  <c r="J305" i="1"/>
  <c r="O304" i="1"/>
  <c r="M304" i="1"/>
  <c r="J304" i="1"/>
  <c r="O303" i="1"/>
  <c r="M303" i="1"/>
  <c r="J303" i="1"/>
  <c r="O302" i="1"/>
  <c r="M302" i="1"/>
  <c r="J302" i="1"/>
  <c r="O301" i="1"/>
  <c r="M301" i="1"/>
  <c r="J301" i="1"/>
  <c r="O300" i="1"/>
  <c r="M300" i="1"/>
  <c r="J300" i="1"/>
  <c r="P496" i="1" s="1"/>
  <c r="O299" i="1"/>
  <c r="M299" i="1"/>
  <c r="J299" i="1"/>
  <c r="U298" i="1"/>
  <c r="O298" i="1"/>
  <c r="M298" i="1"/>
  <c r="J298" i="1"/>
  <c r="P494" i="1" s="1"/>
  <c r="N295" i="1"/>
  <c r="N294" i="1"/>
  <c r="N293" i="1"/>
  <c r="N292" i="1"/>
  <c r="N291" i="1"/>
  <c r="N290" i="1"/>
  <c r="N289" i="1"/>
  <c r="N288" i="1"/>
  <c r="N287" i="1"/>
  <c r="N286" i="1"/>
  <c r="N285" i="1"/>
  <c r="N284" i="1"/>
  <c r="N283" i="1"/>
  <c r="N282" i="1"/>
  <c r="N281" i="1"/>
  <c r="N280" i="1"/>
  <c r="N279" i="1"/>
  <c r="N278" i="1"/>
  <c r="N277" i="1"/>
  <c r="N276" i="1"/>
  <c r="N275" i="1"/>
  <c r="N274" i="1"/>
  <c r="N273" i="1"/>
  <c r="N272" i="1"/>
  <c r="N271" i="1"/>
  <c r="N270" i="1"/>
  <c r="N269" i="1"/>
  <c r="N268" i="1"/>
  <c r="N267" i="1"/>
  <c r="U266" i="1"/>
  <c r="N266"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U212" i="1"/>
  <c r="AD212" i="1" s="1"/>
  <c r="AD207"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U158" i="1"/>
  <c r="AD158" i="1" s="1"/>
  <c r="U147"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U103" i="1"/>
  <c r="AD103" i="1" s="1"/>
  <c r="U102" i="1"/>
  <c r="AD102" i="1" s="1"/>
  <c r="U101" i="1"/>
  <c r="AD101" i="1" s="1"/>
  <c r="U100" i="1"/>
  <c r="AD100" i="1" s="1"/>
  <c r="U99" i="1"/>
  <c r="AD99" i="1" s="1"/>
  <c r="U98" i="1"/>
  <c r="AD98" i="1" s="1"/>
  <c r="U97" i="1"/>
  <c r="AD97" i="1" s="1"/>
  <c r="U96" i="1"/>
  <c r="AD96" i="1" s="1"/>
  <c r="U95" i="1"/>
  <c r="AD95" i="1" s="1"/>
  <c r="U94" i="1"/>
  <c r="AD94" i="1" s="1"/>
  <c r="U93" i="1"/>
  <c r="AD93" i="1" s="1"/>
  <c r="U91" i="1"/>
  <c r="U90" i="1"/>
  <c r="U89" i="1"/>
  <c r="U88" i="1"/>
  <c r="U87" i="1"/>
  <c r="U86" i="1"/>
  <c r="U85" i="1"/>
  <c r="U84" i="1"/>
  <c r="U83" i="1"/>
  <c r="U82" i="1"/>
  <c r="U81" i="1"/>
  <c r="U80" i="1"/>
  <c r="U79" i="1"/>
  <c r="U78" i="1"/>
  <c r="U77" i="1"/>
  <c r="AD77" i="1" s="1"/>
  <c r="U72" i="1"/>
  <c r="U71" i="1"/>
  <c r="U70" i="1"/>
  <c r="U69" i="1"/>
  <c r="U68" i="1"/>
  <c r="U67" i="1"/>
  <c r="U66" i="1"/>
  <c r="U65" i="1"/>
  <c r="U64" i="1"/>
  <c r="U63" i="1"/>
  <c r="T56" i="1"/>
  <c r="T57" i="1" s="1"/>
  <c r="T58" i="1" s="1"/>
  <c r="T59" i="1" s="1"/>
  <c r="B1" i="1"/>
  <c r="E27" i="43" l="1"/>
  <c r="E39" i="43"/>
  <c r="E15" i="43"/>
  <c r="A1" i="45"/>
  <c r="C27" i="7"/>
  <c r="A1" i="29"/>
  <c r="T460" i="1"/>
  <c r="U460" i="1" s="1"/>
  <c r="T455" i="1"/>
  <c r="U455" i="1" s="1"/>
  <c r="T467" i="1"/>
  <c r="U467" i="1" s="1"/>
  <c r="T479" i="1"/>
  <c r="U479" i="1" s="1"/>
  <c r="T488" i="1"/>
  <c r="U488" i="1" s="1"/>
  <c r="T459" i="1"/>
  <c r="U459" i="1" s="1"/>
  <c r="T491" i="1"/>
  <c r="U491" i="1" s="1"/>
  <c r="T453" i="1"/>
  <c r="U453" i="1" s="1"/>
  <c r="T463" i="1"/>
  <c r="U463" i="1" s="1"/>
  <c r="T456" i="1"/>
  <c r="U456" i="1" s="1"/>
  <c r="T451" i="1"/>
  <c r="U451" i="1" s="1"/>
  <c r="T475" i="1"/>
  <c r="U475" i="1" s="1"/>
  <c r="T487" i="1"/>
  <c r="U487" i="1" s="1"/>
  <c r="T490" i="1"/>
  <c r="U490" i="1" s="1"/>
  <c r="T480" i="1"/>
  <c r="U480" i="1" s="1"/>
  <c r="T468" i="1"/>
  <c r="U468" i="1" s="1"/>
  <c r="T448" i="1"/>
  <c r="U448" i="1" s="1"/>
  <c r="T476" i="1"/>
  <c r="U476" i="1" s="1"/>
  <c r="T452" i="1"/>
  <c r="U452" i="1" s="1"/>
  <c r="T443" i="1"/>
  <c r="U443" i="1" s="1"/>
  <c r="T471" i="1"/>
  <c r="U471" i="1" s="1"/>
  <c r="T481" i="1"/>
  <c r="U481" i="1" s="1"/>
  <c r="T484" i="1"/>
  <c r="U484" i="1" s="1"/>
  <c r="T464" i="1"/>
  <c r="U464" i="1" s="1"/>
  <c r="T439" i="1"/>
  <c r="U439" i="1" s="1"/>
  <c r="T447" i="1"/>
  <c r="U447" i="1" s="1"/>
  <c r="T473" i="1"/>
  <c r="U473" i="1" s="1"/>
  <c r="T483" i="1"/>
  <c r="U483" i="1" s="1"/>
  <c r="T482" i="1"/>
  <c r="U482" i="1" s="1"/>
  <c r="T472" i="1"/>
  <c r="U472" i="1" s="1"/>
  <c r="T474" i="1"/>
  <c r="U474" i="1" s="1"/>
  <c r="T449" i="1"/>
  <c r="U449" i="1" s="1"/>
  <c r="T486" i="1"/>
  <c r="U486" i="1" s="1"/>
  <c r="T461" i="1"/>
  <c r="U461" i="1" s="1"/>
  <c r="T489" i="1"/>
  <c r="U489" i="1" s="1"/>
  <c r="T441" i="1"/>
  <c r="U441" i="1" s="1"/>
  <c r="T446" i="1"/>
  <c r="U446" i="1" s="1"/>
  <c r="T457" i="1"/>
  <c r="U457" i="1" s="1"/>
  <c r="T442" i="1"/>
  <c r="U442" i="1" s="1"/>
  <c r="T458" i="1"/>
  <c r="U458" i="1" s="1"/>
  <c r="T477" i="1"/>
  <c r="U477" i="1" s="1"/>
  <c r="T478" i="1"/>
  <c r="U478" i="1" s="1"/>
  <c r="T440" i="1"/>
  <c r="U440" i="1" s="1"/>
  <c r="T454" i="1"/>
  <c r="U454" i="1" s="1"/>
  <c r="T450" i="1"/>
  <c r="U450" i="1" s="1"/>
  <c r="T466" i="1"/>
  <c r="U466" i="1" s="1"/>
  <c r="T470" i="1"/>
  <c r="U470" i="1" s="1"/>
  <c r="T445" i="1"/>
  <c r="U445" i="1" s="1"/>
  <c r="T469" i="1"/>
  <c r="U469" i="1" s="1"/>
  <c r="T465" i="1"/>
  <c r="U465" i="1" s="1"/>
  <c r="T462" i="1"/>
  <c r="U462" i="1" s="1"/>
  <c r="T485" i="1"/>
  <c r="U485" i="1" s="1"/>
  <c r="T444" i="1"/>
  <c r="U444" i="1" s="1"/>
  <c r="T363" i="1"/>
  <c r="A1" i="40"/>
  <c r="A1" i="46"/>
  <c r="A1" i="41"/>
  <c r="T364" i="1"/>
  <c r="U364" i="1" s="1"/>
  <c r="T366" i="1"/>
  <c r="U366" i="1" s="1"/>
  <c r="T370" i="1"/>
  <c r="U370" i="1" s="1"/>
  <c r="T374" i="1"/>
  <c r="U374" i="1" s="1"/>
  <c r="T378" i="1"/>
  <c r="U378" i="1" s="1"/>
  <c r="T382" i="1"/>
  <c r="U382" i="1" s="1"/>
  <c r="T386" i="1"/>
  <c r="U386" i="1" s="1"/>
  <c r="T390" i="1"/>
  <c r="U390" i="1" s="1"/>
  <c r="T394" i="1"/>
  <c r="U394" i="1" s="1"/>
  <c r="T398" i="1"/>
  <c r="U398" i="1" s="1"/>
  <c r="T402" i="1"/>
  <c r="U402" i="1" s="1"/>
  <c r="T406" i="1"/>
  <c r="U406" i="1" s="1"/>
  <c r="T410" i="1"/>
  <c r="U410" i="1" s="1"/>
  <c r="T414" i="1"/>
  <c r="U414" i="1" s="1"/>
  <c r="T418" i="1"/>
  <c r="U418" i="1" s="1"/>
  <c r="T422" i="1"/>
  <c r="U422" i="1" s="1"/>
  <c r="T426" i="1"/>
  <c r="U426" i="1" s="1"/>
  <c r="T430" i="1"/>
  <c r="U430" i="1" s="1"/>
  <c r="T434" i="1"/>
  <c r="U434" i="1" s="1"/>
  <c r="T438" i="1"/>
  <c r="U438" i="1" s="1"/>
  <c r="T365" i="1"/>
  <c r="U365" i="1" s="1"/>
  <c r="T375" i="1"/>
  <c r="U375" i="1" s="1"/>
  <c r="T387" i="1"/>
  <c r="U387" i="1" s="1"/>
  <c r="T399" i="1"/>
  <c r="U399" i="1" s="1"/>
  <c r="T411" i="1"/>
  <c r="U411" i="1" s="1"/>
  <c r="T423" i="1"/>
  <c r="U423" i="1" s="1"/>
  <c r="T435" i="1"/>
  <c r="U435" i="1" s="1"/>
  <c r="T368" i="1"/>
  <c r="U368" i="1" s="1"/>
  <c r="T372" i="1"/>
  <c r="U372" i="1" s="1"/>
  <c r="T376" i="1"/>
  <c r="U376" i="1" s="1"/>
  <c r="T380" i="1"/>
  <c r="U380" i="1" s="1"/>
  <c r="T384" i="1"/>
  <c r="U384" i="1" s="1"/>
  <c r="T388" i="1"/>
  <c r="U388" i="1" s="1"/>
  <c r="T392" i="1"/>
  <c r="U392" i="1" s="1"/>
  <c r="T396" i="1"/>
  <c r="U396" i="1" s="1"/>
  <c r="T400" i="1"/>
  <c r="U400" i="1" s="1"/>
  <c r="T404" i="1"/>
  <c r="U404" i="1" s="1"/>
  <c r="T408" i="1"/>
  <c r="U408" i="1" s="1"/>
  <c r="T412" i="1"/>
  <c r="U412" i="1" s="1"/>
  <c r="T416" i="1"/>
  <c r="U416" i="1" s="1"/>
  <c r="T420" i="1"/>
  <c r="U420" i="1" s="1"/>
  <c r="T424" i="1"/>
  <c r="U424" i="1" s="1"/>
  <c r="T428" i="1"/>
  <c r="U428" i="1" s="1"/>
  <c r="T432" i="1"/>
  <c r="U432" i="1" s="1"/>
  <c r="T436" i="1"/>
  <c r="U436" i="1" s="1"/>
  <c r="T369" i="1"/>
  <c r="U369" i="1" s="1"/>
  <c r="T373" i="1"/>
  <c r="U373" i="1" s="1"/>
  <c r="T377" i="1"/>
  <c r="U377" i="1" s="1"/>
  <c r="T381" i="1"/>
  <c r="U381" i="1" s="1"/>
  <c r="T385" i="1"/>
  <c r="U385" i="1" s="1"/>
  <c r="T389" i="1"/>
  <c r="U389" i="1" s="1"/>
  <c r="T393" i="1"/>
  <c r="U393" i="1" s="1"/>
  <c r="T397" i="1"/>
  <c r="U397" i="1" s="1"/>
  <c r="T401" i="1"/>
  <c r="U401" i="1" s="1"/>
  <c r="T405" i="1"/>
  <c r="U405" i="1" s="1"/>
  <c r="T409" i="1"/>
  <c r="U409" i="1" s="1"/>
  <c r="T413" i="1"/>
  <c r="U413" i="1" s="1"/>
  <c r="T417" i="1"/>
  <c r="U417" i="1" s="1"/>
  <c r="T421" i="1"/>
  <c r="U421" i="1" s="1"/>
  <c r="T425" i="1"/>
  <c r="U425" i="1" s="1"/>
  <c r="T429" i="1"/>
  <c r="U429" i="1" s="1"/>
  <c r="T433" i="1"/>
  <c r="U433" i="1" s="1"/>
  <c r="T437" i="1"/>
  <c r="U437" i="1" s="1"/>
  <c r="T367" i="1"/>
  <c r="U367" i="1" s="1"/>
  <c r="T371" i="1"/>
  <c r="U371" i="1" s="1"/>
  <c r="T379" i="1"/>
  <c r="U379" i="1" s="1"/>
  <c r="T383" i="1"/>
  <c r="U383" i="1" s="1"/>
  <c r="T391" i="1"/>
  <c r="U391" i="1" s="1"/>
  <c r="T395" i="1"/>
  <c r="U395" i="1" s="1"/>
  <c r="T403" i="1"/>
  <c r="U403" i="1" s="1"/>
  <c r="T407" i="1"/>
  <c r="U407" i="1" s="1"/>
  <c r="T415" i="1"/>
  <c r="U415" i="1" s="1"/>
  <c r="T419" i="1"/>
  <c r="U419" i="1" s="1"/>
  <c r="T427" i="1"/>
  <c r="U427" i="1" s="1"/>
  <c r="T431" i="1"/>
  <c r="U431" i="1" s="1"/>
  <c r="A1" i="42"/>
  <c r="A1" i="38"/>
  <c r="AD361" i="1"/>
  <c r="S361" i="1" s="1"/>
  <c r="AG211" i="1"/>
  <c r="E30" i="7" s="1"/>
  <c r="U262" i="1"/>
  <c r="G34" i="1" s="1"/>
  <c r="U74" i="1"/>
  <c r="AD74" i="1"/>
  <c r="S74" i="1" s="1"/>
  <c r="U144" i="1"/>
  <c r="AD262" i="1"/>
  <c r="S262" i="1" s="1"/>
  <c r="AD144" i="1"/>
  <c r="S144" i="1" s="1"/>
  <c r="AD209" i="1"/>
  <c r="S209" i="1" s="1"/>
  <c r="U575" i="1"/>
  <c r="U38" i="1"/>
  <c r="AD577" i="1"/>
  <c r="AD575" i="1" s="1"/>
  <c r="U61" i="1"/>
  <c r="L553" i="1" l="1"/>
  <c r="S575" i="1"/>
  <c r="U363" i="1"/>
  <c r="U361" i="1" s="1"/>
  <c r="S38" i="1"/>
  <c r="U35" i="1"/>
  <c r="L265" i="1"/>
  <c r="AD31" i="1" l="1"/>
  <c r="S31" i="1" s="1"/>
  <c r="AF211" i="1"/>
  <c r="U211" i="1" s="1"/>
  <c r="M211" i="1" s="1"/>
  <c r="T211" i="1" l="1"/>
  <c r="U209" i="1"/>
  <c r="U36" i="1" s="1"/>
  <c r="U34" i="1" s="1"/>
  <c r="D31" i="1" l="1"/>
  <c r="S57" i="1" l="1"/>
  <c r="U57" i="1" s="1"/>
  <c r="S56" i="1"/>
  <c r="U56" i="1" s="1"/>
  <c r="S55" i="1"/>
  <c r="U55" i="1" s="1"/>
  <c r="S59" i="1"/>
  <c r="U59" i="1" s="1"/>
  <c r="S58" i="1"/>
  <c r="U58" i="1" s="1"/>
  <c r="U53" i="1" l="1"/>
  <c r="U33" i="1" s="1"/>
  <c r="U31" i="1" s="1"/>
  <c r="G35" i="1" l="1"/>
</calcChain>
</file>

<file path=xl/sharedStrings.xml><?xml version="1.0" encoding="utf-8"?>
<sst xmlns="http://schemas.openxmlformats.org/spreadsheetml/2006/main" count="3813" uniqueCount="2708">
  <si>
    <t>HW-26</t>
  </si>
  <si>
    <t>HW-27</t>
  </si>
  <si>
    <t>HW-28</t>
  </si>
  <si>
    <t>HW-29</t>
  </si>
  <si>
    <t>HW-30</t>
  </si>
  <si>
    <t>Facilities Tasks</t>
  </si>
  <si>
    <t>&lt;Select Facilities tasks, if any&gt;</t>
  </si>
  <si>
    <t>FAC-1</t>
  </si>
  <si>
    <t>FAC-2</t>
  </si>
  <si>
    <t>FAC-3</t>
  </si>
  <si>
    <t>FAC-4</t>
  </si>
  <si>
    <t>FAC-5</t>
  </si>
  <si>
    <t>FAC-6</t>
  </si>
  <si>
    <t>FAC-7</t>
  </si>
  <si>
    <t>FAC-8</t>
  </si>
  <si>
    <t>FAC-9</t>
  </si>
  <si>
    <t>LABOR</t>
  </si>
  <si>
    <t>FAC-10</t>
  </si>
  <si>
    <t>&lt;Select HW Description&gt;</t>
  </si>
  <si>
    <t>(Model/Part #  Lookup)</t>
  </si>
  <si>
    <t>tp123</t>
  </si>
  <si>
    <t>OHW-9</t>
  </si>
  <si>
    <t>OHW-10</t>
  </si>
  <si>
    <t>HW-16</t>
  </si>
  <si>
    <t>HW-17</t>
  </si>
  <si>
    <t>HW-18</t>
  </si>
  <si>
    <t>HW-19</t>
  </si>
  <si>
    <t>HW-20</t>
  </si>
  <si>
    <t>HW-21</t>
  </si>
  <si>
    <t>HW-22</t>
  </si>
  <si>
    <t>HW-23</t>
  </si>
  <si>
    <t>HW-24</t>
  </si>
  <si>
    <t>HW-25</t>
  </si>
  <si>
    <t>Statement Of Work</t>
  </si>
  <si>
    <t>CATALYST 4503, E-SERIES, SUP II+, DUAL 1300W PS, L2  WS-C4503-E PKG, MRN073610</t>
  </si>
  <si>
    <t>FY</t>
  </si>
  <si>
    <t>&lt;Select FY&gt;</t>
  </si>
  <si>
    <t>FY2014</t>
  </si>
  <si>
    <t>ISP/OSP Tasks</t>
  </si>
  <si>
    <t>OHW-11</t>
  </si>
  <si>
    <t>OHW-12</t>
  </si>
  <si>
    <t>OHW-13</t>
  </si>
  <si>
    <t>OHW-14</t>
  </si>
  <si>
    <t>OHW-15</t>
  </si>
  <si>
    <t>OHW-16</t>
  </si>
  <si>
    <t>OHW-17</t>
  </si>
  <si>
    <t>OHW-18</t>
  </si>
  <si>
    <t>OHW-19</t>
  </si>
  <si>
    <t>OHW-20</t>
  </si>
  <si>
    <t>G</t>
  </si>
  <si>
    <t>R</t>
  </si>
  <si>
    <t>Service Delivery Mgr:</t>
  </si>
  <si>
    <t>Service Delivery Exec:</t>
  </si>
  <si>
    <t>Account Manager:</t>
  </si>
  <si>
    <t>LBR-9</t>
  </si>
  <si>
    <t>LBR-10</t>
  </si>
  <si>
    <t>Installation Price Per Unit</t>
  </si>
  <si>
    <t>855-10932</t>
  </si>
  <si>
    <t>850-14550</t>
  </si>
  <si>
    <t>895-39949</t>
  </si>
  <si>
    <t>Liebert</t>
  </si>
  <si>
    <t>EN-M6KT-50</t>
  </si>
  <si>
    <t>Price per Unit</t>
  </si>
  <si>
    <t>(&amp;@%@&amp;)!%%M06!#%&amp;(qetuo[}adgjl"</t>
  </si>
  <si>
    <t>Current Version #</t>
  </si>
  <si>
    <t>z100</t>
  </si>
  <si>
    <t>Additional Comments (e.g., Bldg &amp; Floor #s, OSP begin/end points and length of run, overtime work required)</t>
  </si>
  <si>
    <t>Template Change Description</t>
  </si>
  <si>
    <t>FAC-11</t>
  </si>
  <si>
    <t>FAC-12</t>
  </si>
  <si>
    <t>FAC-13</t>
  </si>
  <si>
    <t>FAC-14</t>
  </si>
  <si>
    <t>FAC-15</t>
  </si>
  <si>
    <t>ISP-17</t>
  </si>
  <si>
    <t>ISP-18</t>
  </si>
  <si>
    <t>ISP-19</t>
  </si>
  <si>
    <t>ISP-20</t>
  </si>
  <si>
    <t>ISP-21</t>
  </si>
  <si>
    <t>ISP-22</t>
  </si>
  <si>
    <t>ISP-23</t>
  </si>
  <si>
    <t>ISP-24</t>
  </si>
  <si>
    <t>ISP-25</t>
  </si>
  <si>
    <t>FAC-16</t>
  </si>
  <si>
    <t>FAC-17</t>
  </si>
  <si>
    <t>FAC-18</t>
  </si>
  <si>
    <t>FAC-19</t>
  </si>
  <si>
    <t>FAC-20</t>
  </si>
  <si>
    <t>OHW-1</t>
  </si>
  <si>
    <t>OHW-2</t>
  </si>
  <si>
    <t>OHW-3</t>
  </si>
  <si>
    <t>OHW-4</t>
  </si>
  <si>
    <t>OHW-5</t>
  </si>
  <si>
    <t>OHW-6</t>
  </si>
  <si>
    <t>OHW-7</t>
  </si>
  <si>
    <t>OHW-8</t>
  </si>
  <si>
    <t>ISP-13</t>
  </si>
  <si>
    <t>ISP-14</t>
  </si>
  <si>
    <t>ISP-15</t>
  </si>
  <si>
    <t>ISP-16</t>
  </si>
  <si>
    <t>Model/Part #</t>
  </si>
  <si>
    <t>mac13579</t>
  </si>
  <si>
    <t>Labor Required</t>
  </si>
  <si>
    <t>HW-1</t>
  </si>
  <si>
    <t>HW-2</t>
  </si>
  <si>
    <t>HW-3</t>
  </si>
  <si>
    <t>HW-4</t>
  </si>
  <si>
    <t>HW-5</t>
  </si>
  <si>
    <t>HW-6</t>
  </si>
  <si>
    <t>HW-7</t>
  </si>
  <si>
    <t>HW-8</t>
  </si>
  <si>
    <t>HW-9</t>
  </si>
  <si>
    <t>HW-10</t>
  </si>
  <si>
    <t>HW-11</t>
  </si>
  <si>
    <t>HW-12</t>
  </si>
  <si>
    <t>HW-13</t>
  </si>
  <si>
    <t>HW-14</t>
  </si>
  <si>
    <t>HW-15</t>
  </si>
  <si>
    <t>Function, Task Description, Comments</t>
  </si>
  <si>
    <t>ODC-1</t>
  </si>
  <si>
    <t>ODC-2</t>
  </si>
  <si>
    <t>ODC-3</t>
  </si>
  <si>
    <t>ODC-4</t>
  </si>
  <si>
    <t>ODC-5</t>
  </si>
  <si>
    <t>Price</t>
  </si>
  <si>
    <t>Phone:</t>
  </si>
  <si>
    <t xml:space="preserve">RAP # </t>
  </si>
  <si>
    <t>Site Location:</t>
  </si>
  <si>
    <t>Qty</t>
  </si>
  <si>
    <t>Vendor</t>
  </si>
  <si>
    <t>Comments</t>
  </si>
  <si>
    <t># Hrs</t>
  </si>
  <si>
    <t xml:space="preserve"> </t>
  </si>
  <si>
    <t>Description</t>
  </si>
  <si>
    <t>&lt;Select job title, if any&gt;</t>
  </si>
  <si>
    <t>Effective Date</t>
  </si>
  <si>
    <t>Version</t>
  </si>
  <si>
    <t>Hardware Subtotal</t>
  </si>
  <si>
    <t>Project Name:</t>
  </si>
  <si>
    <t xml:space="preserve">Date Submitted: </t>
  </si>
  <si>
    <t>Government POC:</t>
  </si>
  <si>
    <t>PSI Code:</t>
  </si>
  <si>
    <t>Email:</t>
  </si>
  <si>
    <t>&lt;Select ISP/OSP fixed price line item, if any&gt;</t>
  </si>
  <si>
    <t>ISP / OSP Tasks</t>
  </si>
  <si>
    <t>ISP-1</t>
  </si>
  <si>
    <t>ISP-2</t>
  </si>
  <si>
    <t>ISP-3</t>
  </si>
  <si>
    <t>ISP-4</t>
  </si>
  <si>
    <t>ISP-5</t>
  </si>
  <si>
    <t>ISP-6</t>
  </si>
  <si>
    <t>ISP-7</t>
  </si>
  <si>
    <t>ISP-8</t>
  </si>
  <si>
    <t>ISP-9</t>
  </si>
  <si>
    <t>ISP-10</t>
  </si>
  <si>
    <t>ISP-11</t>
  </si>
  <si>
    <t>ISP-12</t>
  </si>
  <si>
    <t>Copper Test, Condition, Label and Re-terminate ISP/OSP</t>
  </si>
  <si>
    <t>Model Number</t>
  </si>
  <si>
    <t>Bldg/Rm#</t>
  </si>
  <si>
    <t>LBR-1</t>
  </si>
  <si>
    <t>LBR-2</t>
  </si>
  <si>
    <t>LBR-3</t>
  </si>
  <si>
    <t>LBR-4</t>
  </si>
  <si>
    <t>LBR-5</t>
  </si>
  <si>
    <t>LBR-6</t>
  </si>
  <si>
    <t>LBR-7</t>
  </si>
  <si>
    <t>LBR-8</t>
  </si>
  <si>
    <t>Summary</t>
  </si>
  <si>
    <t>Project Information</t>
  </si>
  <si>
    <t>Other Direct Costs</t>
  </si>
  <si>
    <t xml:space="preserve">Price </t>
  </si>
  <si>
    <t>Hide</t>
  </si>
  <si>
    <t>Show</t>
  </si>
  <si>
    <t>Description: NON Pre-priced Tasks</t>
  </si>
  <si>
    <t>NON Pre-priced Tasks:</t>
  </si>
  <si>
    <t>Description: NON Pre-priced Items</t>
  </si>
  <si>
    <t>All Categories:</t>
  </si>
  <si>
    <t>Pre-priced Rates:</t>
  </si>
  <si>
    <t xml:space="preserve">  Show</t>
  </si>
  <si>
    <t>Hardware Required</t>
  </si>
  <si>
    <t>UIC:</t>
  </si>
  <si>
    <t>I</t>
  </si>
  <si>
    <t>G, I or
ReUse</t>
  </si>
  <si>
    <t>Other Hardware:</t>
  </si>
  <si>
    <t>Other Hardware</t>
  </si>
  <si>
    <t>Previous RAP #</t>
  </si>
  <si>
    <t>HW Price per Unit</t>
  </si>
  <si>
    <t>Install Price per Unit</t>
  </si>
  <si>
    <t>(Vendor)</t>
  </si>
  <si>
    <t>(RAP #)</t>
  </si>
  <si>
    <t>Pre-priced HW Installs:</t>
  </si>
  <si>
    <t>Other HW Installs:</t>
  </si>
  <si>
    <t>Bldg/Rm #</t>
  </si>
  <si>
    <t>UPS Installation- 1KVA (no circuit or receptacle included)</t>
  </si>
  <si>
    <t>UPS internal battery replacement</t>
  </si>
  <si>
    <t>Task Summary</t>
  </si>
  <si>
    <t>Task Description</t>
  </si>
  <si>
    <t>Install (1) Rack PDU. Connect to receptacle and attach to rack.</t>
  </si>
  <si>
    <t>Fiber Tie Test, Label ISP/OSP - 1 Strand</t>
  </si>
  <si>
    <t>Fiber Tie Test, Label ISP/OSP - 6 Strands</t>
  </si>
  <si>
    <t>Fiber Tie Test, Label ISP/OSP - 12 Strands</t>
  </si>
  <si>
    <t>Fiber Tie Test, Label ISP/OSP - 24 Strands</t>
  </si>
  <si>
    <t>Fiber Tie Test, Label ISP/OSP - 36 Strands</t>
  </si>
  <si>
    <t>Fiber Tie Test, Label ISP/OSP - 48 Strands</t>
  </si>
  <si>
    <t>Fiber Tie Test, Label ISP/OSP - 72 Strands</t>
  </si>
  <si>
    <t>Fiber Test, Label and Re-terminate ISP/OSP - 1 Strand</t>
  </si>
  <si>
    <t>Fiber Test, Label and Re-terminate ISP/OSP - 6 Strands</t>
  </si>
  <si>
    <t>Fiber Test, Label and Re-terminate ISP/OSP - 24 Strands</t>
  </si>
  <si>
    <t>Fiber Test, Label and Re-terminate ISP/OSP - 36 Strands</t>
  </si>
  <si>
    <t>Fiber Test, Label and Re-terminate ISP/OSP - 48 Strands</t>
  </si>
  <si>
    <t>Fiber Test, Label and Re-terminate ISP/OSP - 72 Strands</t>
  </si>
  <si>
    <t>OSP Setup Charge</t>
  </si>
  <si>
    <t>FIBER TESTING</t>
  </si>
  <si>
    <t>FIBER REPAIR</t>
  </si>
  <si>
    <t>ISP FIBER TIE INSTALLS</t>
  </si>
  <si>
    <t>Brocade</t>
  </si>
  <si>
    <t>855-10934</t>
  </si>
  <si>
    <t>850-14570</t>
  </si>
  <si>
    <t>850-13100</t>
  </si>
  <si>
    <t>201000G2</t>
  </si>
  <si>
    <t>Server Farm Raised Floor Tile Cut</t>
  </si>
  <si>
    <t>Server Farm Rack PDU Installation</t>
  </si>
  <si>
    <t>Server Farm 48 Port Patch Panel - Fiber</t>
  </si>
  <si>
    <t>Server Farm 72 Port Patch Panel - Fiber</t>
  </si>
  <si>
    <t>Server Farm 1U Patch Panel - Fiber</t>
  </si>
  <si>
    <t>Server Farm LC-12 Connector Modules for 1U patch panel - Fiber</t>
  </si>
  <si>
    <t>Server Farm LC-24 Connector Modules for 1U patch panel - Fiber</t>
  </si>
  <si>
    <t>SERVER FARM TASKS</t>
  </si>
  <si>
    <t>Proposed Start Date:</t>
  </si>
  <si>
    <t>OR</t>
  </si>
  <si>
    <t>Server Farm 24 Port Patch Panel - Copper Cat 6</t>
  </si>
  <si>
    <t>Server Farm 48 Port Patch Panel - Copper Cat 6</t>
  </si>
  <si>
    <t>Server Farm Horizontal Cable Manager 1U</t>
  </si>
  <si>
    <t>Server Farm Horizontal Cable Manager 2U Dual-Sided</t>
  </si>
  <si>
    <t>Server Farm Horizontal Cable Manager 2U Single-Sided</t>
  </si>
  <si>
    <t>Cabinet Uninstall (excludes moving of network equipment)</t>
  </si>
  <si>
    <t>Server Farm Standard Rack Bracing Installation</t>
  </si>
  <si>
    <t>Server Farm Seismic Rack Bracing Installation</t>
  </si>
  <si>
    <t>INSIDE PLANT (ISP) Tasks (Copper) - ISP Drop\Port Installation and Repair</t>
  </si>
  <si>
    <t>INSIDE PLANT (ISP) Tasks (Fiber) - ISP Drop\Port Installation and Repair</t>
  </si>
  <si>
    <t>Outside Plant Tasks (OSP)</t>
  </si>
  <si>
    <t>INSIDE PLANT (ISP) Tasks - Server Farm</t>
  </si>
  <si>
    <t>CABINET AND RACK INSTALLATIONS</t>
  </si>
  <si>
    <t>Cabinet Installations</t>
  </si>
  <si>
    <t>Cabinet Pick up from Warehouse  for installation at a Non local Site Includes up to two hours of travel from the warehouse</t>
  </si>
  <si>
    <t>Server Farm Tasks</t>
  </si>
  <si>
    <t>Media Conversion</t>
  </si>
  <si>
    <t>850-14530</t>
  </si>
  <si>
    <t>S110-RWM-01</t>
  </si>
  <si>
    <t>S110-RWM2-01</t>
  </si>
  <si>
    <t>Bldg/Rm # or Comment</t>
  </si>
  <si>
    <t>Previous 
RAP #</t>
  </si>
  <si>
    <t xml:space="preserve">Proposed Completion Date:  </t>
  </si>
  <si>
    <r>
      <t xml:space="preserve">Description of Hardware To Be Installed </t>
    </r>
    <r>
      <rPr>
        <i/>
        <sz val="10"/>
        <color indexed="17"/>
        <rFont val="Verdana"/>
        <family val="2"/>
      </rPr>
      <t>(Quantities auto populated based on HW Requirements)</t>
    </r>
  </si>
  <si>
    <t>Installation
**
Price Per Unit</t>
  </si>
  <si>
    <t>Routers and other Active Gear</t>
  </si>
  <si>
    <t>Access Switches and Modules</t>
  </si>
  <si>
    <t>Transceivers</t>
  </si>
  <si>
    <t>SERVER FARM ISP TASKS</t>
  </si>
  <si>
    <t>OSP FIBER INSTALLS                                              OSP FIBER INSTALLS</t>
  </si>
  <si>
    <t>Hardware Only? (No BAN/LAN)</t>
  </si>
  <si>
    <t>FY2015</t>
  </si>
  <si>
    <t>FY2016</t>
  </si>
  <si>
    <t>FY2017</t>
  </si>
  <si>
    <t>No</t>
  </si>
  <si>
    <t>Yes</t>
  </si>
  <si>
    <t>FY2018</t>
  </si>
  <si>
    <t>Active Directory / Exchange Specialist Junior</t>
  </si>
  <si>
    <t>Active Directory / Exchange Specialist Mid</t>
  </si>
  <si>
    <t>Active Directory / Exchange Specialist Senior</t>
  </si>
  <si>
    <t>Administrative Assistant Junior</t>
  </si>
  <si>
    <t>Asset Management Specialist (Japan) Junior</t>
  </si>
  <si>
    <t>Asset Management Specialist Junior</t>
  </si>
  <si>
    <t>Asset Management Specialist Mid</t>
  </si>
  <si>
    <t>Asset Management Specialist (Guam) Mid</t>
  </si>
  <si>
    <t>Asset Management Specialist (Korea) Mid</t>
  </si>
  <si>
    <t>Asset Management Specialist (Germany) Mid</t>
  </si>
  <si>
    <t>Business Planning Specialist Junior</t>
  </si>
  <si>
    <t>Business Planning Specialist Mid</t>
  </si>
  <si>
    <t>Communications Network Engineer Mid</t>
  </si>
  <si>
    <t>Communications Network Engineer Senior</t>
  </si>
  <si>
    <t>Cyber Security Specialist (Japan) Junior</t>
  </si>
  <si>
    <t>Cyber Security Specialist (Japan) Mid</t>
  </si>
  <si>
    <t>Cyber Security Specialist (Japan) Senior</t>
  </si>
  <si>
    <t>Cyber Security Specialist (Guam) Junior</t>
  </si>
  <si>
    <t>Cyber Security Specialist (Korea) Junior</t>
  </si>
  <si>
    <t>Cyber Security Specialist (Germany) Junior</t>
  </si>
  <si>
    <t>Cyber Security Specialist (Germany) Mid</t>
  </si>
  <si>
    <t>Cyber Security Specialist (Germany) Senior</t>
  </si>
  <si>
    <t>Cyber Security Specialist Junior</t>
  </si>
  <si>
    <t>Cyber Security Specialist Mid</t>
  </si>
  <si>
    <t>Cyber Security Specialist Senior</t>
  </si>
  <si>
    <t>Deployed Support Specialist Junior</t>
  </si>
  <si>
    <t>Deployed Support Specialist Mid</t>
  </si>
  <si>
    <t>Enterprise Service Desk Specialist (Japan) Senior</t>
  </si>
  <si>
    <t>Enterprise Service Desk Specialist Junior</t>
  </si>
  <si>
    <t>Enterprise Service Desk Specialist Mid</t>
  </si>
  <si>
    <t>Enterprise Service Desk Specialist Senior</t>
  </si>
  <si>
    <t>HVAC Engineer Mid</t>
  </si>
  <si>
    <t>Info Systems Coordinator Junior</t>
  </si>
  <si>
    <t>Info Systems Coordinator Mid</t>
  </si>
  <si>
    <t>Info Systems Coordinator Senior</t>
  </si>
  <si>
    <t>Information Systems Architect Mid</t>
  </si>
  <si>
    <t>Information Systems Architect Senior</t>
  </si>
  <si>
    <t>ISP/OSP Specialist (Japan) Junior</t>
  </si>
  <si>
    <t>ISP/OSP Specialist (Germany) Junior</t>
  </si>
  <si>
    <t>ISP/OSP Specialist (Guam) Junior</t>
  </si>
  <si>
    <t>ISP/OSP Specialist (Korea) Junior</t>
  </si>
  <si>
    <t>ISP/OSP Specialist Junior</t>
  </si>
  <si>
    <t>IT Service Delivery Consultant Junior</t>
  </si>
  <si>
    <t>IT Service Delivery Consultant Senior</t>
  </si>
  <si>
    <t>IT Service Delivery Consultant Mid</t>
  </si>
  <si>
    <t>IT Service Delivery Rep Junior</t>
  </si>
  <si>
    <t>IT Service Delivery Rep Senior</t>
  </si>
  <si>
    <t>IT Service Delivery Rep Mid</t>
  </si>
  <si>
    <t>IT Specialist Junior</t>
  </si>
  <si>
    <t>IT Specialist Mid</t>
  </si>
  <si>
    <t>IT Specialist Senior</t>
  </si>
  <si>
    <t>IT Specialist (Japan) Junior</t>
  </si>
  <si>
    <t>IT Specialist (Germany) Junior</t>
  </si>
  <si>
    <t>IT Specialist (Guam) Junior</t>
  </si>
  <si>
    <t>IT Specialist (Korea) Junior</t>
  </si>
  <si>
    <t>Mainframe Specialist Junior</t>
  </si>
  <si>
    <t>NetOps Lead (Japan) Mid</t>
  </si>
  <si>
    <t>NetOps Lead (Germany) Mid</t>
  </si>
  <si>
    <t>NetOps Lead (Guam) Mid</t>
  </si>
  <si>
    <t>NetOps Lead (Korea) Mid</t>
  </si>
  <si>
    <t>NetOps Lead Mid</t>
  </si>
  <si>
    <t>NetOps Specialist (Japan) Junior</t>
  </si>
  <si>
    <t>NetOps Specialist (Japan) Mid</t>
  </si>
  <si>
    <t>NetOps Specialist (Japan) Senior</t>
  </si>
  <si>
    <t>NetOps Specialist (Germany) Junior</t>
  </si>
  <si>
    <t>NetOps Specialist (Germany) Mid</t>
  </si>
  <si>
    <t>NetOps Specialist (Germany) Senior</t>
  </si>
  <si>
    <t>NetOps Specialist (Guam) Junior</t>
  </si>
  <si>
    <t>NetOps Specialist (Guam) Mid</t>
  </si>
  <si>
    <t>NetOps Specialist (Guam) Senior</t>
  </si>
  <si>
    <t>NetOps Specialist (Korea) Junior</t>
  </si>
  <si>
    <t>NetOps Specialist (Korea) Mid</t>
  </si>
  <si>
    <t>NetOps Specialist (Korea) Senior</t>
  </si>
  <si>
    <t>NetOps Specialist Junior</t>
  </si>
  <si>
    <t>NetOps Specialist Mid</t>
  </si>
  <si>
    <t>NetOps Specialist Senior</t>
  </si>
  <si>
    <t>Network Architect Engineer Senior</t>
  </si>
  <si>
    <t>Network Storage Engineer Junior</t>
  </si>
  <si>
    <t>Network Storage Engineer Mid</t>
  </si>
  <si>
    <t>Network Storage Engineer Senior</t>
  </si>
  <si>
    <t>Network Storage Specialist Junior</t>
  </si>
  <si>
    <t>Network Storage Specialist Senior</t>
  </si>
  <si>
    <t>Organizational Messaging Specialist Junior</t>
  </si>
  <si>
    <t>Organizational Messaging Specialist Senior</t>
  </si>
  <si>
    <t>Packager Junior</t>
  </si>
  <si>
    <t>Packager Mid</t>
  </si>
  <si>
    <t>Programmer Junior</t>
  </si>
  <si>
    <t>Programmer Senior</t>
  </si>
  <si>
    <t>Project Manager Junior</t>
  </si>
  <si>
    <t>Project Manager Mid</t>
  </si>
  <si>
    <t>Project Manager Senior</t>
  </si>
  <si>
    <t>Quality Assurance Analyst Junior</t>
  </si>
  <si>
    <t>Systems Administrator Senior</t>
  </si>
  <si>
    <t>Systems Administrator Mid</t>
  </si>
  <si>
    <t>Systems Administrator Mid (Japan)</t>
  </si>
  <si>
    <t>Systems Administrator Mid (Germany)</t>
  </si>
  <si>
    <t>Technical Writer/Editor Junior</t>
  </si>
  <si>
    <t>Technical Writer/Editor Mid</t>
  </si>
  <si>
    <t>Technology Consultant Junior</t>
  </si>
  <si>
    <t>Technology Consultant Mid</t>
  </si>
  <si>
    <t>Technology Consultant Senior</t>
  </si>
  <si>
    <t>Test Engineer Junior</t>
  </si>
  <si>
    <t>Test Engineer Lead Mid</t>
  </si>
  <si>
    <t>Testing Manager Senior</t>
  </si>
  <si>
    <t>Training Coordinator Senior</t>
  </si>
  <si>
    <t>Training Specialist Junior</t>
  </si>
  <si>
    <t>Training Specialist Senior</t>
  </si>
  <si>
    <t>Virtual Server Administrator (Japan) Mid</t>
  </si>
  <si>
    <t>Virtual Server Administrator (Germany) Mid</t>
  </si>
  <si>
    <t>Virtual Server Administrator Mid</t>
  </si>
  <si>
    <t>Voice Communications Manager Mid</t>
  </si>
  <si>
    <t>Warehouseman Junior</t>
  </si>
  <si>
    <t>Warehouseman Mid</t>
  </si>
  <si>
    <t>HW Only</t>
  </si>
  <si>
    <t>Fiscal Years</t>
  </si>
  <si>
    <t>G, I or Re-use</t>
  </si>
  <si>
    <t>Juniper Networks</t>
  </si>
  <si>
    <t>Copper Test and Label ISP/OSP</t>
  </si>
  <si>
    <t>Copper Test, label and Repair ISP/OSP</t>
  </si>
  <si>
    <t>Copper Move, Re-terminate, Test and Label ISP</t>
  </si>
  <si>
    <t>Copper ISP Extension Install CAT 5e CMR/Non-Plenum</t>
  </si>
  <si>
    <t>Copper ISP Extension Install CAT 5e CMP/Plenum</t>
  </si>
  <si>
    <t>Copper ISP Extension Install CAT 6 CMR/Non-Plenum</t>
  </si>
  <si>
    <t>Copper ISP Extension Install CAT 6 CMP/Plenum</t>
  </si>
  <si>
    <t>Copper ISP Removal</t>
  </si>
  <si>
    <t>1U Wire Manager</t>
  </si>
  <si>
    <t>2U Wire Manager</t>
  </si>
  <si>
    <t>ISP Uninstall (coiled up for re-use)</t>
  </si>
  <si>
    <t>One Port Copper ISP (CAT 5e or CAT 6) Termination/Labeling at the Patch Panel</t>
  </si>
  <si>
    <t>Two Port Copper ISP (CAT 5e or CAT 6) Termination/Labeling at the Patch Panel</t>
  </si>
  <si>
    <t>Fiber Test and Label Desktop ISP (2-strands)</t>
  </si>
  <si>
    <t>Fiber Test, Label and Repair Desktop ISP (2-strands)</t>
  </si>
  <si>
    <t>Fiber Move, terminate, Test and Label ISP (4-strands)</t>
  </si>
  <si>
    <t>Fiber ISP Removal</t>
  </si>
  <si>
    <t>Fiber Bulkhead</t>
  </si>
  <si>
    <t>Two Strands Fiber ISP Termination/Labeling at the Patch Panel</t>
  </si>
  <si>
    <t>Four Strands Fiber ISP Termination/Labeling at the Patch Panel</t>
  </si>
  <si>
    <t>Fiber Test, Label and Terminate\Re-terminate ISP/OSP - 12 Strands</t>
  </si>
  <si>
    <t>ISP Tie Setup Charge</t>
  </si>
  <si>
    <t>Fiber Splice and Test - 12 Strands (In Existing Splice Case)</t>
  </si>
  <si>
    <t>Fiber Splice and Test - 12 Strands (Requires new Splice Case)</t>
  </si>
  <si>
    <t>Cabinet Removal (per cabinet)</t>
  </si>
  <si>
    <t>Electrical Sub Panel Install</t>
  </si>
  <si>
    <t>UPS Installation- Quantity of 2-2KVAs/2-48V Batteries Combo (no circuit or receptacles included)</t>
  </si>
  <si>
    <t>Cabinet Pickup and delivery- Non Local Site</t>
  </si>
  <si>
    <t>Installation of Fire Rated Backboard (4'X4')</t>
  </si>
  <si>
    <t>Relocation/movement of an existing two network cable drop to a new location, re-labeling, re-terminating the cable at the wall plate and patch panel, test and certify.</t>
  </si>
  <si>
    <t>1 Strand - Testing: Includes testing, certifying, and labeling existing backbone ISP or OSP fiber tie cables (single or multi-mode); clean and polish connectors as needed.</t>
  </si>
  <si>
    <t>6 Strands - Testing: Includes testing, certifying, and labeling existing backbone ISP or OSP fiber tie cables (single or multi-mode); clean and polish connectors as needed.</t>
  </si>
  <si>
    <t>12 Strands - Testing: Includes testing, certifying, and labeling existing backbone ISP or OSP fiber tie cables (single or multi-mode); clean and polish connectors as needed.</t>
  </si>
  <si>
    <t>24 Strands - Testing: Includes testing, certifying, and labeling existing backbone ISP or OSP fiber tie cables (single or multi-mode); clean and polish connectors as needed.</t>
  </si>
  <si>
    <t>36 Strands - Testing: Includes testing, certifying, and labeling existing backbone ISP or OSP fiber tie cables (single or multi-mode); clean and polish connectors as needed.</t>
  </si>
  <si>
    <t>48 strands - Testing: Includes testing, certifying, and labeling existing backbone ISP or OSP fiber tie cables (single or multi-mode); clean and polish connectors as needed.</t>
  </si>
  <si>
    <t>72 strands - Testing: Includes testing, certifying, and labeling existing backbone ISP or OSP fiber tie cables (single or multi-mode); clean and polish connectors as needed.</t>
  </si>
  <si>
    <t>1 Strand - Repair:  includes testing, certifying, labeling, terminating/re-terminating, polishing, cleaning and replacement of connectors for new and existing ISP or OSP cable (single or multi-mode); both ends.</t>
  </si>
  <si>
    <t>6 strands - Repair:  includes testing, certifying, labeling, terminating/re-terminating, polishing, cleaning and replacement of connectors for new and existing ISP or OSP cable (single or multi-mode); both ends.</t>
  </si>
  <si>
    <t>12 strands - Repair:  includes testing, certifying, labeling, terminating/re-terminating, polishing, cleaning and replacement of connectors for new and existing ISP or OSP cable (single or multi-mode); both ends.</t>
  </si>
  <si>
    <t>24 strands - Repair:  includes testing, certifying, labeling, terminating/re-terminating, polishing, cleaning and replacement of connectors for new and existing ISP or OSP cable (single or multi-mode); both ends.</t>
  </si>
  <si>
    <t>36 strands - Repair:  includes testing, certifying, labeling, terminating/re-terminating, polishing, cleaning and replacement of connectors for new and existing ISP or OSP cable (single or multi-mode); both ends.</t>
  </si>
  <si>
    <t>48 strands - Repair:  includes testing, certifying, labeling, terminating/re-terminating, polishing, cleaning and replacement of connectors for new and existing ISP or OSP cable (single or multi-mode); both ends.</t>
  </si>
  <si>
    <t>72 strands - Repair:  includes testing, certifying, labeling, terminating/re-terminating, polishing, cleaning and replacement of connectors for new and existing ISP or OSP cable (single or multi-mode); both ends.</t>
  </si>
  <si>
    <t>12 strands of Multi-Mode Fiber (per foot)</t>
  </si>
  <si>
    <t>12 strands of Single-Mode Fiber (per foot)</t>
  </si>
  <si>
    <t>24 strands of Multi-Mode Fiber (per foot)</t>
  </si>
  <si>
    <t>24 strands of Single-Mode Fiber (per foot)</t>
  </si>
  <si>
    <t>36 strands of Multi-Mode Fiber (per foot)</t>
  </si>
  <si>
    <t>36 strands of Single-Mode Fiber (per foot)</t>
  </si>
  <si>
    <t>48 strands of Multi-Mode Fiber (per foot)</t>
  </si>
  <si>
    <t>48 strands of Single-Mode Fiber (per foot)</t>
  </si>
  <si>
    <t>72 strands of Multi-Mode Fiber (per foot)</t>
  </si>
  <si>
    <t>72 strands of Single-Mode Fiber (per foot)</t>
  </si>
  <si>
    <t>Non Standard Work</t>
  </si>
  <si>
    <t>¾ inch EMT conduit, 4-#12 THHN in conjunction with Cabinet Installation only; per Lin. Ft. Price reflects per foot (includes grounding)</t>
  </si>
  <si>
    <t>Includes local travel to base, access time, cabinet uninstall, removal of electrical outlet from the cabinet, return travel time and transport cabinet to the Warehouse</t>
  </si>
  <si>
    <t xml:space="preserve">Includes local travel to base, removing cabinet from current location to local NMCI warehouse or another location at current site, return travel time.  </t>
  </si>
  <si>
    <t>Cabinet Pick up from Warehouse for installation at a local Site</t>
  </si>
  <si>
    <t>NON STANDARD WORK                    NON STANDARD WORK                    NON STANDARD WORK</t>
  </si>
  <si>
    <t>days after the start date.</t>
  </si>
  <si>
    <t>NGEN CLIN 6AG Pricing Form</t>
  </si>
  <si>
    <t xml:space="preserve">Initial NGEN 6AG Rate Card </t>
  </si>
  <si>
    <t>Regional Infrastructure Mgr:</t>
  </si>
  <si>
    <t>Subtotal</t>
  </si>
  <si>
    <t>PM Hours</t>
  </si>
  <si>
    <t>Job Title (per Attachment 8)</t>
  </si>
  <si>
    <t>PM-1</t>
  </si>
  <si>
    <t>PM-2</t>
  </si>
  <si>
    <t>PM-3</t>
  </si>
  <si>
    <t>PM-4</t>
  </si>
  <si>
    <t>PM-5</t>
  </si>
  <si>
    <t>RIM Support</t>
  </si>
  <si>
    <t>SDM Support</t>
  </si>
  <si>
    <t>Enterprise Program Office Support</t>
  </si>
  <si>
    <t>Logistics Support (from Mechanicsburg to the site)</t>
  </si>
  <si>
    <t>Project Coordination and Oversight</t>
  </si>
  <si>
    <t>Description: Pre-priced Tasks</t>
  </si>
  <si>
    <t>Pre-priced Tasks:</t>
  </si>
  <si>
    <t>Previously Awarded Hardware</t>
  </si>
  <si>
    <t>Previously Awarded Hardware:</t>
  </si>
  <si>
    <t>Previously Awarded Hardware Installs:</t>
  </si>
  <si>
    <t>PAHW-1</t>
  </si>
  <si>
    <t>PAHW-2</t>
  </si>
  <si>
    <t>PAHW-3</t>
  </si>
  <si>
    <t>PAHW-4</t>
  </si>
  <si>
    <t>PAHW-5</t>
  </si>
  <si>
    <t>PAHW-6</t>
  </si>
  <si>
    <t>PAHW-7</t>
  </si>
  <si>
    <t>PAHW-8</t>
  </si>
  <si>
    <t>PAHW-9</t>
  </si>
  <si>
    <t>PAHW-10</t>
  </si>
  <si>
    <t>PAHW-11</t>
  </si>
  <si>
    <t>PAHW-12</t>
  </si>
  <si>
    <t>PAHW-13</t>
  </si>
  <si>
    <t>PAHW-14</t>
  </si>
  <si>
    <t>PAHW-15</t>
  </si>
  <si>
    <t>PAHW-16</t>
  </si>
  <si>
    <t>PAHW-17</t>
  </si>
  <si>
    <t>PAHW-18</t>
  </si>
  <si>
    <t>PAHW-19</t>
  </si>
  <si>
    <t>PAHW-20</t>
  </si>
  <si>
    <t>HP Service Manager (HPSM) Support - Queue Mgmt.</t>
  </si>
  <si>
    <t>Attachment 8 Labor Category</t>
  </si>
  <si>
    <t>Labor Description</t>
  </si>
  <si>
    <t>NOTE:  Materials are not included in the tasks below.</t>
  </si>
  <si>
    <t>NGEN Attachment 8 Labor Categories</t>
  </si>
  <si>
    <r>
      <t xml:space="preserve">Test, condition, label and re-terminate copper OSP or ISP cables to include Long Range Ethernet (LRE) and Digital Subscriber Line (DSL) cables
</t>
    </r>
    <r>
      <rPr>
        <b/>
        <sz val="10"/>
        <color indexed="10"/>
        <rFont val="Arial"/>
        <family val="2"/>
      </rPr>
      <t>(Includes tracing cable and removing unwanted equipment)</t>
    </r>
  </si>
  <si>
    <r>
      <t>Installation of copper tie/extension ISP cable CAT 5e CMR/Non-Plenum between two cabinets/racks to a</t>
    </r>
    <r>
      <rPr>
        <sz val="10"/>
        <rFont val="Arial"/>
        <family val="2"/>
      </rPr>
      <t xml:space="preserve"> maximum of 295 feet.  Includes testing, certifying, labeling and termination at each end to a new RJ45 Biscuit/Connector or existing patch panel.</t>
    </r>
  </si>
  <si>
    <r>
      <t xml:space="preserve">Installation of copper tie/extension ISP cable CAT 5e CMP/Plenum between two cabinets/racks to a maximum of </t>
    </r>
    <r>
      <rPr>
        <sz val="10"/>
        <rFont val="Arial"/>
        <family val="2"/>
      </rPr>
      <t>295 feet.  Includes testing, certifying, labeling and termination at each end to a new RJ45 Biscuit/Connector or existing patch panel.</t>
    </r>
  </si>
  <si>
    <r>
      <t xml:space="preserve">Installation of copper tie/extension ISP cable CAT 6 CMR/Non-Plenum between two cabinets/racks to a maximum of </t>
    </r>
    <r>
      <rPr>
        <sz val="10"/>
        <rFont val="Arial"/>
        <family val="2"/>
      </rPr>
      <t>295 feet.  Includes testing, certifying, labeling and termination at each end to an RJ45 connector or existing patch panel.</t>
    </r>
  </si>
  <si>
    <r>
      <t xml:space="preserve">Installation of copper tie/extension ISP cable CAT 6 CMP/Plenum between two cabinets/racks to a maximum of </t>
    </r>
    <r>
      <rPr>
        <sz val="10"/>
        <rFont val="Arial"/>
        <family val="2"/>
      </rPr>
      <t>295 feet.  Includes testing, certifying, labeling and termination at each end to an RJ45 connector or existing patch panel.</t>
    </r>
  </si>
  <si>
    <r>
      <t xml:space="preserve">Termination of </t>
    </r>
    <r>
      <rPr>
        <sz val="10"/>
        <rFont val="Arial"/>
        <family val="2"/>
      </rPr>
      <t>one Copper cable - CAT 5e or CAT 6 (installed by 3rd party) at the Patch Panel by pulling the cable into the IDF, terminating to an existing patch panel, labeling the patch panel port, testing and certifying the cable.</t>
    </r>
  </si>
  <si>
    <r>
      <t xml:space="preserve">Termination of </t>
    </r>
    <r>
      <rPr>
        <sz val="10"/>
        <rFont val="Arial"/>
        <family val="2"/>
      </rPr>
      <t>two Copper cables - CAT 5e or CAT 6 of the same drop (installed by 3rd party) at the Patch Panel by pulling the cables into the IDF, terminating to an existing patch panel, labeling the patch panel ports, testing and certifying the cables.</t>
    </r>
  </si>
  <si>
    <r>
      <t xml:space="preserve">INSIDE PLANT (ISP) and Outside Plant (OSP) Tasks (Fiber) - </t>
    </r>
    <r>
      <rPr>
        <sz val="10"/>
        <color indexed="8"/>
        <rFont val="Arial"/>
        <family val="2"/>
      </rPr>
      <t>Testing: Includes testing, certifying, and labeling existing backbone ISP or OSP fiber tie cables (single or multi-mode); clean and polish connectors as needed.</t>
    </r>
  </si>
  <si>
    <r>
      <t xml:space="preserve">Test, certify, label and clean connectors on single or multi-mode fiber desktop ISP (2-strands); </t>
    </r>
    <r>
      <rPr>
        <b/>
        <sz val="10"/>
        <color indexed="8"/>
        <rFont val="Arial"/>
        <family val="2"/>
      </rPr>
      <t>no repair required</t>
    </r>
  </si>
  <si>
    <r>
      <t xml:space="preserve">Termination of </t>
    </r>
    <r>
      <rPr>
        <sz val="10"/>
        <rFont val="Arial"/>
        <family val="2"/>
      </rPr>
      <t>two fiber strands (installed by 3rd party) at the Patch Panel by pulling the strand pair into the IDF, terminating to an existing patch panel, labeling the patch panel port, test and certify the 2-strands.</t>
    </r>
  </si>
  <si>
    <r>
      <t xml:space="preserve">Termination of </t>
    </r>
    <r>
      <rPr>
        <sz val="10"/>
        <rFont val="Arial"/>
        <family val="2"/>
      </rPr>
      <t>four fiber strands (installed by 3rd party) at the Patch Panel by pulling the strand pairs into the IDF, terminating to an existing patch panel, labeling the patch panel ports, test and certify the 4-strands.</t>
    </r>
  </si>
  <si>
    <r>
      <t xml:space="preserve">INSIDE PLANT (ISP) and Outside Plant (OSP) Tasks (Fiber) - </t>
    </r>
    <r>
      <rPr>
        <sz val="10"/>
        <color indexed="8"/>
        <rFont val="Arial"/>
        <family val="2"/>
      </rPr>
      <t>Repair:  includes testing, certifying, labeling, terminating/re-terminating, polishing, cleaning and replacement of connectors for new and existing ISP or OSP cable (single or multi-mode); both ends.</t>
    </r>
  </si>
  <si>
    <r>
      <t xml:space="preserve">Setup charge to prep for installation of Fiber ISP Ties
</t>
    </r>
    <r>
      <rPr>
        <b/>
        <sz val="10"/>
        <color indexed="12"/>
        <rFont val="Arial"/>
        <family val="2"/>
      </rPr>
      <t>(Pricing is on a Per Instance Basis)</t>
    </r>
  </si>
  <si>
    <t>INSIDE PLANT (ISP) Tasks Fiber Tie Installs: Price per foot of ISP fiber tie (single or multi-mode) in a building to furnish and install intra-building cable from the building entrance point to the telecommunications closet or closet-to-closet.   
Note: termination, testing and certification of new cables should be covered in other fixed price items. (See applicable section above)</t>
  </si>
  <si>
    <t>OUTSIDE PLANT (OSP) Tasks Fiber Installs:  Price per FOOT for OSP fiber run (single or multi-mode) to furnish, install OSP fiber cable within EXISTING conduit.
NOTE: Per NAVFAC requirements, tracer wire/detectable warning tape must be placed in with conduit if it is not present when installing new fiber.
NOTE: If Splicing, Conduit installation, Maxcell, Direct Burying of Conduit\Cable, simple trenching or trenching thru major obstacles is needed, the applicable Tasks in this section would be selected in addition to the Strand selection.  If Rodding and Roping is required, this will be a separate charge.
NOTE: Termination, testing and certification of new cables should be covered in other fixed price items. (See applicable section above)</t>
  </si>
  <si>
    <t>ISP FIBER INSTALLATION AND REPAIR</t>
  </si>
  <si>
    <t>ISP COPPER INSTALLATION AND REPAIR                                        ISP COPPER INSTALLATION AND REPAIR</t>
  </si>
  <si>
    <r>
      <t xml:space="preserve">Setup charge to prep for installation of Fiber OSP
</t>
    </r>
    <r>
      <rPr>
        <b/>
        <sz val="10"/>
        <color indexed="12"/>
        <rFont val="Arial"/>
        <family val="2"/>
      </rPr>
      <t>(Pricing is on a Per Instance Basis)</t>
    </r>
  </si>
  <si>
    <t>Non-Plenum Innerduct - per foot</t>
  </si>
  <si>
    <t>Plenum Innerduct - per foot</t>
  </si>
  <si>
    <t>Fiber ISP Tie Cable Install - 72 Strands Single Mode, CMP/Plenum - per foot</t>
  </si>
  <si>
    <t>Fiber ISP Tie Cable Install - 72 Strands Multi-Mode, CMP/Plenum - per foot</t>
  </si>
  <si>
    <t>Fiber ISP Tie Cable Install - 48 Strands Single Mode, CMP/Plenum - per foot</t>
  </si>
  <si>
    <t>Fiber ISP Tie Cable Install - 48 Strands Multi-Mode, CMP/Plenum - per foot</t>
  </si>
  <si>
    <t>Fiber ISP Tie Cable Install - 12 Strands Multi-Mode, CMR/Non-Plenum - per foot</t>
  </si>
  <si>
    <t>Fiber ISP Tie Cable Install - 12 Strands Single Mode, CMR/Non-Plenum - per foot</t>
  </si>
  <si>
    <t>Fiber ISP Tie Cable Install - 24 Strands Multi-Mode, CMR/Non-Plenum - per foot</t>
  </si>
  <si>
    <t>Fiber ISP Tie Cable Install - 24 Strands Single Mode, CMR/Non-Plenum - per foot</t>
  </si>
  <si>
    <t>Fiber ISP Tie Cable Install - 36 Strands Multi-Mode, CMR/Non-Plenum - per foot</t>
  </si>
  <si>
    <t>Fiber ISP Tie Cable Install - 36 Strands Single Mode, CMR/Non-Plenum - per foot</t>
  </si>
  <si>
    <t>Fiber ISP Tie Cable Install - 48 Strands Multi-Mode, CMR/Non-Plenum - per foot</t>
  </si>
  <si>
    <t>Fiber ISP Tie Cable Install - 48 Strands Single Mode, CMR/Non-Plenum - per foot</t>
  </si>
  <si>
    <t>Fiber ISP Tie Cable Install - 72 Strands Multi-Mode, CMR/Non-Plenum - per foot</t>
  </si>
  <si>
    <t>Fiber ISP Tie Cable Install - 72 Strands Single Mode, CMR/Non-Plenum - per foot</t>
  </si>
  <si>
    <t>Fiber ISP Tie Cable Install - 12 Strands Multi-Mode, CMP/Plenum - per foot</t>
  </si>
  <si>
    <t>Fiber ISP Tie Cable Install - 12 Strands Single Mode, CMP/Plenum - per foot</t>
  </si>
  <si>
    <t>Fiber ISP Tie Cable Install - 24 Strands Multi-Mode, CMP/Plenum - per foot</t>
  </si>
  <si>
    <t>Fiber ISP Tie Cable Install - 24 Strands Single Mode, CMP/Plenum - per foot</t>
  </si>
  <si>
    <t>Fiber ISP Tie Cable Install - 36 Strands Multi-Mode, CMP/Plenum - per foot</t>
  </si>
  <si>
    <t>Fiber ISP Tie Cable Install - 36 Strands Single Mode, CMP/Plenum - per foot</t>
  </si>
  <si>
    <t>Maxcell - 3 cell sock - per foot</t>
  </si>
  <si>
    <t>OSP Conduit Install - per foot</t>
  </si>
  <si>
    <t>OSP Rated Innerduct - per foot</t>
  </si>
  <si>
    <t>OSP Direct Bury - per foot</t>
  </si>
  <si>
    <t>Tracer Wire/detectable warning tape - per foot</t>
  </si>
  <si>
    <t>Server Farm Raised Floor Cable Tray - per foot</t>
  </si>
  <si>
    <t>Server Farm Overhead Cable Tray - per foot</t>
  </si>
  <si>
    <t>Senior Cable Plant Technician - per hour (Communications Network Engineer Mid)</t>
  </si>
  <si>
    <t>Design Engineer - ISP/OSP - per hour (Communications Network Engineer Mid)</t>
  </si>
  <si>
    <t>Junior Cable Plant Technician - per hour (ISP/OSP Specialist Junior)</t>
  </si>
  <si>
    <t>Computer-Aided Design (CAD) Technician - ISP - per hour (IT Service Delivery Consultant Junior)</t>
  </si>
  <si>
    <t>Computer-Aided Design (CAD) Technician - OSP - per hour (IT Service Delivery Consultant Mid)</t>
  </si>
  <si>
    <t xml:space="preserve">Senior Cable Plant Technician - per hour </t>
  </si>
  <si>
    <t>Junior Cable Plant Technician - per hour</t>
  </si>
  <si>
    <t>Computer-Aided Design (CAD) Technician - ISP - per hour</t>
  </si>
  <si>
    <t>Computer-Aided Design (CAD) Technician - OSP - per hour</t>
  </si>
  <si>
    <t>Design Engineer - ISP/OSP - per hour</t>
  </si>
  <si>
    <t>Senior Electrician (per hour)</t>
  </si>
  <si>
    <t>Junior Electrician (per hour)</t>
  </si>
  <si>
    <t>Includes pick up, removal and replacement of internal battery, and battery disposal.</t>
  </si>
  <si>
    <r>
      <t>Cabinet Pick up from Warehouse for installation at a local Site - additional cabinets, same installation request</t>
    </r>
    <r>
      <rPr>
        <b/>
        <sz val="11"/>
        <color theme="1"/>
        <rFont val="Calibri"/>
        <family val="2"/>
        <scheme val="minor"/>
      </rPr>
      <t xml:space="preserve"> (Note:  includes up to 6 additional cabinets)</t>
    </r>
  </si>
  <si>
    <r>
      <t xml:space="preserve">Cabinet Pick up from Warehouse  for installation at a Non local Site - additional cabinets, same installation request </t>
    </r>
    <r>
      <rPr>
        <b/>
        <sz val="11"/>
        <color theme="1"/>
        <rFont val="Calibri"/>
        <family val="2"/>
        <scheme val="minor"/>
      </rPr>
      <t>(Note:  includes up to 6 additional cabinets)</t>
    </r>
  </si>
  <si>
    <t>Cabinet Pickup and delivery-Local - up to 6 additional cabinets</t>
  </si>
  <si>
    <t>Cabinet Pickup and delivery-Non-Local - up to 6 additional cabinets</t>
  </si>
  <si>
    <t>** INSTALLATION INCLUDES:
   -  PRE IMPLEMENTATION COORDINATION
   -  IMPLEMENTATION
   -  NETWORK SITE DESIGN
   -  NETWORK DEVICE CONFIGURATION</t>
  </si>
  <si>
    <t>Armored Shield</t>
  </si>
  <si>
    <t>Lynn Electronics</t>
  </si>
  <si>
    <t>CAT6-03-BL</t>
  </si>
  <si>
    <t>CAT6-05-BL</t>
  </si>
  <si>
    <t>CAT6-07-BL</t>
  </si>
  <si>
    <t>CAT6-10-BL</t>
  </si>
  <si>
    <t>CAT6-14-BL</t>
  </si>
  <si>
    <t>CAT6-25-BL</t>
  </si>
  <si>
    <t>CAT6-03-RD</t>
  </si>
  <si>
    <t>CAT6-05-RD</t>
  </si>
  <si>
    <t>CAT6-07-RD</t>
  </si>
  <si>
    <t>CAT6-10-RD</t>
  </si>
  <si>
    <t>CAT6-14-RD</t>
  </si>
  <si>
    <t>CAT6-25-RD</t>
  </si>
  <si>
    <t>CAT6-03-GR</t>
  </si>
  <si>
    <t>CAT6-05-GR</t>
  </si>
  <si>
    <t>CAT6-07-GR</t>
  </si>
  <si>
    <t>CAT6-10-GR</t>
  </si>
  <si>
    <t>CAT6-14-GR</t>
  </si>
  <si>
    <t>CAT6-25-GR</t>
  </si>
  <si>
    <t>CAT5E-7-OR</t>
  </si>
  <si>
    <t>Control Cable</t>
  </si>
  <si>
    <t>60944-3</t>
  </si>
  <si>
    <t>SCSCDUPMM-15M</t>
  </si>
  <si>
    <t>SCSTDUPMM-15M</t>
  </si>
  <si>
    <t>60921-3</t>
  </si>
  <si>
    <t>60921-5</t>
  </si>
  <si>
    <t>STSTDUPMM-15M</t>
  </si>
  <si>
    <t>LCSCDUPMM-5M</t>
  </si>
  <si>
    <t>LCSCDUPMM-15M</t>
  </si>
  <si>
    <t>LCSCDUPMM-20M</t>
  </si>
  <si>
    <t>LCLCDUPMM-3M</t>
  </si>
  <si>
    <t>LCLCDUPMM-10M</t>
  </si>
  <si>
    <t>60914-2</t>
  </si>
  <si>
    <t>60914-3</t>
  </si>
  <si>
    <t>60919-4</t>
  </si>
  <si>
    <t>LCLCDUPMM50-3M</t>
  </si>
  <si>
    <t>SCSCDUPSM-5M</t>
  </si>
  <si>
    <t>SCSCDUPSM-10M</t>
  </si>
  <si>
    <t>SCSCDUPSM-15M</t>
  </si>
  <si>
    <t>SCSCDUPSM-25M</t>
  </si>
  <si>
    <t>SCSTDUPSM-15M</t>
  </si>
  <si>
    <t>LCSCDUPSM-2M</t>
  </si>
  <si>
    <t>LCSCDUPSM-3M</t>
  </si>
  <si>
    <t>LCSCDUPSM-5M</t>
  </si>
  <si>
    <t>LCSCDUPSM-10M</t>
  </si>
  <si>
    <t>LCSCDUPSM-15M</t>
  </si>
  <si>
    <t>LCSCDUPSM-30M</t>
  </si>
  <si>
    <t>STSTDUPSM-15M</t>
  </si>
  <si>
    <t>LCSTDUPSM-3M</t>
  </si>
  <si>
    <t>LCSTDUPSM-5M</t>
  </si>
  <si>
    <t>LCLCDUPSM-3M</t>
  </si>
  <si>
    <t>LCLCDUPSM-5M</t>
  </si>
  <si>
    <t>LCLCDUPSM-10M</t>
  </si>
  <si>
    <t>60964-3</t>
  </si>
  <si>
    <t>1.0</t>
  </si>
  <si>
    <t>Attachment 8 Labor Catagory</t>
  </si>
  <si>
    <t>Avg Hours per Project</t>
  </si>
  <si>
    <t>Very Small Projects 
(TCV from $1 to $3,500)</t>
  </si>
  <si>
    <t>Hours</t>
  </si>
  <si>
    <t>Total</t>
  </si>
  <si>
    <t>Billable per Very Small 6AG</t>
  </si>
  <si>
    <t>Small Projects 
(TCV from $3501 to $10,000)</t>
  </si>
  <si>
    <t>Manage</t>
  </si>
  <si>
    <t>Core - RIM</t>
  </si>
  <si>
    <t xml:space="preserve">AM - Acct Mgmt (SDM) </t>
  </si>
  <si>
    <t>Enterprise Program Office</t>
  </si>
  <si>
    <t xml:space="preserve">Enterprise Program Office (EPO) initiates the project within HP and coordinates the assignment of project managers/RIM. EPO generates the Microsoft Project Server (MSPS) project records that initiates and manages the overall project and reporting of each project throughout its lifecycle. </t>
  </si>
  <si>
    <t>Schedule</t>
  </si>
  <si>
    <t>Core - Logistics</t>
  </si>
  <si>
    <t>Core - Queue Mgr</t>
  </si>
  <si>
    <t xml:space="preserve">HP Service Manager (HPSM) is the ticketing system in use on the NMCI network. In order for network design, configuration, and activation requests to occur, HPSM tickets must be generated for the affiliated groups to work those requests. </t>
  </si>
  <si>
    <t>Billable per Small 6AG</t>
  </si>
  <si>
    <t>Medium Projects 
(TCV from $10,001 to $30,000)</t>
  </si>
  <si>
    <t>Billable per Medium 6AG</t>
  </si>
  <si>
    <t>Large Projects 
(TCV from $30,001 and up)</t>
  </si>
  <si>
    <t>Billable per Large 6AG</t>
  </si>
  <si>
    <t>Price per Project</t>
  </si>
  <si>
    <t>Technical and project management time required to deliver each 6AG. There are over a hundred task items performed by the RIM for every 6AG. Complex 6AGs require additional effort.</t>
  </si>
  <si>
    <t>Account management (SDM) is utilized for access coordination, customer-born issues, requirements validation, scope issues and/or other project changes. This position is utilized in every 6AG and the first person the customer contacts regarding a 6AG.
Includes all non-technical project management time required to deliver the 6AG, including customer meetings, working access with customer, sorting out scope discrepancies, and communicating project timelines.</t>
  </si>
  <si>
    <t>This includes any logistics time that delivers hardware from Mech. to the site in support of delivering the 6AG.</t>
  </si>
  <si>
    <t>Project Task</t>
  </si>
  <si>
    <t>Project Task Grouping
*See descriptions below</t>
  </si>
  <si>
    <t>Hardware Installation</t>
  </si>
  <si>
    <t>ISP-26</t>
  </si>
  <si>
    <t>ISP-27</t>
  </si>
  <si>
    <t>ISP-28</t>
  </si>
  <si>
    <t>ISP-29</t>
  </si>
  <si>
    <t>ISP-30</t>
  </si>
  <si>
    <t>ISP-31</t>
  </si>
  <si>
    <t>ISP-32</t>
  </si>
  <si>
    <t>ISP-33</t>
  </si>
  <si>
    <t>ISP-34</t>
  </si>
  <si>
    <t>ISP-35</t>
  </si>
  <si>
    <t>ISP-36</t>
  </si>
  <si>
    <t>ISP-37</t>
  </si>
  <si>
    <t>ISP-38</t>
  </si>
  <si>
    <t>ISP-39</t>
  </si>
  <si>
    <t>ISP-40</t>
  </si>
  <si>
    <t>FAC-21</t>
  </si>
  <si>
    <t>FAC-22</t>
  </si>
  <si>
    <t>FAC-23</t>
  </si>
  <si>
    <t>FAC-24</t>
  </si>
  <si>
    <t>FAC-25</t>
  </si>
  <si>
    <t>FAC-26</t>
  </si>
  <si>
    <t>FAC-27</t>
  </si>
  <si>
    <t>FAC-28</t>
  </si>
  <si>
    <t>FAC-29</t>
  </si>
  <si>
    <t>FAC-30</t>
  </si>
  <si>
    <t>FAC-31</t>
  </si>
  <si>
    <t>FAC-32</t>
  </si>
  <si>
    <t>FAC-33</t>
  </si>
  <si>
    <t>FAC-34</t>
  </si>
  <si>
    <t>FAC-35</t>
  </si>
  <si>
    <t>FAC-36</t>
  </si>
  <si>
    <t>FAC-37</t>
  </si>
  <si>
    <t>FAC-38</t>
  </si>
  <si>
    <t>FAC-39</t>
  </si>
  <si>
    <t>FAC-40</t>
  </si>
  <si>
    <r>
      <t xml:space="preserve">Description of Previously Awarded Hardware To Be Installed </t>
    </r>
    <r>
      <rPr>
        <i/>
        <sz val="10"/>
        <color theme="9" tint="-0.249977111117893"/>
        <rFont val="Verdana"/>
        <family val="2"/>
      </rPr>
      <t>(Quantities auto populated based on PAHW Requirements)</t>
    </r>
  </si>
  <si>
    <t xml:space="preserve">Description of Other Hardware To Be Installed </t>
  </si>
  <si>
    <t>HW-IN -1</t>
  </si>
  <si>
    <t>HW-IN -2</t>
  </si>
  <si>
    <t>HW-IN -3</t>
  </si>
  <si>
    <t>HW-IN -4</t>
  </si>
  <si>
    <t>HW-IN -5</t>
  </si>
  <si>
    <t>HW-IN -6</t>
  </si>
  <si>
    <t>HW-IN -7</t>
  </si>
  <si>
    <t>HW-IN -8</t>
  </si>
  <si>
    <t>HW-IN -9</t>
  </si>
  <si>
    <t>HW-IN -10</t>
  </si>
  <si>
    <t>HW-IN -11</t>
  </si>
  <si>
    <t>HW-IN -12</t>
  </si>
  <si>
    <t>HW-IN -13</t>
  </si>
  <si>
    <t>HW-IN -14</t>
  </si>
  <si>
    <t>HW-IN -15</t>
  </si>
  <si>
    <t>HW-IN -16</t>
  </si>
  <si>
    <t>HW-IN -17</t>
  </si>
  <si>
    <t>HW-IN -18</t>
  </si>
  <si>
    <t>HW-IN -19</t>
  </si>
  <si>
    <t>HW-IN -20</t>
  </si>
  <si>
    <t>HW-IN -21</t>
  </si>
  <si>
    <t>HW-IN -22</t>
  </si>
  <si>
    <t>HW-IN -23</t>
  </si>
  <si>
    <t>HW-IN -24</t>
  </si>
  <si>
    <t>HW-IN -25</t>
  </si>
  <si>
    <t>HW-IN -26</t>
  </si>
  <si>
    <t>HW-IN -27</t>
  </si>
  <si>
    <t>HW-IN -28</t>
  </si>
  <si>
    <t>HW-IN -29</t>
  </si>
  <si>
    <t>HW-IN -30</t>
  </si>
  <si>
    <t>HW-IN -31</t>
  </si>
  <si>
    <t>HW-IN -32</t>
  </si>
  <si>
    <t>HW-IN -33</t>
  </si>
  <si>
    <t>HW-IN -34</t>
  </si>
  <si>
    <t>HW-IN -35</t>
  </si>
  <si>
    <t>HW-IN -36</t>
  </si>
  <si>
    <t>HW-IN -37</t>
  </si>
  <si>
    <t>HW-IN -38</t>
  </si>
  <si>
    <t>HW-IN -39</t>
  </si>
  <si>
    <t>HW-IN -40</t>
  </si>
  <si>
    <t>HW-IN -41</t>
  </si>
  <si>
    <t>HW-IN -42</t>
  </si>
  <si>
    <t>HW-IN -43</t>
  </si>
  <si>
    <t>HW-IN -44</t>
  </si>
  <si>
    <t>HW-IN -45</t>
  </si>
  <si>
    <t>HW-IN -46</t>
  </si>
  <si>
    <t>HW-IN -47</t>
  </si>
  <si>
    <t>HW-IN -48</t>
  </si>
  <si>
    <t>HW-IN -49</t>
  </si>
  <si>
    <t>HW-IN -50</t>
  </si>
  <si>
    <t>PAH-IN-1</t>
  </si>
  <si>
    <t>PAH-IN-2</t>
  </si>
  <si>
    <t>PAH-IN-3</t>
  </si>
  <si>
    <t>PAH-IN-4</t>
  </si>
  <si>
    <t>PAH-IN-5</t>
  </si>
  <si>
    <t>PAH-IN-6</t>
  </si>
  <si>
    <t>PAH-IN-7</t>
  </si>
  <si>
    <t>PAH-IN-8</t>
  </si>
  <si>
    <t>PAH-IN-9</t>
  </si>
  <si>
    <t>PAH-IN-10</t>
  </si>
  <si>
    <t>PAH-IN-11</t>
  </si>
  <si>
    <t>PAH-IN-12</t>
  </si>
  <si>
    <t>PAH-IN-13</t>
  </si>
  <si>
    <t>PAH-IN-14</t>
  </si>
  <si>
    <t>PAH-IN-15</t>
  </si>
  <si>
    <t>PAH-IN-16</t>
  </si>
  <si>
    <t>PAH-IN-17</t>
  </si>
  <si>
    <t>PAH-IN-18</t>
  </si>
  <si>
    <t>PAH-IN-19</t>
  </si>
  <si>
    <t>PAH-IN-20</t>
  </si>
  <si>
    <t>OHW-IN-1</t>
  </si>
  <si>
    <t>OHW-IN-2</t>
  </si>
  <si>
    <t>OHW-IN-3</t>
  </si>
  <si>
    <t>OHW-IN-4</t>
  </si>
  <si>
    <t>OHW-IN-5</t>
  </si>
  <si>
    <t>OHW-IN-6</t>
  </si>
  <si>
    <t>OHW-IN-7</t>
  </si>
  <si>
    <t>OHW-IN-8</t>
  </si>
  <si>
    <t>OHW-IN-9</t>
  </si>
  <si>
    <t>OHW-IN-10</t>
  </si>
  <si>
    <t>OHW-IN-11</t>
  </si>
  <si>
    <t>OHW-IN-12</t>
  </si>
  <si>
    <t>OHW-IN-13</t>
  </si>
  <si>
    <t>OHW-IN-14</t>
  </si>
  <si>
    <t>OHW-IN-15</t>
  </si>
  <si>
    <t>Previously Awarded Hardware Installation</t>
  </si>
  <si>
    <t>Other Hardware Installation</t>
  </si>
  <si>
    <t>1.1</t>
  </si>
  <si>
    <t>Corrected duplicate hardware description (WS-X6748-SFP=).
Activated the flag indicator for pricing cells containing "TBD".</t>
  </si>
  <si>
    <t>ISP-41</t>
  </si>
  <si>
    <t>ISP-42</t>
  </si>
  <si>
    <t>ISP-43</t>
  </si>
  <si>
    <t>ISP-44</t>
  </si>
  <si>
    <t>ISP-45</t>
  </si>
  <si>
    <t>ISP-46</t>
  </si>
  <si>
    <t>ISP-47</t>
  </si>
  <si>
    <t>ISP-48</t>
  </si>
  <si>
    <t>ISP-49</t>
  </si>
  <si>
    <t>ISP-50</t>
  </si>
  <si>
    <t>ISP-51</t>
  </si>
  <si>
    <t>ISP-52</t>
  </si>
  <si>
    <t>ISP-53</t>
  </si>
  <si>
    <t>ISP-54</t>
  </si>
  <si>
    <t>ISP-55</t>
  </si>
  <si>
    <t>ISP-56</t>
  </si>
  <si>
    <t>ISP-57</t>
  </si>
  <si>
    <t>ISP-58</t>
  </si>
  <si>
    <t>ISP-59</t>
  </si>
  <si>
    <t>ISP-60</t>
  </si>
  <si>
    <t>ISP-61</t>
  </si>
  <si>
    <t>ISP-62</t>
  </si>
  <si>
    <t>ISP-63</t>
  </si>
  <si>
    <t>ISP-64</t>
  </si>
  <si>
    <t>ISP-65</t>
  </si>
  <si>
    <t>FAC-41</t>
  </si>
  <si>
    <t>FAC-42</t>
  </si>
  <si>
    <t>FAC-43</t>
  </si>
  <si>
    <t>FAC-44</t>
  </si>
  <si>
    <t>FAC-45</t>
  </si>
  <si>
    <t>FAC-46</t>
  </si>
  <si>
    <t>FAC-47</t>
  </si>
  <si>
    <t>FAC-48</t>
  </si>
  <si>
    <t>FAC-49</t>
  </si>
  <si>
    <t>FAC-50</t>
  </si>
  <si>
    <t>FAC-51</t>
  </si>
  <si>
    <t>FAC-52</t>
  </si>
  <si>
    <t>FAC-53</t>
  </si>
  <si>
    <t>FAC-54</t>
  </si>
  <si>
    <t>FAC-55</t>
  </si>
  <si>
    <t>FAC-56</t>
  </si>
  <si>
    <t>FAC-57</t>
  </si>
  <si>
    <t>FAC-58</t>
  </si>
  <si>
    <t>FAC-59</t>
  </si>
  <si>
    <t>OHW-21</t>
  </si>
  <si>
    <t>OHW-22</t>
  </si>
  <si>
    <t>OHW-23</t>
  </si>
  <si>
    <t>OHW-24</t>
  </si>
  <si>
    <t>OHW-25</t>
  </si>
  <si>
    <t>OHW-26</t>
  </si>
  <si>
    <t>OHW-27</t>
  </si>
  <si>
    <t>OHW-28</t>
  </si>
  <si>
    <t>OHW-29</t>
  </si>
  <si>
    <t>OHW-30</t>
  </si>
  <si>
    <t>OHW-31</t>
  </si>
  <si>
    <t>OHW-32</t>
  </si>
  <si>
    <t>OHW-33</t>
  </si>
  <si>
    <t>OHW-34</t>
  </si>
  <si>
    <t>OHW-35</t>
  </si>
  <si>
    <t>OHW-36</t>
  </si>
  <si>
    <t>OHW-37</t>
  </si>
  <si>
    <t>OHW-38</t>
  </si>
  <si>
    <t>OHW-39</t>
  </si>
  <si>
    <t>OHW-40</t>
  </si>
  <si>
    <t>OHW-IN-16</t>
  </si>
  <si>
    <t>OHW-IN-17</t>
  </si>
  <si>
    <t>OHW-IN-18</t>
  </si>
  <si>
    <t>OHW-IN-19</t>
  </si>
  <si>
    <t>OHW-IN-20</t>
  </si>
  <si>
    <t>OHW-IN-21</t>
  </si>
  <si>
    <t>OHW-IN-22</t>
  </si>
  <si>
    <t>OHW-IN-23</t>
  </si>
  <si>
    <t>OHW-IN-24</t>
  </si>
  <si>
    <t>OHW-IN-25</t>
  </si>
  <si>
    <t>OHW-IN-26</t>
  </si>
  <si>
    <t>OHW-IN-27</t>
  </si>
  <si>
    <t>OHW-IN-28</t>
  </si>
  <si>
    <t>OHW-IN-29</t>
  </si>
  <si>
    <t>OHW-IN-30</t>
  </si>
  <si>
    <t>OHW-IN-31</t>
  </si>
  <si>
    <t>OHW-IN-32</t>
  </si>
  <si>
    <t>OHW-IN-33</t>
  </si>
  <si>
    <t>OHW-IN-34</t>
  </si>
  <si>
    <t>OHW-IN-35</t>
  </si>
  <si>
    <t>1.2</t>
  </si>
  <si>
    <t>Miscellaneous Materials for ISP, OSP and Facilities Tasks</t>
  </si>
  <si>
    <t>Description: Pre-priced Miscellaneous Materials</t>
  </si>
  <si>
    <t>MM-1</t>
  </si>
  <si>
    <t>MM-2</t>
  </si>
  <si>
    <t>MM-3</t>
  </si>
  <si>
    <t>MM-4</t>
  </si>
  <si>
    <t>MM-5</t>
  </si>
  <si>
    <t>MM-6</t>
  </si>
  <si>
    <t>MM-7</t>
  </si>
  <si>
    <t>MM-8</t>
  </si>
  <si>
    <t>MM-9</t>
  </si>
  <si>
    <t>MM-10</t>
  </si>
  <si>
    <t>MM-11</t>
  </si>
  <si>
    <t>Manufacturer</t>
  </si>
  <si>
    <t>Part Number</t>
  </si>
  <si>
    <t>&lt;Select Misc. Materials Description&gt;</t>
  </si>
  <si>
    <t>3M</t>
  </si>
  <si>
    <t>CT8BK50-C</t>
  </si>
  <si>
    <t>FAC-60</t>
  </si>
  <si>
    <t>MM-12</t>
  </si>
  <si>
    <t>MM-13</t>
  </si>
  <si>
    <t>MM-14</t>
  </si>
  <si>
    <t>MM-15</t>
  </si>
  <si>
    <t>MM-16</t>
  </si>
  <si>
    <t>MM-17</t>
  </si>
  <si>
    <t>MM-18</t>
  </si>
  <si>
    <t>MM-19</t>
  </si>
  <si>
    <t>MM-20</t>
  </si>
  <si>
    <t>MM-21</t>
  </si>
  <si>
    <t>MM-22</t>
  </si>
  <si>
    <t>MM-23</t>
  </si>
  <si>
    <t>MM-24</t>
  </si>
  <si>
    <t>MM-25</t>
  </si>
  <si>
    <t>MM-26</t>
  </si>
  <si>
    <t>MM-27</t>
  </si>
  <si>
    <t>MM-28</t>
  </si>
  <si>
    <t>MM-29</t>
  </si>
  <si>
    <t>MM-30</t>
  </si>
  <si>
    <t>MM-31</t>
  </si>
  <si>
    <t>MM-32</t>
  </si>
  <si>
    <t>MM-33</t>
  </si>
  <si>
    <t>MM-34</t>
  </si>
  <si>
    <t>MM-35</t>
  </si>
  <si>
    <t>MM-36</t>
  </si>
  <si>
    <t>MM-37</t>
  </si>
  <si>
    <t>MM-38</t>
  </si>
  <si>
    <t>MM-39</t>
  </si>
  <si>
    <t>MM-40</t>
  </si>
  <si>
    <t>MM-41</t>
  </si>
  <si>
    <t>MM-42</t>
  </si>
  <si>
    <t>MM-43</t>
  </si>
  <si>
    <t>MM-44</t>
  </si>
  <si>
    <t>MM-45</t>
  </si>
  <si>
    <t>MM-46</t>
  </si>
  <si>
    <t>MM-47</t>
  </si>
  <si>
    <t>MM-48</t>
  </si>
  <si>
    <t>MM-49</t>
  </si>
  <si>
    <t>MM-50</t>
  </si>
  <si>
    <t>1700-3/4X60FT</t>
  </si>
  <si>
    <t>1700-SLP</t>
  </si>
  <si>
    <t>8100-YS</t>
  </si>
  <si>
    <t>88T-1.5X44</t>
  </si>
  <si>
    <t>88T-1X36</t>
  </si>
  <si>
    <t>88T-FO / 98292997</t>
  </si>
  <si>
    <t>DT200</t>
  </si>
  <si>
    <t>MP+</t>
  </si>
  <si>
    <t>MPP+</t>
  </si>
  <si>
    <t>ACCU-TECH</t>
  </si>
  <si>
    <t>FOAS2FSMFCSC-3M</t>
  </si>
  <si>
    <t>ALLEN TEL</t>
  </si>
  <si>
    <t>AT1650-BU</t>
  </si>
  <si>
    <t>AT30D-12-15</t>
  </si>
  <si>
    <t>AT31-15</t>
  </si>
  <si>
    <t>AT45MB-15</t>
  </si>
  <si>
    <t>AT55WMP-1</t>
  </si>
  <si>
    <t>AT66-20</t>
  </si>
  <si>
    <t>AT70-2-15</t>
  </si>
  <si>
    <t>ATT55B-PNL-48</t>
  </si>
  <si>
    <t>GB324</t>
  </si>
  <si>
    <t>GBSC2-D1-05</t>
  </si>
  <si>
    <t>GBSC-6SM</t>
  </si>
  <si>
    <t>GBST2-D1-05</t>
  </si>
  <si>
    <t>GBST2-D1-30</t>
  </si>
  <si>
    <t>GBST2-D1-50</t>
  </si>
  <si>
    <t>2DCP2</t>
  </si>
  <si>
    <t>2DCP8</t>
  </si>
  <si>
    <t>PS1100-AS-4-EG</t>
  </si>
  <si>
    <t>3M, 8100-YS, HOT MELT JACKETED ST FIBER CONNECTOR</t>
  </si>
  <si>
    <t>3M, DT200, FIRE BARRIER PUTTY SLEEVE KIT, 2 in x 12 in</t>
  </si>
  <si>
    <t>3M, MP+, FIRE BARRIER MOLDABLE PUTTY STIX, 1.5 in x 11 in</t>
  </si>
  <si>
    <t>3M, MPP+, FIRE BARRIER MOLDABLE PUTTY PAD, 4 in x 8 in</t>
  </si>
  <si>
    <t>ACCU-TECH, FOAS2FSMFCSC-3M, FIBER JUMPER CABLE, DUPLEX, FC/SC, SM, 3 METER</t>
  </si>
  <si>
    <t>ALLEN TEL, AT1650-BU, CAT6 PATCH CABLE, 50FT, BLUE</t>
  </si>
  <si>
    <t>ALLEN TEL, AT30D-12-15, WALL PLATE, 12 PORT, WHITE</t>
  </si>
  <si>
    <t>ALLEN TEL, AT31-15, BLANK FACEPLATE MODULE</t>
  </si>
  <si>
    <t>ALLEN TEL, AT45MB-15, DOUBLE GANG SURFACE MOUNT BOX, WHITE</t>
  </si>
  <si>
    <t>ALLEN TEL, AT55WMP-1, WIRE MANAGEMENT PANEL, 19 in</t>
  </si>
  <si>
    <t>ALLEN TEL, AT66-20, CAT 6 HIGH DENSITY JACK MODULE, BLUE</t>
  </si>
  <si>
    <t>ALLEN TEL, AT70-2-15, WALL PLATE, 2 PORT, WHITE</t>
  </si>
  <si>
    <t>ALLEN TEL, ATT55B-PNL-48, COPPER PATCH PANEL, CAT 5e, 48 PORT</t>
  </si>
  <si>
    <t>ALLEN TEL, GB324, FIBER OPTIC CABINET, 1U RACK MOUNT</t>
  </si>
  <si>
    <t>ALLEN TEL, GBSC2-D1-05, FIBER JUMPER CABLE, DUPLEX, SC/SC, SM, 5 METER</t>
  </si>
  <si>
    <t>ALLEN TEL, GBSC-6SM, FIBER MOUNTING ADAPTER PANEL, 6 SC PORTS</t>
  </si>
  <si>
    <t>ALLEN TEL, GBST2-D1-05, FIBER JUMPER CABLE, DUPLEX, ST/ST, SM, 5 METER</t>
  </si>
  <si>
    <t>ALLEN TEL, GBST2-D1-30, FIBER JUMPER CABLE, DUPLEX, ST/ST, SM, 30 METER</t>
  </si>
  <si>
    <t>ALLEN TEL, GBST2-D1-50, FIBER JUMPER CABLE, DUPLEX, ST/ST, SM, 50 METER</t>
  </si>
  <si>
    <t>Corrected section heading for Facilities Pre-Priced tasks.
Added new section for pre-priced Miscellaneous Materials used with  ISP/OSP/Facilities tasks.</t>
  </si>
  <si>
    <t>3M, 2183, E-Z WRAP, 3.0 MIL, 4 in x 100 FT</t>
  </si>
  <si>
    <t>3M, 1700-3/4X60FT, BLACK ELECTRICAL TAPE, 3/4 in x 60 FT</t>
  </si>
  <si>
    <t>3M, 1700-SLP, BLACK ELECTRICAL TAPE, 3/4 in x 60 FT</t>
  </si>
  <si>
    <t>3M, 88T-1.5X44, TELEPHONE VINYL PLASTIC TAPE, 1 in x 44 FT</t>
  </si>
  <si>
    <t>3M, 88T-1X36, TELEPHONE VINYL PLASTIC TAPE, 1 in x 36 FT</t>
  </si>
  <si>
    <t>3M, 88T-FO / 98292997, TELEPHONE VINYL PLASTIC TAPE, 1 in x 36 FT</t>
  </si>
  <si>
    <t>3M, CT8BK50-C, BLACK/NYLON, CABLE TIE, 0.18 in x 7.60 in, PACK OF 100</t>
  </si>
  <si>
    <t>AM POLYWATER</t>
  </si>
  <si>
    <t>F-128</t>
  </si>
  <si>
    <t xml:space="preserve">AM POLYWATER, F-128, FIBER OPTIC CABLE PULLING LUBRICANT, GALLON                                                                </t>
  </si>
  <si>
    <t>F-640</t>
  </si>
  <si>
    <t>AM POLYWATER, F-640, FIBER OPTIC CABLE PULLING LUBRICANT, 5 GALLON</t>
  </si>
  <si>
    <t>APPLETON</t>
  </si>
  <si>
    <t>APPLETON, 8465, Square Box Fixture Cover, No Raise, 4 in</t>
  </si>
  <si>
    <t>ARLINGTON</t>
  </si>
  <si>
    <t>ARLINGTON, 448, PLASTIC SCREW BUSHING, 3.5 in</t>
  </si>
  <si>
    <t>EMT200</t>
  </si>
  <si>
    <t>ARLINGTON, EMT200, KNOCK ON INSULATING BUSHING, 2 in</t>
  </si>
  <si>
    <t>EMT350</t>
  </si>
  <si>
    <t>ARLINGTON, EMT350, KNOCK ON INSULATING BUSHING, 3.5 in</t>
  </si>
  <si>
    <t>L422</t>
  </si>
  <si>
    <t>ARLINGTON, L422, SQUEEZE CONNECTOR, 3/4 in</t>
  </si>
  <si>
    <t>LT75</t>
  </si>
  <si>
    <t>ARLINGTON, LT75, STRAIGHT LIQUID TIGHT CONNECTOR, 3/4 in</t>
  </si>
  <si>
    <t>MBC27</t>
  </si>
  <si>
    <t>ARLINGTON, MBC27, BEAM CLAMP, IRON, 2 in</t>
  </si>
  <si>
    <t>NMLT75</t>
  </si>
  <si>
    <t>ARLINGTON, NMLT75, STRAIGHT LIQUID TIGHT NON-METALLIC CONNECTOR, 3/4 in</t>
  </si>
  <si>
    <t>BERK-TEK</t>
  </si>
  <si>
    <t>S-PN6-DN-YL-BER-CUT REEL</t>
  </si>
  <si>
    <t>BERK-TEK, S-PN6-DN-YL-BER-CUT REEL, PLENUM INDOOR FIBER CABLE, SM, 6 STRAND, PER FT</t>
  </si>
  <si>
    <t>BLACK BOX</t>
  </si>
  <si>
    <t>FT8120A</t>
  </si>
  <si>
    <t>BLACK BOX, FT8120A, CABLE TIES, 7.5 in, 100-PACK</t>
  </si>
  <si>
    <t>B-LINE</t>
  </si>
  <si>
    <t>B-LINE, 25194566, WIRE TRAY SPLICE KIT, 50 PER BOX</t>
  </si>
  <si>
    <t>3/8-16ZN120</t>
  </si>
  <si>
    <t>B-LINE, 3/8-16ZN120, ALL THREADED ROD, ZINC-PLATED, 3/8 in x 10 FT</t>
  </si>
  <si>
    <t>B22SGALV10</t>
  </si>
  <si>
    <t>B-LINE, B22SGALV10, UNISTRUT, GALVANIZED, SLOTTED, 1 5/8 in DEEP x 10 FT</t>
  </si>
  <si>
    <t>BCH21-W2</t>
  </si>
  <si>
    <t>BCH32-W2</t>
  </si>
  <si>
    <t>FT4X20X10</t>
  </si>
  <si>
    <t>B-LINE, FT4X20X10, GALVANIZED FLEXTRAY, STRAIGHT SECTION, 4 in x 20 in x 10 FT</t>
  </si>
  <si>
    <t>BMP53</t>
  </si>
  <si>
    <t>BRIDGEPORT</t>
  </si>
  <si>
    <t>BRIDGEPORT, 322, PLASTIC BUSHING, 3/4 in</t>
  </si>
  <si>
    <t>BRIDGEPORT, 323, PLASTIC BUSHING, 1 in</t>
  </si>
  <si>
    <t>BRIDGEPORT, 326, PLASTIC BUSHING, 2 in</t>
  </si>
  <si>
    <t>BRIDGEPORT, 2110, EMT CONDUIT HANGER w/ BOLT, 3/4 in</t>
  </si>
  <si>
    <t>BRIDGEPORT, 2150, EMT CONDUIT HANGER w/ BOLT, 2 in</t>
  </si>
  <si>
    <t>BRIDGEPORT, 2190, EMT CONDUIT HANGER w/ BOLT, 4 in</t>
  </si>
  <si>
    <t>241-DC</t>
  </si>
  <si>
    <t>BRIDGEPORT, 241-DC, EMT SET SCREW COUPLING, 3/4 in</t>
  </si>
  <si>
    <t>249-DC</t>
  </si>
  <si>
    <t>BRIDGEPORT, 249-DC, EMT SET SCREW COUPLING, 4 in</t>
  </si>
  <si>
    <t>261-DC</t>
  </si>
  <si>
    <t>BRIDGEPORT, 261-DC, EMT COMPRESSION COUPLING, 3/4 in</t>
  </si>
  <si>
    <t>262-DC</t>
  </si>
  <si>
    <t>BRIDGEPORT, 262-DC, EMT COMPRESSION COUPLING, 1 in</t>
  </si>
  <si>
    <t>921-S</t>
  </si>
  <si>
    <t>BRIDGEPORT, 921-S, EMT ONE HOLE STRAP, 3/4 in</t>
  </si>
  <si>
    <t>922-S</t>
  </si>
  <si>
    <t>BRIDGEPORT, 922-S, EMT ONE HOLE STRAP, 1 in</t>
  </si>
  <si>
    <t>BROTHER</t>
  </si>
  <si>
    <t>TZE221</t>
  </si>
  <si>
    <t>BROTHER, TZE221, BLACK ON WHITE TAPE FOR P-TOUCH, 3/8 in</t>
  </si>
  <si>
    <t>Tze-2312PK</t>
  </si>
  <si>
    <t>BURNDY</t>
  </si>
  <si>
    <t>THHN6STRGRN</t>
  </si>
  <si>
    <t>BURNDY, THHN6STRGRN, THHN STRANDED #6 GROUND WIRE, PER FT</t>
  </si>
  <si>
    <t>YA8C-L1-BOX</t>
  </si>
  <si>
    <t>BURNDY, YA8C-L1-BOX, COMPRESSION LUG, #8, ONE HOLE</t>
  </si>
  <si>
    <t>YGA6C2N</t>
  </si>
  <si>
    <t>BURNDY, YGA6C2N, COMPRESSION LUG, #6, TWO HOLE</t>
  </si>
  <si>
    <t>YGHC26C26</t>
  </si>
  <si>
    <t>BURNDY, YGHC26C26, COMPRESSION GROUND TAP CONNECTOR, COPPER</t>
  </si>
  <si>
    <t>C2G</t>
  </si>
  <si>
    <t>C2G, 10279, CAT5e SNAGLESS PATCH CABLE, BLUE, 1 FT</t>
  </si>
  <si>
    <t>C2G, 27350, CAT5e SOLID PVC BULK CABLE, BLUE, PER FT</t>
  </si>
  <si>
    <t>CANOGA PERKINS</t>
  </si>
  <si>
    <t>CANOGA PERKINS, 1020, STANDALONE ENCLOSURE FOR EDGEACCESS UCS MODULES</t>
  </si>
  <si>
    <t>CANOGA PERKINS, 2346, T-3 DS-3 FIBER OPTIC MODEM</t>
  </si>
  <si>
    <t>CARLON</t>
  </si>
  <si>
    <t>15007-100</t>
  </si>
  <si>
    <t>CARLON, 15007-100, LIQUIDTIGHT NON-METALLIC FLEXIBLE CONDUIT, 3/4 in, PER FT</t>
  </si>
  <si>
    <t>CF4X1C-CUT REEL</t>
  </si>
  <si>
    <t>CARLON, CF4X1C-CUT REEL, CORRUGATED NON-METALLIC FLEXIBLE CONDUIT CABLE WITH TAPE, 1 in, PER FT</t>
  </si>
  <si>
    <t>F1-11437</t>
  </si>
  <si>
    <t>CARLON, F1-11437, SINGLE WALL PLENUM RATED CORRUGATED FIBER INNERDUCT WITH PULL ROPE, 1 in, PER FT</t>
  </si>
  <si>
    <t>CHATSWORTH</t>
  </si>
  <si>
    <t>13622-010</t>
  </si>
  <si>
    <t>CHATSWORTH, 13622-010, WALL MOUNTED COPPER GROUND BUSBAR</t>
  </si>
  <si>
    <t>CONDUIT</t>
  </si>
  <si>
    <t>2-EMT</t>
  </si>
  <si>
    <t>CONDUIT, 2-EMT, EMT CONDUIT, 2 in, 10 FT</t>
  </si>
  <si>
    <t>3/4-EMT</t>
  </si>
  <si>
    <t>CONDUIT, 3/4-EMT, EMT CONDUIT, 3/4 in, 10 FT</t>
  </si>
  <si>
    <t>3-1/2-EMT</t>
  </si>
  <si>
    <t>CONDUIT, 3-1/2-EMT, EMT CONDUIT, 3.5 in, 10 FT</t>
  </si>
  <si>
    <t>4-EMT</t>
  </si>
  <si>
    <t>CONDUIT, 4-EMT, EMT CONDUIT, 4 in, 10 FT</t>
  </si>
  <si>
    <t>EMT34</t>
  </si>
  <si>
    <t>CONDUIT, EMT34, EMT CONDUIT, 3/4 in, 10 FT</t>
  </si>
  <si>
    <t>CONDUMEX</t>
  </si>
  <si>
    <t>5K-1401-5</t>
  </si>
  <si>
    <t>CONDUMEX, 5K-1401-5, TRACER WIRE PER FT</t>
  </si>
  <si>
    <t>COOPER</t>
  </si>
  <si>
    <t>TWRBR20W-SPL</t>
  </si>
  <si>
    <t>COOPER, TWRBR20W-SPL, 20AMP DUAL ELECTRICAL OUTLET</t>
  </si>
  <si>
    <t>COPPER BLDG WIRE</t>
  </si>
  <si>
    <t>COPPER BLDG WIRE, 39200, 12-AWG STRANDED WHITE COPPER THHN WIRE, PER FT</t>
  </si>
  <si>
    <t>COPPER BLDG WIRE, 43608, 12-AWG STRANDED GREEN COPPER THHN WIRE, PER FT</t>
  </si>
  <si>
    <t>COPPER BLDG WIRE, 293655, 12-AWG STRANDED BLACK COPPER THHN WIRE, PER FT</t>
  </si>
  <si>
    <t>CORNING</t>
  </si>
  <si>
    <t>012E81-33131-24</t>
  </si>
  <si>
    <t>CORNING, 012E81-33131-24, 12 STRAND SM RISER MIC FIBER CABLE, PER FT</t>
  </si>
  <si>
    <t>012E88-33131-29</t>
  </si>
  <si>
    <t>CORNING, 012E88-33131-29, 12 STRAND SM PLENUM MIC FIBER CABLE, PER FT</t>
  </si>
  <si>
    <t>012E8F-31131-29</t>
  </si>
  <si>
    <t>CORNING, 012E8F-31131-29, 12 STRAND SM FREEDM TIGHT-BUFFERED RISER FIBER CABLE, PER FT</t>
  </si>
  <si>
    <t>012ESF-T4101D20</t>
  </si>
  <si>
    <t>CORNING, 012ESF-T4101D20, 12 STRAND SM FREEDM LST GEL-FREE RISER FIBER CABLE, PER FT</t>
  </si>
  <si>
    <t>012EU4-T4701D20</t>
  </si>
  <si>
    <t>CORNING, 012EU4-T4701D20, 12 STRAND SM ALTOS LST GEL-FREE ALL-DIELECTRIC  FIBER CABLE, PER FT</t>
  </si>
  <si>
    <t>012K88-33130-29</t>
  </si>
  <si>
    <t>CORNING, 012K88-33130-29, 12 STRAND MM MIC TIGHT-BUFFERED PLENUM 62.5 MICRON FIBER CABLE, PER FT</t>
  </si>
  <si>
    <t>1101045-01</t>
  </si>
  <si>
    <t xml:space="preserve">CORNING, 1101045-01, ANAEROBIC ADHESIVE KIT                                                                         </t>
  </si>
  <si>
    <t>2806031-01</t>
  </si>
  <si>
    <t xml:space="preserve">CORNING, 2806031-01, HEAT-SHRINK FUSION SPLICE PROTECTORS, 50 PACK </t>
  </si>
  <si>
    <t>31-SC-01295</t>
  </si>
  <si>
    <t>CORNING, 31-SC-01295, UNICAM SM CONNECTOR, SC</t>
  </si>
  <si>
    <t>3615001-01</t>
  </si>
  <si>
    <t>CORNING, 3615001-01, LINT-FREE WIPES, 280 PACK</t>
  </si>
  <si>
    <t>585801R3131001m</t>
  </si>
  <si>
    <t>CORNING, 585801R3131001m, FIBER JUMPER CABLE, SM, SC-SC, 1 METER</t>
  </si>
  <si>
    <t>95-101-41-SP</t>
  </si>
  <si>
    <t xml:space="preserve">CORNING, 95-101-41-SP, SC MULTIMODE FIBER CONNECTOR                                                                          </t>
  </si>
  <si>
    <t>95-101-52-SP</t>
  </si>
  <si>
    <t xml:space="preserve">CORNING, 95-101-52-SP, ST MULTIMODE FIBER CONNECTOR                                                                                            </t>
  </si>
  <si>
    <t>95-200-41</t>
  </si>
  <si>
    <t>CORNING, 95-200-41, UNICAM SM CONNECTOR, SC</t>
  </si>
  <si>
    <t>95-201-41-SP</t>
  </si>
  <si>
    <t>CCH-01U</t>
  </si>
  <si>
    <t xml:space="preserve">CORNING, CCH-01U, CLOSET CONNECTOR HOUSING, 1U, RACK MOUNT  </t>
  </si>
  <si>
    <t>CCH-02U</t>
  </si>
  <si>
    <t xml:space="preserve">CORNING, CCH-02U, CLOSET CONNECTOR HOUSING, 2U, RACK MOUNT  </t>
  </si>
  <si>
    <t>CCH-04U</t>
  </si>
  <si>
    <t xml:space="preserve">CORNING, CCH-04U, CLOSET CONNECTOR HOUSING, 4U, RACK MOUNT  </t>
  </si>
  <si>
    <t>CCH-CP06-59</t>
  </si>
  <si>
    <t>CORNING, CCH-CP06-59, CCH SM FIBER CONNECTOR PANEL, SC, 6 PORT</t>
  </si>
  <si>
    <t>CCH-CP12-19T</t>
  </si>
  <si>
    <t>CORNING, CCH-CP12-19T, CCH SM FIBER CONNECTOR PANEL, ST, 12 PORT</t>
  </si>
  <si>
    <t>CCH-CP12-59</t>
  </si>
  <si>
    <t>CORNING, CCH-CP12-59, CCH SM FIBER CONNECTOR PANEL, SC, 12 PORT</t>
  </si>
  <si>
    <t>CCH-CP12-6C</t>
  </si>
  <si>
    <t>CORNING, CCH-CP12-6C, CCH SM FIBER CONNECTOR PANEL, SC, SIMPLEX 12 PORT</t>
  </si>
  <si>
    <t>CCH-CP12-91</t>
  </si>
  <si>
    <t>CORNING, CCH-CP12-91, CCH MM FIBER CONNECTOR PANEL, SC, 12 PORT</t>
  </si>
  <si>
    <t>FAN-BT25-12</t>
  </si>
  <si>
    <t>CORNING, FAN-BT25-12, BUFFER TUBE FAN-OUT KIT, INDOOR, 12 FIBER</t>
  </si>
  <si>
    <t>FAN-OD25-12</t>
  </si>
  <si>
    <t>CORNING, FAN-OD25-12, BUFFER TUBE FAN-OUT KIT, OUTDOOR, 12 FIBER</t>
  </si>
  <si>
    <t>S-PN-12-DN-YL-SIC</t>
  </si>
  <si>
    <t>CORNING, S-PN-12-DN-YL-SIC, 12 STRAND SM TIGHT-BUFFERED PLENUM FIBER CABLE, PER FT</t>
  </si>
  <si>
    <t>S-PN-6-DN-YL-SIC</t>
  </si>
  <si>
    <t>CORNING, S-PN-6-DN-YL-SIC, 6 STRAND SM TIGHT-BUFFERED PLENUM FIBER CABLE, PER FT</t>
  </si>
  <si>
    <t>S-PO-12-DN-A-BK-SIC</t>
  </si>
  <si>
    <t>CORNING, S-PO-12-DN-A-BK-SIC, 12 STRAND SM FREEDM TIGHT-BUFFERED PLENUM FIBER CABLE, PER FT</t>
  </si>
  <si>
    <t>S-RO-12-CL-A-BK-SIC-CUT REEL</t>
  </si>
  <si>
    <t>CORNING, S-RO-12-CL-A-BK-SIC-CUT REEL, 12 STRAND SM FREEDM TIGHT-BUFFERED RISER FIBER CABLE, PER FT</t>
  </si>
  <si>
    <t>WCH-02P</t>
  </si>
  <si>
    <t>CORNING, WCH-02P, WALL-MOUNT CONNECTOR HOUSING, HOLDS 2 CCH PANELS</t>
  </si>
  <si>
    <t>CROUSE-HINDS</t>
  </si>
  <si>
    <t>CROUSE-HINDS, 16, EMT LOCKNUT, 2 in</t>
  </si>
  <si>
    <t>CROUSE-HINDS, 20, EMT LOCKNUT, 4 in</t>
  </si>
  <si>
    <t>CROUSE-HINDS, 457, EMT SET SCREW CONNECTOR, 3 in</t>
  </si>
  <si>
    <t>458</t>
  </si>
  <si>
    <t>CROUSE-HINDS, 458, EMT SET SCREW CONNECTOR, 3.5 in</t>
  </si>
  <si>
    <t>CROUSE-HINDS, 652, EMT COMPRESSION CONNECTOR, 1 in</t>
  </si>
  <si>
    <t>CROUSE-HINDS, 655, EMT COMPRESSION CONNECTOR, 2 in</t>
  </si>
  <si>
    <t>CROUSE-HINDS, 659, EMT COMPRESSION CONNECTOR, 4 in</t>
  </si>
  <si>
    <t>CROUSE-HINDS, 936, PLASTIC INSULATING BUSHING, 2 in</t>
  </si>
  <si>
    <t>CROUSE-HINDS, 938, PLASTIC INSULATING BUSHING, 3 in</t>
  </si>
  <si>
    <t>CROUSE-HINDS, 1129, PLASTIC INSULATING BUSHING, 4 in</t>
  </si>
  <si>
    <t>1B</t>
  </si>
  <si>
    <t>CROUSE-HINDS, 1B, EMT HANGER BRACKET, 3/4 in</t>
  </si>
  <si>
    <t>2B</t>
  </si>
  <si>
    <t>CROUSE-HINDS, 2B, EMT HANGER BRACKET, 1 in</t>
  </si>
  <si>
    <t>496-7</t>
  </si>
  <si>
    <t>CROUSE-HINDS, 496-7, EMT 2 HOLE CONDUIT CLAMP, 1.5 in, 50 PER BOX</t>
  </si>
  <si>
    <t>651S</t>
  </si>
  <si>
    <t>CROUSE-HINDS, 651S, EMT COMPRESSION CONNECTOR, 3/4 in</t>
  </si>
  <si>
    <t>LT50</t>
  </si>
  <si>
    <t>CROUSE-HINDS, LT50, EMT LIQUIDTIGHT CONNECTOR, 1/2 in</t>
  </si>
  <si>
    <t>LT7590</t>
  </si>
  <si>
    <t>CROUSE-HINDS, LT7590, EMT LIQUIDTIGHT CONNECTOR, 3/4 in</t>
  </si>
  <si>
    <t>TP432</t>
  </si>
  <si>
    <t>CROUSE-HINDS, TP432, ELECTRICAL OUTLET BOX, GALV, 4 in SQUARE, 2 1/8 in DEEP</t>
  </si>
  <si>
    <t>DURAVENT</t>
  </si>
  <si>
    <t>DURAVENT, 1692, STOVE PIPE, 2 in</t>
  </si>
  <si>
    <t>EATON</t>
  </si>
  <si>
    <t>BCH32-U-2-4</t>
  </si>
  <si>
    <t>EATON, BCH32-U-2-4, J-HOOK, HAMMER-ON, 2 in</t>
  </si>
  <si>
    <t>BR120</t>
  </si>
  <si>
    <t>BR612L125SDP</t>
  </si>
  <si>
    <t>EMT</t>
  </si>
  <si>
    <t>1-EMT</t>
  </si>
  <si>
    <t>EMT, 1-EMT, EMT CONDUIT, 1 in, 10 FT</t>
  </si>
  <si>
    <t>EMT, 2-EMT, EMT CONDUIT, 2 in, 10 FT</t>
  </si>
  <si>
    <t>3/4EMT</t>
  </si>
  <si>
    <t>EMT, 3/4EMT, EMT CONDUIT, 3/4 in, 10 FT</t>
  </si>
  <si>
    <t>5XC16</t>
  </si>
  <si>
    <t>EMT, 5XC16, SET SCREW COUPLER, 3/4 in</t>
  </si>
  <si>
    <t>ENDOT</t>
  </si>
  <si>
    <t>0500PL</t>
  </si>
  <si>
    <t>ENDOT, 0500PL, PLENUM INNERDUCT, 1 in, PER FT.</t>
  </si>
  <si>
    <t>ERICO</t>
  </si>
  <si>
    <t>BC</t>
  </si>
  <si>
    <t>ERICO, BC, BEAM CLAMP</t>
  </si>
  <si>
    <t>Caddy CAT32</t>
  </si>
  <si>
    <t>ERICO, Caddy CAT32, J-HOOKS, 2 in</t>
  </si>
  <si>
    <t>CAT32HP</t>
  </si>
  <si>
    <t>ERICO, CAT32HP, HP J-HOOKS, 2 in</t>
  </si>
  <si>
    <t>K12</t>
  </si>
  <si>
    <t>ERICO, K12, CONDUIT HANGER, 3/4 in</t>
  </si>
  <si>
    <t>MPLS</t>
  </si>
  <si>
    <t xml:space="preserve">ERICO, MPLS, SINGLE GANG MOUNTING PLATE BRACKET                   </t>
  </si>
  <si>
    <t>FASTENAL</t>
  </si>
  <si>
    <t>FASTENAL, 31059, SELF TAPPING PAN HEAD SCREW, #10 - 16</t>
  </si>
  <si>
    <t>FASTENAL, 1171832, SLOTTED ROUND HEAD MACHINE SCREW, 18-8 STAINLESS STEEL, 1/4-20 x 1-1/2 in</t>
  </si>
  <si>
    <t>FASTENAL, 3116823, FENDER WASHER, 3/8 in</t>
  </si>
  <si>
    <t xml:space="preserve">FASTENAL, 11544410, ZINC ELECTROPLATE SPRING STEEL CAGE NUT, 1/4-20 </t>
  </si>
  <si>
    <t>AM/C1080</t>
  </si>
  <si>
    <t>GAMPAK</t>
  </si>
  <si>
    <t>GAMPAK, 45501, BX-MC-FLEX CONNECTOR, 3/8 in, PACK OF 10</t>
  </si>
  <si>
    <t>GAMPAK, 47921, EMT ONE HOLE STRAP, 3/4 in, PACK OF 4</t>
  </si>
  <si>
    <t>GAMPAK, 49326, EMT SCREW-ON BUSHING, 2 in</t>
  </si>
  <si>
    <t>GE</t>
  </si>
  <si>
    <t>THQP1120</t>
  </si>
  <si>
    <t>GE, THQP1120, 20 AMP CIRCUIT BREAKER, 1 POLE, BOLT-ON, 120/240V</t>
  </si>
  <si>
    <t>GEIST</t>
  </si>
  <si>
    <t>2XPR200-103D20TL5</t>
  </si>
  <si>
    <t>GEIST, 2XPR200-103D20TL5, RACK MOUNT PDU, 20 x NEMA 5-15/20R OUTLETS, 10 FOOT L5-30P TWIST LOCK POWER CORD</t>
  </si>
  <si>
    <t>GENERAL CABLE</t>
  </si>
  <si>
    <t>6504-6W</t>
  </si>
  <si>
    <t>GENERAL CABLE, 6504-6W, CAT5e CABLE, PER FT</t>
  </si>
  <si>
    <t>CG0061PNU-ILPA</t>
  </si>
  <si>
    <t>GENERAL CABLE, CG0061PNU-ILPA, 12 STRAND SM TIGHT-BUFFERED ARMORED PLENUM FIBER CABLE, PER FT</t>
  </si>
  <si>
    <t>P012PNU-GCC</t>
  </si>
  <si>
    <t>GENERAL CABLE, P012PNU-GCC, 12 STRAND SM FIBER, PER FT</t>
  </si>
  <si>
    <t>THHN-6-STR-GRN-CUT REEL</t>
  </si>
  <si>
    <t>GENERAL CABLE, THHN-6-STR-GRN-CUT REEL, THHN STRANDED #6 WIRE, GREEN, PER FT</t>
  </si>
  <si>
    <t xml:space="preserve">GRAINGER </t>
  </si>
  <si>
    <t>11K316</t>
  </si>
  <si>
    <t>GRAINGER , 11K316, TOOGLE BOLT, 3/8 in</t>
  </si>
  <si>
    <t>GREENLEE</t>
  </si>
  <si>
    <t>430G</t>
  </si>
  <si>
    <t>GREENLEE, 430G, JET LINE 6500 FT</t>
  </si>
  <si>
    <t>WGM30003</t>
  </si>
  <si>
    <t>HALEX</t>
  </si>
  <si>
    <t>HALEX, 26272, EMT SET SCREW CONNECTOR, 3/4 in</t>
  </si>
  <si>
    <t>HALEX, 26282, EMT SET SCREW COUPLING, 3/4 in</t>
  </si>
  <si>
    <t>HEILMAN TYCO</t>
  </si>
  <si>
    <t>S-5275</t>
  </si>
  <si>
    <t>HEILMAN TYCO, S-5275, NYLON CABLE TIES, 11 in, BOX OF 500</t>
  </si>
  <si>
    <t>HELLERMANTYTON</t>
  </si>
  <si>
    <t>GT75X1800</t>
  </si>
  <si>
    <t>HELLERMANTYTON, GT75X1800, BLACK VELCRO ROLL, 3/4 in x 15 FT</t>
  </si>
  <si>
    <t>HILLMAN GROUP</t>
  </si>
  <si>
    <t>HILLMAN GROUP, 829304, HEX NUT, STAINLESS STEEL, 3/8 in-16</t>
  </si>
  <si>
    <t>HILLMAN GROUP, 830626, FENDER WASHER, STAINLESS STEEL, 3/8 x 1.5 in</t>
  </si>
  <si>
    <t>HILLMAN GROUP, 8110566, LOCK WASHER, STAINLESS STEEL, 3/8 in</t>
  </si>
  <si>
    <t>HOFFMAN</t>
  </si>
  <si>
    <t>A18R186</t>
  </si>
  <si>
    <t>HOFFMAN, A18R186, NEMA 3R ENCLOSURE WITH SCREW COVER</t>
  </si>
  <si>
    <t>AS1032</t>
  </si>
  <si>
    <t>HOFFMAN, AS1032, SCREWS, STEEL, SILVER, 10-32 x 5/8 in, PACK OF 20</t>
  </si>
  <si>
    <t>ASE12X12X6NK</t>
  </si>
  <si>
    <t>HOFFMAN, ASE12X12X6NK, NEMA 1 JUCTION BOX WITH SCREW COVER, 12x12x6  in</t>
  </si>
  <si>
    <t>P1032CN</t>
  </si>
  <si>
    <t>HOFFMAN, P1032CN, CAGE NUTS, STEEL, SILVER, 10-32 in, PACK OF 20</t>
  </si>
  <si>
    <t>HOME DEPOT</t>
  </si>
  <si>
    <t>HOME DEPOT, 309961, PLYWOOD BACK BOARD, FIRE-RATED, PRESSURE-TREATED, 4 X 8 FT</t>
  </si>
  <si>
    <t>FRPLY4X4</t>
  </si>
  <si>
    <t>HOME DEPOT, FRPLY4X4, PLYWOOD BACK BOARD, FIRE-RATED, 4 X 4 FT</t>
  </si>
  <si>
    <t>N/A</t>
  </si>
  <si>
    <t>HOME DEPOT, N/A, PLYWOOD BACK BOARD, 4 X 4 FT</t>
  </si>
  <si>
    <t>HUBBELL</t>
  </si>
  <si>
    <t>HUBBELL, 232, ELECTRICAL BOX, 4 x 4 x 2-1/8 in</t>
  </si>
  <si>
    <t>HUBBELL, 674, HANDY BOX, STEEL, 2-1/8 in</t>
  </si>
  <si>
    <t>HUBBELL, 752, SQUARE BOX COVER, BLANK, 4 in</t>
  </si>
  <si>
    <t>HUBBELL, 2193, ARMORED CABLE/FLEX METAL CONDUIT SQUEEZE CONNECTOR, 3/4 in</t>
  </si>
  <si>
    <t>5351AW</t>
  </si>
  <si>
    <t>HUBBELL, 5351AW, 20 AMP WHITE NYLON ELECTRICAL RECEPTACLE</t>
  </si>
  <si>
    <t>5362W</t>
  </si>
  <si>
    <t>HUBBELL, 5362W, 20 AMP WHITE DUPLEX ELECTRICAL RECEPTACLE</t>
  </si>
  <si>
    <t>CR20WHI</t>
  </si>
  <si>
    <t>HUBBELL, CR20WHI, 20 AMP WHITE COMMERCIAL DUPLEX ELECTRICAL RECEPTACLE</t>
  </si>
  <si>
    <t>GF20WLA</t>
  </si>
  <si>
    <t>HUBBELL, GF20WLA, 20 AMP LED GFCI DUPLEX ELECTRICAL RECEPTACLE</t>
  </si>
  <si>
    <t>HN14</t>
  </si>
  <si>
    <t xml:space="preserve">HUBBELL, HN14, #20 BOLTS, 1/4 x 20 x 1/4 in, PACK OF 20 </t>
  </si>
  <si>
    <t>LW14</t>
  </si>
  <si>
    <t>HUBBELL, LW14, LOCK WASHERS, 1/4 in</t>
  </si>
  <si>
    <t>RACO-973</t>
  </si>
  <si>
    <t>HUBBELL, RACO-973, GROUNDING SCREW, 10-32 x 3/8 in</t>
  </si>
  <si>
    <t>SS723</t>
  </si>
  <si>
    <t>HUBBELL, SS723, SINGLE RECEPTACLE FACEPLATE, STAINLESS STEEL</t>
  </si>
  <si>
    <t>SS8-5C228</t>
  </si>
  <si>
    <t>HUBBELL, SS8-5C228, DUAL RECEPTACLE FACEPLATE, STAINLESS STEEL</t>
  </si>
  <si>
    <t>WGB217940</t>
  </si>
  <si>
    <t>HUBBELL, WGB217940, SET SCREW CONNECTOR, 2 in</t>
  </si>
  <si>
    <t>IDEAL</t>
  </si>
  <si>
    <t>IDEAL, 30451, WINGNUT, YELLOW, BOX OF 100</t>
  </si>
  <si>
    <t>IDEAL, 30452, WINGNUT, RED, BOX OF 100</t>
  </si>
  <si>
    <t>85-366</t>
  </si>
  <si>
    <t>IDEAL, 85-366, CAT6 RJ45 MALE MODULAR PLUGS</t>
  </si>
  <si>
    <t>ILSCO</t>
  </si>
  <si>
    <t>GBL-4</t>
  </si>
  <si>
    <t>ILSCO, GBL-4, #8 LUGS</t>
  </si>
  <si>
    <t>LEVITON</t>
  </si>
  <si>
    <t>LEVITON, 84016, DUAL RECEPTACLE FACEPLATE, DUAL GANG, STAINLESS STEEL</t>
  </si>
  <si>
    <t>LEVITON, 88003, DUAL RECEPTACLE FACEPLATE, WHITE</t>
  </si>
  <si>
    <t>49253-BCM</t>
  </si>
  <si>
    <t>LEVITON, 49253-BCM, WIRE MANAGER, 2U</t>
  </si>
  <si>
    <t>49990-SSC</t>
  </si>
  <si>
    <t>LEVITON, 49990-SSC, FASTCAM SC SINGLEMODE FIBER CONNECTOR</t>
  </si>
  <si>
    <t>49991-SSC</t>
  </si>
  <si>
    <t>LEVITON, 49991-SSC, FASTCAM SC SINGLEMODE FIBER PRE-POLISHED CONNECTOR</t>
  </si>
  <si>
    <t>5362-GY</t>
  </si>
  <si>
    <t>LEVITON, 5362-GY, 20 AMP ISOLATED GROUND DUPLEX RECEPTACLE, GRAY</t>
  </si>
  <si>
    <t>5F100-2LC</t>
  </si>
  <si>
    <t>LEVITON, 5F100-2LC, FIBER ADAPTER PLATE, SM, SC, 12 STRAND</t>
  </si>
  <si>
    <t>5F100-6LC</t>
  </si>
  <si>
    <t>LEVITON, 5F100-6LC, FIBER ADAPTER PLATE, SM, SC, 6 STRAND</t>
  </si>
  <si>
    <t>5R1UL-F03</t>
  </si>
  <si>
    <t>LEVITON, 5R1UL-F03, FIBER ENCLOSURE, 1 RU, RACK MOUNT</t>
  </si>
  <si>
    <t>5W110-N</t>
  </si>
  <si>
    <t>LEVITON, 5W110-N, FIBER ENCLOSURE, WALL MOUNT, HOLDS 2 ADAPTER PLATES</t>
  </si>
  <si>
    <t>69586-U48</t>
  </si>
  <si>
    <t>LEVITON, 69586-U48, COPPER PATCH PANEL, CAT6, 48 PORT</t>
  </si>
  <si>
    <t>80703-W</t>
  </si>
  <si>
    <t>LEVITON, 80703-W, DUAL RECEPTACLE FACEPLATE, NYLON, WHITE</t>
  </si>
  <si>
    <t>84003-40</t>
  </si>
  <si>
    <t>LEVITON, 84003-40, DUAL RECEPTACLE FACEPLATE, STAINLESS STEEL</t>
  </si>
  <si>
    <t>CR020-A</t>
  </si>
  <si>
    <t>LEVITON, CR020-A, 20 AMP ELECTRICAL RECEPTICAL, STRAIGHT-BLADE</t>
  </si>
  <si>
    <t>CR020-I</t>
  </si>
  <si>
    <t>LEVITON, CR020-I, 20 AMP ELECTRICAL RECEPTICAL, STRAIGHT-BLADE, IVORY</t>
  </si>
  <si>
    <t>CR20-W</t>
  </si>
  <si>
    <t>LEVITON, CR20-W, 21 AMP ELECTRICAL RECEPTICAL, STRAIGHT-BLADE, WHITE</t>
  </si>
  <si>
    <t>SP5EU48</t>
  </si>
  <si>
    <t>LEVITON, SP5EU48, COPPER PATCH PANEL, CAT5e, 48 PORT</t>
  </si>
  <si>
    <t>LH DOTTIE</t>
  </si>
  <si>
    <t>LH DOTTIE, 22, ANCHORS, RED, #8-10-12 x 1 in, BOX OF 100</t>
  </si>
  <si>
    <t>122 / 114048</t>
  </si>
  <si>
    <t>LH DOTTIE, 122 / 114048, ANCHORS, YELLOW, #8-10-12 x 1.25 in, BOX OF 100</t>
  </si>
  <si>
    <t>14H114</t>
  </si>
  <si>
    <t>LH DOTTIE, 14H114, TAPCON SCREWS, 5/16 x 1 in, BOX OF 100</t>
  </si>
  <si>
    <t>2WS10114</t>
  </si>
  <si>
    <t>LH DOTTIE, 2WS10114, WOOD SCREWS, #10 X 1.25 in, STAINLESS STEEL, BOX OF 100</t>
  </si>
  <si>
    <t>36H114 / 112743</t>
  </si>
  <si>
    <t>LH DOTTIE, 36H114 / 112743, TAPCON SCREWS, 3/16 x 1.25 in, BOX OF 100</t>
  </si>
  <si>
    <t>DA38 / 113618</t>
  </si>
  <si>
    <t>LH DOTTIE, DA38 / 113618, DROP IN ANCHOR, 3/8 in, BOX OF 50</t>
  </si>
  <si>
    <t>DWSBX61</t>
  </si>
  <si>
    <t>LH DOTTIE, DWSBX61, DRYWALL SCREWS, #6 x 1 in, BOX OF 100</t>
  </si>
  <si>
    <t>FENW38112</t>
  </si>
  <si>
    <t>LH DOTTIE, FENW38112, WASHERS, 3/8 x 1.5 in, BOX OF 100</t>
  </si>
  <si>
    <t>FENW38114</t>
  </si>
  <si>
    <t>LH DOTTIE, FENW38114, WASHERS, 3/8 x 1.25 in, BOX OF 100</t>
  </si>
  <si>
    <t>FW38 / 114027</t>
  </si>
  <si>
    <t>LH DOTTIE, FW38 / 114027, FENDER WASHERS, 3/8 x 1.5 in, BOX OF 100</t>
  </si>
  <si>
    <t>GR58</t>
  </si>
  <si>
    <t>LH DOTTIE, GR58, GROUNDING ROD CLAMP, 5/8 in</t>
  </si>
  <si>
    <t>HN38 / 113157</t>
  </si>
  <si>
    <t>LH DOTTIE, HN38 / 113157, HEX NUT, ZINC-PLATED, 3/8 in-16, BOX OF 100</t>
  </si>
  <si>
    <t>K6CO / 113799</t>
  </si>
  <si>
    <t>LH DOTTIE, K6CO / 113799, ANCHOR AND SCREW KIT, #8-10-12 RED ANCHORS, #10 x 1 in SCREWS, BOX OF 100</t>
  </si>
  <si>
    <t>LAG383 / 114625</t>
  </si>
  <si>
    <t>LH DOTTIE, LAG383 / 114625, HEX LAG BOLT, 3/8 x 3 in, BOX OF 50</t>
  </si>
  <si>
    <t>PHFW101</t>
  </si>
  <si>
    <t>LH DOTTIE, PHFW101, WOOD SCREWS, #10 X 1 in, ZINC PLATED, BOX OF 100</t>
  </si>
  <si>
    <t>ROD126</t>
  </si>
  <si>
    <t>LH DOTTIE, ROD126, THREADED ROD, 1/2 in x 6 FT</t>
  </si>
  <si>
    <t>TB383</t>
  </si>
  <si>
    <t>LH DOTTIE, TB383, TOOGLE BOLT, 3/8 x 3 in</t>
  </si>
  <si>
    <t>TEKPH634</t>
  </si>
  <si>
    <t>LH DOTTIE, TEKPH634, SELF DRILLING SCREW, PHILLIPS PAN HEAD, #6 x 3/4 in, ZINC-PLATED, BOX OF 100</t>
  </si>
  <si>
    <t>W38500</t>
  </si>
  <si>
    <t>LH DOTTIE, W38500, FULL THREAD WEDGE ANCHOR, 3/8-16</t>
  </si>
  <si>
    <t>WDK8</t>
  </si>
  <si>
    <t>LH DOTTIE, WDK8, WALL ANCHOR DRILLER KIT, PHILLIPS / SLOTTED DRIVE</t>
  </si>
  <si>
    <t>LIQUATITE</t>
  </si>
  <si>
    <t>NMHT12X50</t>
  </si>
  <si>
    <t>LIQUATITE, NMHT12X50, LIQUID-TIGHT CONDUIT, BLACK, 3/4 in PER FT</t>
  </si>
  <si>
    <t>LOWES</t>
  </si>
  <si>
    <t>02-55035</t>
  </si>
  <si>
    <t>LOWES, 02-55035, BX-MC-FLEX BUSHINGS, PACKAGE OF 35</t>
  </si>
  <si>
    <t>MARATHON</t>
  </si>
  <si>
    <t>GL02</t>
  </si>
  <si>
    <t>MARATHON, GL02, ELECTRICAL GROUND LUG</t>
  </si>
  <si>
    <t>MAXCELL</t>
  </si>
  <si>
    <t>MXC3456BK5300</t>
  </si>
  <si>
    <t>MAXCELL, MXC3456BK5300, INNERDUCT, 3 CELL, BLACK, 3 in,  PER FT</t>
  </si>
  <si>
    <t>MC ALUM</t>
  </si>
  <si>
    <t>12/3 250FT COIL   WIRE</t>
  </si>
  <si>
    <t>MC ALUM, 12/3 250FT COIL   WIRE, INTERLOCKED ARMORED CABLE, 12 AWG, 3 CONDUCTOR, PER FOOT</t>
  </si>
  <si>
    <t>METALLICS WEST</t>
  </si>
  <si>
    <t>JDIAS38</t>
  </si>
  <si>
    <t>METALLICS WEST, JDIAS38, DROP IN ANCHORS, 3/8 in</t>
  </si>
  <si>
    <t>JN163</t>
  </si>
  <si>
    <t>METALLICS WEST, JN163, HEX NUT, 1/4-20 ZINC FINISHED</t>
  </si>
  <si>
    <t>JN165</t>
  </si>
  <si>
    <t>METALLICS WEST, JN165, HEX NUT, 3/8-16 ZINC FINISHED</t>
  </si>
  <si>
    <t>JW113</t>
  </si>
  <si>
    <t>METALLICS WEST, JW113, FENDER WASHER, 1/4 x 1 in</t>
  </si>
  <si>
    <t>JW127</t>
  </si>
  <si>
    <t>METALLICS WEST, JW127, FENDER WASHER, 3/8 x 1 in</t>
  </si>
  <si>
    <t>MOHAWK</t>
  </si>
  <si>
    <t>6NP4P24-BL-9-MOH-PVCE</t>
  </si>
  <si>
    <t>MOHAWK, 6NP4P24-BL-9-MOH-PVCE, CAT6 PLENUM CABLE, BLUE, PER FT</t>
  </si>
  <si>
    <t>6NP4P24-RD-9-MOH-PVCE</t>
  </si>
  <si>
    <t>MOHAWK, 6NP4P24-RD-9-MOH-PVCE, CAT6 CABLE, PER FT</t>
  </si>
  <si>
    <t>6P4P24-S-RD-R-MOH-AP</t>
  </si>
  <si>
    <t>MOHAWK, 6P4P24-S-RD-R-MOH-AP, CAT6 SHIELDED PLENUM CABLE, RED, PER FT</t>
  </si>
  <si>
    <t>MONOPRICE</t>
  </si>
  <si>
    <t>MONOPRICE, 107305, COPPER PATCH PANEL, CAT 6, 48 PORT</t>
  </si>
  <si>
    <t>MULBERRY</t>
  </si>
  <si>
    <t>MULBERRY, 11402, DUPLEX RECEPTACLE COVER, 4 in</t>
  </si>
  <si>
    <t>NEPTCO</t>
  </si>
  <si>
    <t>WP1250P</t>
  </si>
  <si>
    <t>NEPTCO, WP1250P, POLY MULETAPE, PER FT</t>
  </si>
  <si>
    <t>OLDCASTLE</t>
  </si>
  <si>
    <t>OLDCASTLE, 31159821, CONCRETE COVER FOR POLYMER CONCRETE BOX</t>
  </si>
  <si>
    <t>OLDCASTLE, 32140101, POLYMER CONCRETE BOX 17 x 30 in</t>
  </si>
  <si>
    <t>ORTRONICS</t>
  </si>
  <si>
    <t>KFSP1</t>
  </si>
  <si>
    <t>ORTRONICS, KFSP1, SINGLE PORT FACEPLATE</t>
  </si>
  <si>
    <t>KS5E-36</t>
  </si>
  <si>
    <t>ORTRONICS, KS5E-36, CAT5e KEYSTONE JACK, BLUE</t>
  </si>
  <si>
    <t>KS5E42</t>
  </si>
  <si>
    <t>ORTRONICS, KS5E42, CAT5e KEYSTONE JACK, RED</t>
  </si>
  <si>
    <t>KSFP2</t>
  </si>
  <si>
    <t>ORTRONICS, KSFP2, DUAL PORT FACEPLATE</t>
  </si>
  <si>
    <t>ORTRONICS, SP5EU48, COPPER PATCH PANEL, CAT5e, 48 PORT</t>
  </si>
  <si>
    <t>PANDUIT</t>
  </si>
  <si>
    <t>ABMT-S6-Q69</t>
  </si>
  <si>
    <t>PANDUIT, ABMT-S6-Q69, CABLE TIE MOUNT, PACK OF 25</t>
  </si>
  <si>
    <t>CF10WH-X</t>
  </si>
  <si>
    <t>PANDUIT, CF10WH-X, COUPLER FITTING FOR LD10 RACEWAY</t>
  </si>
  <si>
    <t>CF5EI-E</t>
  </si>
  <si>
    <t>PANDUIT, CF5EI-E, COUPLER FITTING FOR LD5 RACEWAY</t>
  </si>
  <si>
    <t>CF5IW-E</t>
  </si>
  <si>
    <t>PANDUIT, CF5IW-E, CEILING CAP FOR LD5 RACEWAY</t>
  </si>
  <si>
    <t>CF5WH-X</t>
  </si>
  <si>
    <t>PANDUIT, CF5WH-X, COUPLER FITTING FOR LD5 RACEWAY</t>
  </si>
  <si>
    <t>DCF10WH-X</t>
  </si>
  <si>
    <t>PANDUIT, DCF10WH-X, DROP CEILING FITTING FOR LD10 RACEWAY</t>
  </si>
  <si>
    <t>DCF5WH-X</t>
  </si>
  <si>
    <t>PANDUIT, DCF5WH-X, DROP CEILING FITTING FOR LD5 RACEWAY</t>
  </si>
  <si>
    <t>F-640PST-FO</t>
  </si>
  <si>
    <t>PANDUIT, F-640PST-FO, FIBER OPTIC MARKER TAG, PACK OF 5</t>
  </si>
  <si>
    <t>HLS-15R0</t>
  </si>
  <si>
    <t>PANDUIT, HLS-15R0, BLACK VELCRO, 3/4 in x 15 FT</t>
  </si>
  <si>
    <t>HLS-75R0</t>
  </si>
  <si>
    <t>PANDUIT, HLS-75R0, BLACK VELCRO, 3/4 in x 75 FT</t>
  </si>
  <si>
    <t>HLT2I-X0</t>
  </si>
  <si>
    <t>PANDUIT, HLT2I-X0, TAK-TY HOOK &amp; LOOP CABLE TIES, .5 x 8 in, BLACK, PACK OF 10</t>
  </si>
  <si>
    <t>JBX3510IW-A</t>
  </si>
  <si>
    <t>PANDUIT, JBX3510IW-A, OUTLET BOX, 2 PIECE, WHITE</t>
  </si>
  <si>
    <t>LD10WH6-A</t>
  </si>
  <si>
    <t>PANDUIT, LD10WH6-A, LATCH DUCT FOR LD10 RACEWAY, 6 FT</t>
  </si>
  <si>
    <t>LD5EI6-A</t>
  </si>
  <si>
    <t>PANDUIT, LD5EI6-A, LATCH DUCT FOR LD5 RACEWAY, 6 FT</t>
  </si>
  <si>
    <t>LD5IW8-A</t>
  </si>
  <si>
    <t>PANDUIT, LD5IW8-A, LATCH DUCT FOR LD5 RACEWAY, 8 FT</t>
  </si>
  <si>
    <t>LD5WH6-A</t>
  </si>
  <si>
    <t>PANDUIT, LD5WH6-A, LATCH DUCT FOR LD5 RACEWAY, 6 FT</t>
  </si>
  <si>
    <t>PLT2S-C</t>
  </si>
  <si>
    <t>PANDUIT, PLT2S-C, CABLE TIE, WHITE, 7.4 in, PACK OF 100</t>
  </si>
  <si>
    <t>PLT2S-C0</t>
  </si>
  <si>
    <t>PANDUIT, PLT2S-C0, CABLE TIE, BLACK, 7.4 in, PACK OF 100</t>
  </si>
  <si>
    <t>PST-FO</t>
  </si>
  <si>
    <t>PANDUIT, PST-FO, FIBER SAFETY TAG, BLACK/YELLOW, 3.50 x 2 in, PACK OF 5</t>
  </si>
  <si>
    <t>T50F-X0</t>
  </si>
  <si>
    <t>PANDUIT, T50F-X0, BLACK SPIRAL WRAP, .5 x 10 FT</t>
  </si>
  <si>
    <t>TG-1295</t>
  </si>
  <si>
    <t>PANDUIT, TG-1295, SELF-LAMINATING PLASTIC TAGS, 2 x 3.5 in</t>
  </si>
  <si>
    <t>PASS/SEYMOUR</t>
  </si>
  <si>
    <t>L5-30R LS30RCC</t>
  </si>
  <si>
    <t>PASS/SEYMOUR, L5-30R LS30RCC, 30 AMP SINGLE OUTLET RECEPTACLE 125V</t>
  </si>
  <si>
    <t>PREFORMED</t>
  </si>
  <si>
    <t>PREFORMED, 8006622, COYOTE PUP BUFFER KIT</t>
  </si>
  <si>
    <t>PREFORMED, 8006877, COYOTE DOME CLOSURE FOR BUFFER TUBE, 6.5 x 22 in</t>
  </si>
  <si>
    <t>PREFORMED, 80802377, C-CEMENT, 4 OZ CAN</t>
  </si>
  <si>
    <t>PREFORMED, 80806033, COYOTE 12 STRAND SPLICE TRAY</t>
  </si>
  <si>
    <t>PREFORMED, 800081098,  3-SECTION END PLATE, 9.5 in</t>
  </si>
  <si>
    <t>4"X36"EMB</t>
  </si>
  <si>
    <t>PREFORMED, 4"X36"EMB, BOLLARD, FIXED, 4 IN, CARBON STEEL, YELLOW</t>
  </si>
  <si>
    <t>COYD919B-000</t>
  </si>
  <si>
    <t>PREFORMED, COYD919B-000, COYOTE DOME CLOSURE, 9.5 x 19 in</t>
  </si>
  <si>
    <t>PYRO-GUARD</t>
  </si>
  <si>
    <t>924FR</t>
  </si>
  <si>
    <t>PYRO-GUARD, 924FR, FIRE RETARDENT PLYWOOD, 4 x 8 FT</t>
  </si>
  <si>
    <t>QUAZITE</t>
  </si>
  <si>
    <t>PG3048CA0009</t>
  </si>
  <si>
    <t>QUAZITE, PG3048CA0009, HAND HOLE, 30 x 48 x 24, WITH LID</t>
  </si>
  <si>
    <t>PG4848HA0009</t>
  </si>
  <si>
    <t>QUAZITE, PG4848HA0009, HAND HOLE, 48 x 48 x 48, WITH LID</t>
  </si>
  <si>
    <t>QUIKTRON</t>
  </si>
  <si>
    <t>FOAS2FSMSCSC-1M</t>
  </si>
  <si>
    <t>QUIKTRON, FOAS2FSMSCSC-1M, DUPLEX FIBER JUMPER, SM, SC-SC, 1 METER</t>
  </si>
  <si>
    <t>RACO</t>
  </si>
  <si>
    <t>RACO, 1048, KNOCKOUT SEAL, STEEL, 2 in</t>
  </si>
  <si>
    <t>RACO, 8232, ELECTRICAL JUNCTION BOX, 4 x 4 x 4 in</t>
  </si>
  <si>
    <t>RACO, 8752, ELECTRICAL JUNCTION BOX COVER, 4 x 4 in</t>
  </si>
  <si>
    <t>3LV27</t>
  </si>
  <si>
    <t>RACO, 3LV27, EMT ONE-HOLE STRAP, STEEL, 1.25 in</t>
  </si>
  <si>
    <t>5A051</t>
  </si>
  <si>
    <t>RACO, 5A051, ELECTRICAL JUNCTION BOX, 4 x 4 x 1.5 in</t>
  </si>
  <si>
    <t>902C</t>
  </si>
  <si>
    <t>RACO, 902C, DUAL ELECTRICAL OUTLET COVER, 4 x 4 in</t>
  </si>
  <si>
    <t>RED HEAD</t>
  </si>
  <si>
    <t>RED HEAD, 50099, WEDGE ANCHOR FOR CONCRETE, 5/8 x 5 in</t>
  </si>
  <si>
    <t>REPUBLIC CONDUIT</t>
  </si>
  <si>
    <t>1-90D-EMT-ELL</t>
  </si>
  <si>
    <t>REPUBLIC CONDUIT, 1-90D-EMT-ELL, EMT CONDUIT ELBOW, 90 DEGREE, 1 in</t>
  </si>
  <si>
    <t>3/4-90D-EMT-ELL</t>
  </si>
  <si>
    <t>REPUBLIC CONDUIT, 3/4-90D-EMT-ELL, EMT CONDUIT ELBOW, 90 DEGREE, 3/4 in</t>
  </si>
  <si>
    <t>EMT 1"</t>
  </si>
  <si>
    <t>REPUBLIC CONDUIT, EMT 1", EMT CONDUIT, 1 in, 10FT</t>
  </si>
  <si>
    <t>EMT 2"</t>
  </si>
  <si>
    <t>REPUBLIC CONDUIT, EMT 2", EMT CONDUIT, 2 in, 10FT</t>
  </si>
  <si>
    <t>EMT 3/4"</t>
  </si>
  <si>
    <t>REPUBLIC CONDUIT, EMT 3/4", EMT CONDUIT, 3/4 in, 10FT</t>
  </si>
  <si>
    <t>EMT 4"</t>
  </si>
  <si>
    <t>REPUBLIC CONDUIT, EMT 4", EMT CONDUIT, 4 in, 10FT</t>
  </si>
  <si>
    <t>ROCK CITY</t>
  </si>
  <si>
    <t>GP05RC</t>
  </si>
  <si>
    <t>ROCK CITY, GP05RC, PEA GRAVEL, .5 CUBIC FT</t>
  </si>
  <si>
    <t>SIEMENS</t>
  </si>
  <si>
    <t>ED62B020</t>
  </si>
  <si>
    <t>SIEMENS, ED62B020, 20 AMP CIRCUIT BREAKER, BOLT-ON</t>
  </si>
  <si>
    <t>SIEMON</t>
  </si>
  <si>
    <t>9BB8P012G-E205A</t>
  </si>
  <si>
    <t>SIEMON, 9BB8P012G-E205A, 12 STRAND SM PLENUM FIBER CABLE, PER FT</t>
  </si>
  <si>
    <t>CT4-BOX-20</t>
  </si>
  <si>
    <t>SIEMON, CT4-BOX-20, SINGLE GANG SURFACE MOUNT BOX, IVORY</t>
  </si>
  <si>
    <t>HD5-24</t>
  </si>
  <si>
    <t>SIEMON, HD5-24, COPPER PATCH PANEL, CAT5e, 24 PORT</t>
  </si>
  <si>
    <t>HD5-48</t>
  </si>
  <si>
    <t>SIEMON, HD5-48, COPPER PATCH PANEL, CAT5e, 48 PORT</t>
  </si>
  <si>
    <t>HD6-24</t>
  </si>
  <si>
    <t>SIEMON, HD6-24, COPPER PATCH PANEL, CAT6, 24 PORT</t>
  </si>
  <si>
    <t>HD6-48</t>
  </si>
  <si>
    <t>SIEMON, HD6-48, COPPER PATCH PANEL, CAT6, 48 PORT</t>
  </si>
  <si>
    <t>MX5-F20</t>
  </si>
  <si>
    <t>SIEMON, MX5-F20, RJ-45 FLAT JACK MODULE, CAT5e, IVORY</t>
  </si>
  <si>
    <t>MX6-F02</t>
  </si>
  <si>
    <t>SIEMON, MX6-F02, RJ-45 FLAT JACK MODULE, CAT6, WHITE</t>
  </si>
  <si>
    <t>MX6-F06</t>
  </si>
  <si>
    <t>SIEMON, MX6-F06, RJ-45 FLAT JACK MODULE, CAT6, BLUE</t>
  </si>
  <si>
    <t>MX6-F20</t>
  </si>
  <si>
    <t>SIEMON, MX6-F20, RJ-45 FLAT JACK MODULE, CAT6, IVORY</t>
  </si>
  <si>
    <t>MX-FP-S-02-20</t>
  </si>
  <si>
    <t xml:space="preserve">SIEMON, MX-FP-S-02-20, SINGLE GANG FACEPLATE, 2 PORT, IVORY       </t>
  </si>
  <si>
    <t>MX-SM1-20</t>
  </si>
  <si>
    <t>SIEMON, MX-SM1-20, SURFACE MOUNT BOX, 1 PORT, IVORY</t>
  </si>
  <si>
    <t>RS3-RWM-2</t>
  </si>
  <si>
    <t>SIEMON, RS3-RWM-2, WIRE MANAGER, SINGLE SIDED, 2U</t>
  </si>
  <si>
    <t>S110-RWM-1</t>
  </si>
  <si>
    <t xml:space="preserve">SIEMON, S110-RWM-1, HORIZONTAL CABLE MANAGER, 1U </t>
  </si>
  <si>
    <t xml:space="preserve">SIEMON, S110-RWM2-01, HORIZONTAL CABLE MANAGER, 2U </t>
  </si>
  <si>
    <t>SWIC3-M-01</t>
  </si>
  <si>
    <t>SIEMON, SWIC3-M-01, FIBER ENCLOSURE, MINI WALL MOUNT, BLACK</t>
  </si>
  <si>
    <t>Z6A-S01</t>
  </si>
  <si>
    <t>SIEMON, Z6A-S01, RJ-45 ZMAX JACK, CAT6, SHIELDED, BLACK</t>
  </si>
  <si>
    <t>SOUTHWIRE</t>
  </si>
  <si>
    <t>SOUTHWIRE, 43608, #12 AWG STRANDED GREEN COPPER THHN WIRE, PER FT</t>
  </si>
  <si>
    <t>SOUTHWIRE, 293655, #12 AWG STRANDED BLACK COPPER THHN WIRE, PER FT</t>
  </si>
  <si>
    <t>SOUTHWIRE, 20497401, #6 AWG STRANDED GREEN COPPER THHN WIRE, PER FT</t>
  </si>
  <si>
    <t>22965801</t>
  </si>
  <si>
    <t>SOUTHWIRE, 22965801, #12 AWG STRANDED WHITE COPPER THHN WIRE, PER FT</t>
  </si>
  <si>
    <t>SOUTHWIRE, 68580023, 12/2 ALUMINUM METAL-CLAD CABLE, 100 FT</t>
  </si>
  <si>
    <t>#6AWG GREEN SOLID</t>
  </si>
  <si>
    <t>SOUTHWIRE, #6AWG GREEN SOLID, #6 AWG SOLID GREEN COPPER THHN WIRE, PER FT</t>
  </si>
  <si>
    <t>10AWG STR</t>
  </si>
  <si>
    <t>SOUTHWIRE, 10AWG STR, #10 AWG STRANDED WHITE COPPER THHN WIRE, PER FT</t>
  </si>
  <si>
    <t>SOUTHWIRE, 10AWG STR, #10 AWG STRANDED BLACK COPPER THHN WIRE, PER FT</t>
  </si>
  <si>
    <t>SOUTHWIRE, 10AWG STR, #10 AWG STRANDED RED COPPER THHN WIRE, PER FT</t>
  </si>
  <si>
    <t>SOUTHWIRE, 10AWG STR, #10 AWG STRANDED GREEN COPPER THHN WIRE, PER FT</t>
  </si>
  <si>
    <t>12AWG STR</t>
  </si>
  <si>
    <t>SOUTHWIRE, 12AWG STR, #12 AWG STRANDED RED COPPER THHN WIRE, PER FT</t>
  </si>
  <si>
    <t>3THHNSTRGREEN</t>
  </si>
  <si>
    <t>SOUTHWIRE, 3THHNSTRGREEN, #3 AWG STRANDED GREEN COPPER THHN WIRE, PER FT</t>
  </si>
  <si>
    <t>SPEC GRADE</t>
  </si>
  <si>
    <t>EAGCR20W</t>
  </si>
  <si>
    <t>SPEC GRADE, EAGCR20W, 20 AMP 125V DUAL ELECTRICAL RECEPTICLE, WHITE</t>
  </si>
  <si>
    <t>SPECIFIED TECHNOLOGIES</t>
  </si>
  <si>
    <t>FSR200</t>
  </si>
  <si>
    <t>SPECIFIED TECHNOLOGIES, FSR200, FIRE BARRIER SLEEVE KIT, 2 in</t>
  </si>
  <si>
    <t>SSP100</t>
  </si>
  <si>
    <t>SPECIFIED TECHNOLOGIES, SSP100, FIRE BARRIER PUTTY STICK, RED, 2 OZ</t>
  </si>
  <si>
    <t>SQUARE D</t>
  </si>
  <si>
    <t>HOM120CP</t>
  </si>
  <si>
    <t>SQUARE D, HOM120CP, 20 AMP SINGLE POLE CIRCUIT BREAKER</t>
  </si>
  <si>
    <t>HOM230</t>
  </si>
  <si>
    <t>SQUARE D, HOM230, 30 AMP SINGLE POLE CIRCUIT BREAKER</t>
  </si>
  <si>
    <t>QO120</t>
  </si>
  <si>
    <t>SQUARE D, QO120, 20 AMP SINGLE POLE CIRCUIT BREAKER</t>
  </si>
  <si>
    <t>QO120CP</t>
  </si>
  <si>
    <t>SQUARE D, QO120CP, 20 AMP SINGLE POLE CIRCUIT BREAKER</t>
  </si>
  <si>
    <t>QO230CP</t>
  </si>
  <si>
    <t>SQUARE D, QO230CP, 30 AMP DOUBLE POLE CIRCUIT BREAKER</t>
  </si>
  <si>
    <t>QO612L100DF</t>
  </si>
  <si>
    <t>SQUARE D, QO612L100DF, INDOOR FLUSH MOUNT LOAD CENTER, 6 SLOTS</t>
  </si>
  <si>
    <t>QO6L100S</t>
  </si>
  <si>
    <t>SQUARE D, QO6L100S, INDOOR SURFACE MOUNT LOAD CENTER, 6 SLOTS</t>
  </si>
  <si>
    <t>QOB120</t>
  </si>
  <si>
    <t>SQUARE D, QOB120, 20 AMP SINGLE POLE CIRCUIT BREAKER, BOLT-ON</t>
  </si>
  <si>
    <t>QOB320</t>
  </si>
  <si>
    <t>SQUARE D, QOB320, 20 AMP THREE POLE CIRCUIT BREAKER, BOLT-ON</t>
  </si>
  <si>
    <t>STEEL CITY / KINDORF</t>
  </si>
  <si>
    <t>R1038</t>
  </si>
  <si>
    <t>STEEL CITY / KINDORF, R1038, THREADED ROD, 3/8 in x 10 FT</t>
  </si>
  <si>
    <t>STORM MANUFACTURING</t>
  </si>
  <si>
    <t>SPCGBZ1250210-0-KT1</t>
  </si>
  <si>
    <t>STORM MANUFACTURING, SPCGBZ1250210-0-KT1, WALL MOUNTED COPPER GROUND BUSBAR</t>
  </si>
  <si>
    <t>SUPER-STRUT</t>
  </si>
  <si>
    <t>A1200HS-10PG</t>
  </si>
  <si>
    <t>SUPER-STRUT, A1200HS-10PG, SLOTTED CHANNEL , 1-5/8 in x 10 FT</t>
  </si>
  <si>
    <t>TESSCO</t>
  </si>
  <si>
    <t>TESSCO, 344361, 12 STRAND SM TIGHT-BUFFERED RISER FIBER CABLE, PER FT</t>
  </si>
  <si>
    <t>THOMAS-BETTS</t>
  </si>
  <si>
    <t>THOMAS-BETTS, 702.75, UNISTRUT CLAMP, 3/4 in</t>
  </si>
  <si>
    <t>THOMAS-BETTS, 52151.5, SQUARE BOX, 4 in x 1.5 in</t>
  </si>
  <si>
    <t>THOMAS-BETTS, 58361.5, SINGLE GANG ELECTRICAL OUTLET BOX, 1-7/8 in DEPTH</t>
  </si>
  <si>
    <t>THOMAS-BETTS, 58371.5, SINGLE GANG ELECTRICAL OUTLET BOX, 2-1/8 in DEPTH</t>
  </si>
  <si>
    <t xml:space="preserve"> 58371-3/4</t>
  </si>
  <si>
    <t>THOMAS-BETTS,  58371-3/4, SINGLE GANG ELECTRICAL OUTLET BOX, 3/4 in KJO, 2-1/8 in DEPTH</t>
  </si>
  <si>
    <t>52151-1/2 &amp; 3/4</t>
  </si>
  <si>
    <t>THOMAS-BETTS, 52151-1/2 &amp; 3/4, DUAL GANG ELECTRICAL OUTLET BOX, 1.5 in DEPTH</t>
  </si>
  <si>
    <t>52171-3/4</t>
  </si>
  <si>
    <t>THOMAS-BETTS, 52171-3/4, DUAL GANG ELECTRICAL OUTLET BOX, 2-1/8 in DEPTH</t>
  </si>
  <si>
    <t>52-C-0</t>
  </si>
  <si>
    <t>THOMAS-BETTS, 52-C-0, SQUARE FLAT DEVICE COVER, STEEL, 4 in</t>
  </si>
  <si>
    <t>52-C-1</t>
  </si>
  <si>
    <t>THOMAS-BETTS, 52-C-1, SQUARE FLAT BLANK COVER, STEEL, 4 in</t>
  </si>
  <si>
    <t>52-C-14-5/8</t>
  </si>
  <si>
    <t>THOMAS-BETTS, 52-C-14-5/8, SQUARE RAISED DEVICE COVER, STEEL, 4 in</t>
  </si>
  <si>
    <t>58 C 7</t>
  </si>
  <si>
    <t>THOMAS-BETTS, 58 C 7, SINGLE GANG ELECTRICAL OUTLET BOX COVER</t>
  </si>
  <si>
    <t>702 2</t>
  </si>
  <si>
    <t>THOMAS-BETTS, 702 2, CONDUIT CLAMP, 2.5 in, PACK OF 10</t>
  </si>
  <si>
    <t>703 2</t>
  </si>
  <si>
    <t>THOMAS-BETTS, 703 2, CONDUIT/EMT CLAMP, 2.5 in</t>
  </si>
  <si>
    <t>843-TB</t>
  </si>
  <si>
    <t>THOMAS-BETTS, 843-TB, CHASE HEX HEAD BUSHED NIPPLE, 3/4, in</t>
  </si>
  <si>
    <t>A1200HS10EG</t>
  </si>
  <si>
    <t>THOMAS-BETTS, A1200HS10EG, SLOTTED CHANNEL, 1-5/8 in x 10 FT</t>
  </si>
  <si>
    <t>BU 510</t>
  </si>
  <si>
    <t>THOMAS-BETTS, BU 510, PLASTIC BUSHING, 4 in</t>
  </si>
  <si>
    <t>CDOWTG-25</t>
  </si>
  <si>
    <t>THOMAS-BETTS, CDOWTG-25, SINGLE GANG SWITCH BOX, 2.5 in DEPTH</t>
  </si>
  <si>
    <t>CF4X1C-200</t>
  </si>
  <si>
    <t>THOMAS-BETTS, CF4X1C-200, PLENUM INNERDUCT ORANGE W/TAPE, 1 in, PER FT</t>
  </si>
  <si>
    <t>CF4X4C-250</t>
  </si>
  <si>
    <t>THOMAS-BETTS, CF4X4C-250, PLENUM INNERDUCT WHITE W/TAPE, 1 in, PER FT</t>
  </si>
  <si>
    <t>CG4X1C-200</t>
  </si>
  <si>
    <t>THOMAS-BETTS, CG4X1C-200, PLENUM INNERDUCT ORANGE W/TAPE, 1.25 in, PER FT</t>
  </si>
  <si>
    <t>CG4X4C-200</t>
  </si>
  <si>
    <t>THOMAS-BETTS, CG4X4C-200, PLENUM INNERDUCT WHITE W/TAPE, 1.25 in, PER FT</t>
  </si>
  <si>
    <t>DF4X1C-CUT REEL</t>
  </si>
  <si>
    <t>THOMAS-BETTS, DF4X1C-CUT REEL, NON-PLENUM INNERDUCT ORANGE W/TAPE, 1 in, PER FT</t>
  </si>
  <si>
    <t>EMT400</t>
  </si>
  <si>
    <t>THOMAS-BETTS, EMT400, INSULATING BUSHING, 4 in</t>
  </si>
  <si>
    <t>GW 125 G</t>
  </si>
  <si>
    <t>THOMAS-BETTS, GW 125 G, SINGLE GANG OUTLET BOX, 2.5 in DEPTH</t>
  </si>
  <si>
    <t>HC 402</t>
  </si>
  <si>
    <t>THOMAS-BETTS, HC 402, THREADLESS COMPRESSION CONDUIT CONNECTOR, 3/4 in</t>
  </si>
  <si>
    <t>LTC050</t>
  </si>
  <si>
    <t>THOMAS-BETTS, LTC050, LIQUIDTIGHT NON-METALLIC CONDUIT; 1/2 INCH, PER FT</t>
  </si>
  <si>
    <t>RS-12</t>
  </si>
  <si>
    <t>THOMAS-BETTS, RS-12, SQUARE RAISED DUPLEX COVER, STEEL, 4 in</t>
  </si>
  <si>
    <t>TC1110A</t>
  </si>
  <si>
    <t>THOMAS-BETTS, TC1110A, EMT COMPRESSION CONNECTOR, 4 in</t>
  </si>
  <si>
    <t>TC112A</t>
  </si>
  <si>
    <t>THOMAS-BETTS, TC112A, EMT COMPRESSION CONNECTOR, 3/4 in</t>
  </si>
  <si>
    <t>TC116A</t>
  </si>
  <si>
    <t>THOMAS-BETTS, TC116A, EMT COMPRESSION CONNECTOR, 2 in</t>
  </si>
  <si>
    <t>TC122A</t>
  </si>
  <si>
    <t>THOMAS-BETTS, TC122A, EMT SET SCREW CONNECTOR, STEEL, 3/4 in</t>
  </si>
  <si>
    <t>TC123A</t>
  </si>
  <si>
    <t>THOMAS-BETTS, TC123A, EMT SET SCREW CONNECTOR, 1 in</t>
  </si>
  <si>
    <t>TC126A</t>
  </si>
  <si>
    <t>THOMAS-BETTS, TC126A, EMT SET SCREW CONNECTOR, STEEL, 2 in</t>
  </si>
  <si>
    <t>TC2210-SC</t>
  </si>
  <si>
    <t>THOMAS-BETTS, TC2210-SC, EMT SET SCREW CONNECTOR, 4 in</t>
  </si>
  <si>
    <t>TC222-SC</t>
  </si>
  <si>
    <t>THOMAS-BETTS, TC222-SC, EMT SET SCREW CONNECTOR, 3/4 in</t>
  </si>
  <si>
    <t>TK 222 SC</t>
  </si>
  <si>
    <t>THOMAS-BETTS, TK 222 SC, EMT SET SCREW COUPLING, 3/4 in</t>
  </si>
  <si>
    <t>TK112A</t>
  </si>
  <si>
    <t>THOMAS-BETTS, TK112A, EMT COMPRESSION COUPLING, 3/4 in</t>
  </si>
  <si>
    <t>TK116A</t>
  </si>
  <si>
    <t>THOMAS-BETTS, TK116A, EMT COMPRESSION COUPLING, 2 in</t>
  </si>
  <si>
    <t>TK122A</t>
  </si>
  <si>
    <t>THOMAS-BETTS, TK122A, EMT SET SCREW COUPLING, STEEL, 3/4 in</t>
  </si>
  <si>
    <t>TS 101</t>
  </si>
  <si>
    <t>THOMAS-BETTS, TS 101, EMT ONE HOLE STRAP, 1/2 in</t>
  </si>
  <si>
    <t>TS 103</t>
  </si>
  <si>
    <t>THOMAS-BETTS, TS 103, EMT ONE HOLE STRAP, 1 in</t>
  </si>
  <si>
    <t>TS102</t>
  </si>
  <si>
    <t>THOMAS-BETTS, TS102, EMT ONE HOLE STRAP, 3/4 in</t>
  </si>
  <si>
    <t>TS902</t>
  </si>
  <si>
    <t>THOMAS-BETTS, TS902, EMT TWO HOLE STRAP, 3/4 in</t>
  </si>
  <si>
    <t>TRIPP LITE</t>
  </si>
  <si>
    <t>N356-01M</t>
  </si>
  <si>
    <t>TRIPP LITE, N356-01M, FIBER JUMPER CABLE, PLENUM, DUPLEX, SM, SC-SC, 1 METER</t>
  </si>
  <si>
    <t>UTILITECH</t>
  </si>
  <si>
    <t>UTILITECH, 53722, VINYL ELECTRICAL TAPE, 3/4 in x 60 FT</t>
  </si>
  <si>
    <t>VELCRO</t>
  </si>
  <si>
    <t>VELCRO, 189645, VELCRO, BLACK, 3/4 in x 75 FT</t>
  </si>
  <si>
    <t>S-13671</t>
  </si>
  <si>
    <t>VELCRO, S-13671, VELCRO, BLACK, 1/2 in x 75 FT</t>
  </si>
  <si>
    <t>WIRE</t>
  </si>
  <si>
    <t>NM-WG-12-3-CUT REEL</t>
  </si>
  <si>
    <t>WIRE, NM-WG-12-3-CUT REEL, #12 AWG ROMEX ELECTRICAL WIRE, PER FT</t>
  </si>
  <si>
    <t>THHN-12-SOL-BLK-500S per ft</t>
  </si>
  <si>
    <t>WIRE, THHN-12-SOL-BLK-500S per ft, #12 AWG SOLID BLACK COPPER THHN WIRE, PER FT</t>
  </si>
  <si>
    <t>THHN-12-SOL-GRN-500S per ft</t>
  </si>
  <si>
    <t>WIRE, THHN-12-SOL-GRN-500S per ft, #12 AWG SOLID GREEN COPPER THHN WIRE, PER FT</t>
  </si>
  <si>
    <t>THHN-12-SOL-WHT-500S per ft</t>
  </si>
  <si>
    <t>WIRE, THHN-12-SOL-WHT-500S per ft, #12 AWG SOLID WHITE COPPER THHN WIRE, PER FT</t>
  </si>
  <si>
    <t>WOODBACKER</t>
  </si>
  <si>
    <t>WB-440304FR-WH</t>
  </si>
  <si>
    <t>WOODBACKER, WB-440304FR-WH, FLAME RETARDANT BACKBOARD, WHITE, 3/4 in x 4 FT x 4 FT</t>
  </si>
  <si>
    <t>1.3</t>
  </si>
  <si>
    <t>NOTE:  Unit price includes all shipping; this covers CONUS, to include Hawaii and Alaska.</t>
  </si>
  <si>
    <t>2104S42-00</t>
  </si>
  <si>
    <t>RIC3-24-01</t>
  </si>
  <si>
    <t>SIEMON, RIC3-24-01, FIBER ENCLOSURE, RACK MOUNT INTERCONNECT CENTER, 2 RMS</t>
  </si>
  <si>
    <t>CBL-CAT6-RJ45-10FT-BLU</t>
  </si>
  <si>
    <t>SUPPLIER SPECIFIC</t>
  </si>
  <si>
    <t>NORTH COAST ELECTRIC COMPANY</t>
  </si>
  <si>
    <t>NORTH COAST ELECTRIC COMPANY, 2104S42-00, 12-2 SOLID MC-LITE METAL CLAD ALUMINUM ELECTRICAL CABLE, PER FT</t>
  </si>
  <si>
    <t>SUPPLIER SPECIFIC, CBL-CAT6-RJ45-10FT-BLU, CAT6 COPPER PATCH CABLE, RJ45, 10 FT, BLUE</t>
  </si>
  <si>
    <t xml:space="preserve">The CLIN price for hardware acquisition will be </t>
  </si>
  <si>
    <t xml:space="preserve">The CLIN price for project completion will be </t>
  </si>
  <si>
    <t>Pre-priced Miscellaneous Materials:</t>
  </si>
  <si>
    <t>CORNING, 95-201-41-SP, ANAEROBIC SM FIBER CONNECTOR, SC</t>
  </si>
  <si>
    <t>B-LINE, BCH32-W2, CABLE HOOK TO ROD HANGER, 2 in</t>
  </si>
  <si>
    <t>B-LINE, BCH21-W2, CABLE HOOK TO ROD HANGER, 1 5/16 in</t>
  </si>
  <si>
    <t>BRIDGEPORT, 330, PLASTIC BUSHING, 4 in</t>
  </si>
  <si>
    <t>BRIDGEPORT, 332, PLASTIC BUSHING, 6 in</t>
  </si>
  <si>
    <t>BROTHER, Tze-2312PK, BLACK ON WHITE TAPE FOR P-TOUCH, 1/2 in (2-PACK)</t>
  </si>
  <si>
    <t>EATON, BR120, 20 AMP CIRCUIT BREAKER, 1 POLE, 120/240V</t>
  </si>
  <si>
    <t>EATON, BR612L125SDP, 125 AMP LOAD CENTER, 120/240V, 6 SPACE</t>
  </si>
  <si>
    <t>FLUKE NETWORKS</t>
  </si>
  <si>
    <t>FLUKE NETWORKS, AM/C1080, 802.11A/B/G/N USB CLIENT ADAPTER</t>
  </si>
  <si>
    <t>GREENSMIX</t>
  </si>
  <si>
    <t>GREENSMIX, WGM30003, LEVELING PAVER SAND .5 CUBIC FT</t>
  </si>
  <si>
    <t>ALLIED TUBE</t>
  </si>
  <si>
    <t>ALLIED TUBE, 30279, EMT CONDUIT, 1/2 in x 10 FT</t>
  </si>
  <si>
    <t>ALLIED TUBE, 101550, EMT CONDUIT, 3/4 in x 10 FT</t>
  </si>
  <si>
    <t>ALLIED TUBE, 2DCP2, EMT COMPRESSION COUPLING, STEEL, INSULATED, 1/2 in</t>
  </si>
  <si>
    <t>ALLIED TUBE, 2DCP8, EMT COMPRESSION COUPLING, STEEL, 1/2 in</t>
  </si>
  <si>
    <t>ALLIED TUBE, PS1100-AS-4-EG, EMT UNISTRUT CLAMP, 4 in</t>
  </si>
  <si>
    <t>BRADY</t>
  </si>
  <si>
    <t>BRADY, BMP53, CABLE LABEL CARTRIDGE</t>
  </si>
  <si>
    <t>MISC Items Flat Rate Agreement</t>
  </si>
  <si>
    <t>Server Farm Request?</t>
  </si>
  <si>
    <t>2.0</t>
  </si>
  <si>
    <t xml:space="preserve">MDF/IDF Full Size Cabinet Installation, (2 circuits Not to Exceed 60 feet power, 60 feet ground) </t>
  </si>
  <si>
    <t xml:space="preserve">MDF/IDF Wall Mount Cabinet/Half Height Floor Mount, (1 circuit- Not to Exceed 60 feet power, 60 feet ground) </t>
  </si>
  <si>
    <t>PoP MDF w/ (2) Two Full height cabinets, (2-Cabinets), (2 circuits Not to Exceed 60 feet power, 60 feet ground)</t>
  </si>
  <si>
    <t>PoP MDF w/ (3) Three Full height cabinets, (3-Cabinets), (2 circuits Not to Exceed 60 feet power, 60 feet ground)</t>
  </si>
  <si>
    <t xml:space="preserve">MDF/IDF 19"X7' 2-Post Rack Installation, (2 circuits Not to Exceed 60 feet power, 60 feet ground) </t>
  </si>
  <si>
    <t xml:space="preserve">MDF/IDF 19"X7' 2-Post Rack Installation, (1 circuit- Not to Exceed 60 feet power, 60 feet ground) </t>
  </si>
  <si>
    <r>
      <t xml:space="preserve">Test, certify and label up to 2 ports (same faceplate) ISP or OSP end-to-end copper network cable from patch panel to wall jack/patch-panel, </t>
    </r>
    <r>
      <rPr>
        <b/>
        <sz val="10"/>
        <color theme="1"/>
        <rFont val="Arial"/>
        <family val="2"/>
      </rPr>
      <t>no repair required</t>
    </r>
  </si>
  <si>
    <r>
      <t xml:space="preserve">Test, certify, label and repair up to 2 ports (same faceplate) ISP or OSP end-to-end copper network cable from patch panel to wall jack/patch-panel
</t>
    </r>
    <r>
      <rPr>
        <b/>
        <sz val="10"/>
        <color rgb="FFFF0000"/>
        <rFont val="Arial"/>
        <family val="2"/>
      </rPr>
      <t>(Includes replacing and/or re-terminating jack and faceplate and re-terminating at patch panel as required)</t>
    </r>
  </si>
  <si>
    <t>Removal of an existing two Copper cable drop or ISP extension\tie (up to 2 cables). Price for disconnecting on both ends and pulling it out, not taking down conduit or other infrastructure.</t>
  </si>
  <si>
    <r>
      <t xml:space="preserve">Install CAT 5e Patch Panel- 24 port
</t>
    </r>
    <r>
      <rPr>
        <b/>
        <sz val="10"/>
        <rFont val="Arial"/>
        <family val="2"/>
      </rPr>
      <t>(Note: cost for termination of new cable drops should be covered in other fixed price items.)</t>
    </r>
  </si>
  <si>
    <r>
      <t xml:space="preserve">Install CAT 5e Patch Panel- 48 port
</t>
    </r>
    <r>
      <rPr>
        <b/>
        <sz val="10"/>
        <rFont val="Arial"/>
        <family val="2"/>
      </rPr>
      <t>(Note: cost for termination of new cable drops should be covered in other fixed price items.)</t>
    </r>
  </si>
  <si>
    <r>
      <t xml:space="preserve">Install CAT 6 Patch Panel- 24 port
</t>
    </r>
    <r>
      <rPr>
        <b/>
        <sz val="10"/>
        <rFont val="Arial"/>
        <family val="2"/>
      </rPr>
      <t>(Note: cost for termination of new cable drops should be covered in other fixed price items.)</t>
    </r>
  </si>
  <si>
    <r>
      <t xml:space="preserve">Install CAT 6 Patch Panel- 48 port
</t>
    </r>
    <r>
      <rPr>
        <b/>
        <sz val="10"/>
        <rFont val="Arial"/>
        <family val="2"/>
      </rPr>
      <t>(Note: cost for termination of new cable drops should be covered in other fixed price items.)</t>
    </r>
  </si>
  <si>
    <t>Install a 1U Wire Manager - SIEMON 1RMS RACK MOUNT BLACK, S110-RWM-01</t>
  </si>
  <si>
    <t>Install a 2U Wire Manager - SIEMON 2 RMS CABLE MANAGER-BLACK, S110-RWM2-01</t>
  </si>
  <si>
    <t>Uninstall of an existing Copper cable drop (up to 2 ports) or Fiber Drop (up to 6 strands). Price for disconnecting the drop at deskside, rolling up the cables, placing them in False Ceiling area or centralized location, and labeling for Future Use.</t>
  </si>
  <si>
    <r>
      <t xml:space="preserve">Test, certify, label and repair single or multi-mode fiber desktop ISP (2-strands)
</t>
    </r>
    <r>
      <rPr>
        <b/>
        <sz val="10"/>
        <color rgb="FFFF0000"/>
        <rFont val="Arial"/>
        <family val="2"/>
      </rPr>
      <t>(Repair includes replacing/terminating, polishing, cleaning fiber connectors at the faceplate and at the patch panel as required, label, test and certify)</t>
    </r>
  </si>
  <si>
    <t>Relocation/movement of an existing single or multi-mode fiber desktop ISP (4-strands) to a new location. Move includes replacing/terminating, polishing, cleaning fiber connectors at the faceplate and at the patch panel as required, label, test and certify</t>
  </si>
  <si>
    <t>Removal of an existing single or multi-mode fiber desktop ISP cable or ISP extension\tie. Price for disconnecting on both ends and pulling it out, not taking down conduit or other infrastructure.</t>
  </si>
  <si>
    <r>
      <t xml:space="preserve">Install single or multi-mode fiber Patch Panel &amp; supporting bulkheads - Fully loaded 24 port w/ LC, SC or ST couplings as specified </t>
    </r>
    <r>
      <rPr>
        <b/>
        <sz val="10"/>
        <color rgb="FFFF0000"/>
        <rFont val="Arial"/>
        <family val="2"/>
      </rPr>
      <t>(Note: termination of new cable drops should be covered in other fixed price items.)</t>
    </r>
  </si>
  <si>
    <r>
      <t xml:space="preserve">Install single or multi-mode fiber Patch Panel &amp; supporting bulkheads - Fully loaded 48 port w/ LC, SC or ST couplings as specified </t>
    </r>
    <r>
      <rPr>
        <b/>
        <sz val="10"/>
        <color rgb="FFFF0000"/>
        <rFont val="Arial"/>
        <family val="2"/>
      </rPr>
      <t>(Note: termination of new cable drops should be covered in other fixed price items.)</t>
    </r>
  </si>
  <si>
    <t>Install a fiber bulkhead LC, SC or ST as specified into an existing fiber panel</t>
  </si>
  <si>
    <t xml:space="preserve">12 strands : Multi-Mode - CMR/Non-Plenum (per foot)                 </t>
  </si>
  <si>
    <t xml:space="preserve">12 strands : Single Mode - CMR/Non-Plenum (per foot)                    </t>
  </si>
  <si>
    <t xml:space="preserve">24 strands : Multi-Mode  - CMR/Non-Plenum (per foot)                 </t>
  </si>
  <si>
    <t xml:space="preserve">24 strands : Single Mode  - CMR/Non-Plenum (per foot)                   </t>
  </si>
  <si>
    <t xml:space="preserve">36 strands : Multi-Mode  - CMR/Non-Plenum (per foot)                  </t>
  </si>
  <si>
    <t xml:space="preserve">36 strands : Single Mode  - CMR/Non-Plenum (per foot)                    </t>
  </si>
  <si>
    <t xml:space="preserve">48 strands : Multi-Mode  - CMR/Non-Plenum (per foot)                 </t>
  </si>
  <si>
    <t xml:space="preserve">48 strands : Single Mode  - CMR/Non-Plenum (per foot)                    </t>
  </si>
  <si>
    <t xml:space="preserve">72 strands : Multi-Mode  - CMR/Non-Plenum (per foot)                 </t>
  </si>
  <si>
    <t xml:space="preserve">72 strands : Single Mode  - CMR/Non-Plenum (per foot)                   </t>
  </si>
  <si>
    <t xml:space="preserve">12 strands : Multi-Mode - CMP/Plenum (per foot)                 </t>
  </si>
  <si>
    <t xml:space="preserve">12 strands : Single Mode  - CMP/Plenum (per foot)                   </t>
  </si>
  <si>
    <t xml:space="preserve">24 strands : Multi-Mode  - CMP/Plenum (per foot)                 </t>
  </si>
  <si>
    <t xml:space="preserve">24 strands : Single Mode  - CMP/Plenum (per foot)                   </t>
  </si>
  <si>
    <t xml:space="preserve">36 strands : Multi-Mode  - CMP/Plenum (per foot)                </t>
  </si>
  <si>
    <t xml:space="preserve">36 strands : Single Mode  - CMP/Plenum (per foot)                   </t>
  </si>
  <si>
    <t xml:space="preserve">48 strands : Multi-Mode  - CMP/Plenum (per foot)                </t>
  </si>
  <si>
    <t xml:space="preserve">48 strands : Single Mode  - CMP/Plenum (per foot)                  </t>
  </si>
  <si>
    <t xml:space="preserve">72 strands : Multi-Mode  - CMP/Plenum (per foot)                </t>
  </si>
  <si>
    <t xml:space="preserve">72 strands : Single Mode  - CMP/Plenum (per foot)                  </t>
  </si>
  <si>
    <t>Install Plenum Innerduct (per foot)</t>
  </si>
  <si>
    <t>Install Non-Plenum Innerduct (per foot)</t>
  </si>
  <si>
    <r>
      <t xml:space="preserve">Fiber Splice and Test of up to 12 Strands in existing Splice Case
</t>
    </r>
    <r>
      <rPr>
        <b/>
        <sz val="10"/>
        <color rgb="FF0000FF"/>
        <rFont val="Arial"/>
        <family val="2"/>
      </rPr>
      <t>(Pricing is on a Per Instance Basis)</t>
    </r>
  </si>
  <si>
    <r>
      <t xml:space="preserve">Fiber Splice and Test of up to 12 Strands
</t>
    </r>
    <r>
      <rPr>
        <b/>
        <sz val="10"/>
        <color rgb="FF0000FF"/>
        <rFont val="Arial"/>
        <family val="2"/>
      </rPr>
      <t>(Pricing is on a Per Instance Basis)</t>
    </r>
  </si>
  <si>
    <t>Maxcell 3 cell sock (install at least a 3 cell sock) (this Task modifies the above Tasks to include Maxcell)</t>
  </si>
  <si>
    <t>Install OSP Conduit - per foot (this Task modifies the above Tasks to include conduit installation of two new 4" PVC conduits with pull rope and mandrell, tracer wire/detectable warning tape)</t>
  </si>
  <si>
    <t>Install OSP Rated Innerduct (this Task modifies the above Tasks to include OSP Rated Innerduct)</t>
  </si>
  <si>
    <r>
      <t xml:space="preserve">Perform Direct Bury of OSP cable
</t>
    </r>
    <r>
      <rPr>
        <b/>
        <sz val="10"/>
        <color rgb="FFFF0000"/>
        <rFont val="Arial"/>
        <family val="2"/>
      </rPr>
      <t>(This task modifies the above OSP cable tasks to include directly bury rated cable and additional labor for situations that do not require OSP conduit/trenching)</t>
    </r>
  </si>
  <si>
    <t>Install a Tracer Wire/detectable warning tape for new installs or when a Tracer Wire/detectable warning tape does not exist</t>
  </si>
  <si>
    <r>
      <t xml:space="preserve">Install Siemon HD6-24 patch panel - 24 port Cat6
</t>
    </r>
    <r>
      <rPr>
        <b/>
        <sz val="10"/>
        <color theme="1"/>
        <rFont val="Arial"/>
        <family val="2"/>
      </rPr>
      <t>(Note: cost for termination of new cable drops should be covered in other fixed price items.)</t>
    </r>
  </si>
  <si>
    <r>
      <t xml:space="preserve">Install Siemon HD6-48 patch panel - 48 port Cat6.
</t>
    </r>
    <r>
      <rPr>
        <b/>
        <sz val="10"/>
        <color theme="1"/>
        <rFont val="Arial"/>
        <family val="2"/>
      </rPr>
      <t>(Note: cost for termination of new cable drops should be covered in other fixed price items.)</t>
    </r>
  </si>
  <si>
    <t>Install Siemon S110-RWM-1 Horizontal Cable Manager</t>
  </si>
  <si>
    <t>Install Siemon RS3-RWM-2DS Dual-sided horizontal cable manager</t>
  </si>
  <si>
    <t>Install Siemon RS3-RWM-2 Single-sided horizontal cable manager</t>
  </si>
  <si>
    <r>
      <t xml:space="preserve">Install Siemon RIC 24 multi-mode fiber Patch Panel - 48 port w/ SC or ST connectors as specified
</t>
    </r>
    <r>
      <rPr>
        <b/>
        <sz val="10"/>
        <color theme="1"/>
        <rFont val="Arial"/>
        <family val="2"/>
      </rPr>
      <t>(Note: termination of new cable drops should be covered in other fixed price items.)</t>
    </r>
  </si>
  <si>
    <r>
      <t xml:space="preserve">Install Siemon RIC 36 multi-mode fiber Patch Panel - 72 port w/ SC or ST connectors as specified
</t>
    </r>
    <r>
      <rPr>
        <b/>
        <sz val="10"/>
        <color theme="1"/>
        <rFont val="Arial"/>
        <family val="2"/>
      </rPr>
      <t>(Note: termination of new cable drops should be covered in other fixed price items.)</t>
    </r>
  </si>
  <si>
    <r>
      <t xml:space="preserve">Install Siemon FC3P DWR fiber Patch Panel
</t>
    </r>
    <r>
      <rPr>
        <b/>
        <sz val="10"/>
        <color theme="1"/>
        <rFont val="Arial"/>
        <family val="2"/>
      </rPr>
      <t>(Note: patch panel trays and termination of new cable drops should be covered in other fixed price items.)</t>
    </r>
  </si>
  <si>
    <r>
      <t xml:space="preserve">Install Siemon LC-12 fiber multimode connector module
</t>
    </r>
    <r>
      <rPr>
        <b/>
        <sz val="10"/>
        <color theme="1"/>
        <rFont val="Arial"/>
        <family val="2"/>
      </rPr>
      <t>(Note: termination of new cable drops should be covered in other fixed price items.)</t>
    </r>
  </si>
  <si>
    <r>
      <t xml:space="preserve">Install Siemon LC-24 fiber multimode connector module
</t>
    </r>
    <r>
      <rPr>
        <b/>
        <sz val="10"/>
        <color theme="1"/>
        <rFont val="Arial"/>
        <family val="2"/>
      </rPr>
      <t>(Note: termination of new cable drops should be covered in other fixed price items.)</t>
    </r>
  </si>
  <si>
    <t>Install raised floor cable tray in Server Farm. (per foot)</t>
  </si>
  <si>
    <t>Install overhead cable tray in Server Farm. (per foot)</t>
  </si>
  <si>
    <r>
      <t xml:space="preserve">Install CAT 5e Patch Panel- 24 port and 1U Wiremanager - SIEMON 1RMS RACK MOUNT BLACK, S110-RWM-01
</t>
    </r>
    <r>
      <rPr>
        <b/>
        <sz val="10"/>
        <color indexed="8"/>
        <rFont val="Arial"/>
        <family val="2"/>
      </rPr>
      <t>(Note: cost for termination of new cable drops should be covered in other fixed price items.)</t>
    </r>
  </si>
  <si>
    <r>
      <t xml:space="preserve">Install CAT 5e Patch Panel- 48 port and 2U Wire Manager SIEMON 2 RMS CABLE MANAGER-BLACK, S110-RWM2-01
</t>
    </r>
    <r>
      <rPr>
        <b/>
        <sz val="10"/>
        <color indexed="8"/>
        <rFont val="Arial"/>
        <family val="2"/>
      </rPr>
      <t>(Note: cost for termination of new cable drops should be covered in other fixed price items.)</t>
    </r>
  </si>
  <si>
    <r>
      <t xml:space="preserve">Install CAT 6 Patch Panel- 24 port and 1U Wire Manager SIEMON 1RMS RACK MOUNT BLACK, S110-RWM-01
</t>
    </r>
    <r>
      <rPr>
        <b/>
        <sz val="10"/>
        <color indexed="8"/>
        <rFont val="Arial"/>
        <family val="2"/>
      </rPr>
      <t>(Note: cost for termination of new cable drops should be covered in other fixed price items.)</t>
    </r>
  </si>
  <si>
    <r>
      <t xml:space="preserve">Install CAT 6 Patch Panel- 48 port and 2U Wire manager SIEMON 2 RMS CABLE MANAGER-BLACK, S110-RWM2-01
</t>
    </r>
    <r>
      <rPr>
        <b/>
        <sz val="10"/>
        <color indexed="8"/>
        <rFont val="Arial"/>
        <family val="2"/>
      </rPr>
      <t>(Note: cost for termination of new cable drops should be covered in other fixed price items.)</t>
    </r>
  </si>
  <si>
    <r>
      <t xml:space="preserve">Includes local travel to base, access time, cabinet bolt/electrical (2 men), return travel.
</t>
    </r>
    <r>
      <rPr>
        <b/>
        <sz val="10"/>
        <color rgb="FFFF0000"/>
        <rFont val="Arial"/>
        <family val="2"/>
      </rPr>
      <t xml:space="preserve">(Includes IDF Design/As Build, Cabinet pickup and delivery- Local Site, Grounding, TGB, 2- 2KVA UPS's, 2- 48V Batts, 4” EMT stovepipes)
</t>
    </r>
    <r>
      <rPr>
        <b/>
        <sz val="10"/>
        <color rgb="FF0000FF"/>
        <rFont val="Arial"/>
        <family val="2"/>
      </rPr>
      <t>Price reflects up to a 2-Circuit Install</t>
    </r>
  </si>
  <si>
    <r>
      <t xml:space="preserve">Includes local travel to base, access time, cabinet bolt/electrical (2 men), return travel.
</t>
    </r>
    <r>
      <rPr>
        <b/>
        <sz val="10"/>
        <color rgb="FFFF0000"/>
        <rFont val="Arial"/>
        <family val="2"/>
      </rPr>
      <t xml:space="preserve">(Includes IDF Design/As Build, Cabinet pickup and delivery- Local Site, Grounding, TGB, Installation of Fire Rated Backboard, 1KVA UPS, 2” EMT stovepipes)
</t>
    </r>
    <r>
      <rPr>
        <b/>
        <sz val="10"/>
        <color rgb="FF0000FF"/>
        <rFont val="Arial"/>
        <family val="2"/>
      </rPr>
      <t>Price reflects up to a 1-Circuit Install</t>
    </r>
  </si>
  <si>
    <r>
      <t xml:space="preserve">Includes local travel to base, access time, cabinet bolt/electrical (2 men), return travel.
</t>
    </r>
    <r>
      <rPr>
        <b/>
        <sz val="10"/>
        <color rgb="FFFF0000"/>
        <rFont val="Arial"/>
        <family val="2"/>
      </rPr>
      <t>(Includes PoP Design/As Build, 2-Cabinet pickup and delivery- Local Site, 2- Grounding, 1- TGB, 4-2KVA UPS's, 4-48V Batts, 2- 4” EMT stovepipes)</t>
    </r>
    <r>
      <rPr>
        <b/>
        <sz val="10"/>
        <color rgb="FF0000FF"/>
        <rFont val="Arial"/>
        <family val="2"/>
      </rPr>
      <t xml:space="preserve">
Price reflects up to a 2-Circuit Install for each Cabinet</t>
    </r>
  </si>
  <si>
    <r>
      <t xml:space="preserve">Includes local travel to base, access time, cabinet bolt/electrical (2 men), return travel.
</t>
    </r>
    <r>
      <rPr>
        <b/>
        <sz val="10"/>
        <color rgb="FFFF0000"/>
        <rFont val="Arial"/>
        <family val="2"/>
      </rPr>
      <t xml:space="preserve">(Includes PoP Design/As Build, 3-Cabinet pickup and delivery- Local Site, 2- Grounding, 1- TGB, 4-2KVA UPS's, 4-48V Batts, 2- 4” EMT stovepipes)
</t>
    </r>
    <r>
      <rPr>
        <b/>
        <sz val="10"/>
        <color rgb="FF0000FF"/>
        <rFont val="Arial"/>
        <family val="2"/>
      </rPr>
      <t>Price reflects up to a 2-Circuit Install for each Cabinet</t>
    </r>
  </si>
  <si>
    <r>
      <t xml:space="preserve">Includes local travel to base, access time, 2-Post Rack bolt/electrical (2 men), return travel.
</t>
    </r>
    <r>
      <rPr>
        <b/>
        <sz val="10"/>
        <color rgb="FFFF0000"/>
        <rFont val="Arial"/>
        <family val="2"/>
      </rPr>
      <t>(Includes providing a 19"X7' 2-Post Rack, IDF Design/As Build, Grounding, TGB, 2- 2KVA UPS's, 2- 48V Batts, Ladder Rack w/ necessary Hardware)</t>
    </r>
    <r>
      <rPr>
        <b/>
        <sz val="10"/>
        <color rgb="FF0000FF"/>
        <rFont val="Arial"/>
        <family val="2"/>
      </rPr>
      <t xml:space="preserve">
Price reflects up to a 2-Circuit Install</t>
    </r>
  </si>
  <si>
    <r>
      <t xml:space="preserve">Includes local travel to base, access time, 2-Post Rack bolt/electrical (2 men), return travel.
</t>
    </r>
    <r>
      <rPr>
        <b/>
        <sz val="10"/>
        <color rgb="FFFF0000"/>
        <rFont val="Arial"/>
        <family val="2"/>
      </rPr>
      <t xml:space="preserve">(Includes providing a 19"X7' 2-Post Rack, IDF Design/As Build, Grounding, TGB, 1KVA UPS, Ladder Rack w/ necessary Hardware)
</t>
    </r>
    <r>
      <rPr>
        <b/>
        <sz val="10"/>
        <color rgb="FF0000FF"/>
        <rFont val="Arial"/>
        <family val="2"/>
      </rPr>
      <t>Price reflects up to a 1-Circuit Install</t>
    </r>
  </si>
  <si>
    <r>
      <t xml:space="preserve">¾ inch EMT conduit, 4-#12 THHN in conjunction with Cabinet Installation only. Price reflects up to a 2-Circuit, grounding, and stove pipe IDF Installation
</t>
    </r>
    <r>
      <rPr>
        <b/>
        <sz val="10"/>
        <color rgb="FFFF0000"/>
        <rFont val="Arial"/>
        <family val="2"/>
      </rPr>
      <t>(UPS install not included)</t>
    </r>
  </si>
  <si>
    <r>
      <t xml:space="preserve">¾ inch EMT conduit, 3-#12 THHN in conjunction with Cabinet Installation only. Price reflects up to a 1-Circuit, grounding, and stove pipe IDF Installation
</t>
    </r>
    <r>
      <rPr>
        <b/>
        <sz val="10"/>
        <color rgb="FFFF0000"/>
        <rFont val="Arial"/>
        <family val="2"/>
      </rPr>
      <t>(UPS install not included)</t>
    </r>
  </si>
  <si>
    <r>
      <t xml:space="preserve">¾ inch EMT conduit, 4-#12 THHN to an Existing Cabinet only.  Price reflects up to a 2-Circuit IDF Installation.
</t>
    </r>
    <r>
      <rPr>
        <b/>
        <sz val="10"/>
        <color rgb="FFFF0000"/>
        <rFont val="Arial"/>
        <family val="2"/>
      </rPr>
      <t>(Cabinet Mounting, UPS's, Grounding, TGB, and Stove Pipe not included).</t>
    </r>
  </si>
  <si>
    <r>
      <t xml:space="preserve">¾ inch EMT conduit, 3-#12 THHN to an Existing Cabinet only.  Price reflects up to a 1-Circuit IDF Installation.
</t>
    </r>
    <r>
      <rPr>
        <b/>
        <sz val="10"/>
        <color rgb="FFFF0000"/>
        <rFont val="Arial"/>
        <family val="2"/>
      </rPr>
      <t>(Cabinet Mounting, UPS's, Grounding, TGB, and Stove Pipe not included).</t>
    </r>
  </si>
  <si>
    <t>¾ inch EMT conduit, 3 or 4-#12 THHN in conjunction with Cabinet Installation only; per Lin. Ft. Price reflects per foot (Grounding not included)</t>
  </si>
  <si>
    <t>Install an electrical sub-panel. Electrical panel shall include conduit and wire from the main panel to the new sub-panel location, new electrical panel and electrical breakers. Includes local travel to base, access time, electrical installation, return travel time</t>
  </si>
  <si>
    <t>Includes pick up from/delivery to local warehouse and installation/removal of a 1KVA UPS.</t>
  </si>
  <si>
    <t>Includes pick up from/delivery to local warehouse and installation/removal of 2-2KVA UPSs and 2-48V Batteries</t>
  </si>
  <si>
    <t>Mount Fire Rated Backboard (4'X4')  **Paint &amp; Plywood are fire rated**</t>
  </si>
  <si>
    <t>Install standard bracing to subfloor. Provide and install rack coupling.</t>
  </si>
  <si>
    <t>Install seismic bracing to subfloor. Provide and install rack coupling.</t>
  </si>
  <si>
    <t>Make 5 inch diameter cut in raised floor. Install closing plastic grommet.</t>
  </si>
  <si>
    <t>&lt;Select HW Category&gt;</t>
  </si>
  <si>
    <t>Hardware Categories</t>
  </si>
  <si>
    <t>Pre-priced Hardware:</t>
  </si>
  <si>
    <t>Contact for Changes:</t>
  </si>
  <si>
    <t>Corrected pricing and sub-totaling in the Miscellaneous Materials section.</t>
  </si>
  <si>
    <t>- Updated HPE proprietary statement and the tab name (HPE Proprietary Information).</t>
  </si>
  <si>
    <t>- Included compliance to Attachment J-8 and Clause B-4 statement in INPUT tab.
- An automated calculation was added for Miscellaneous Materials.  If the rate card request is not for a Server Farm, and includes ISP/OSP or Facilities tasks, and the TCV is less than $50,000, a Miscellaneous Materials fee will be automatically added on line 196 (MM-1).  The fee will be 30% of the total ISP/OSP and Facilities pre-priced tasks.  When applied, this will negate the need to list individual Miscellaneous Materials line items in the rate card.
- Corrected the description for Facilities tasks with Grounding; length for Grounding is the same as the Power install, 60 Feet.
- The following sections reflect the application of FY2016 Attachment 8 Labor Rates to the task hours approved in FY2015:  Project Mgmt Hours, ISP-OSP, Facilities and Hardware Installation.</t>
  </si>
  <si>
    <t>2.1</t>
  </si>
  <si>
    <t>WALL PLUG INSTALLS:  These installs provide an additional LAN wall plug beyond those provided with 1) all unclassified NGEN seats; 2) a single unclassified workstation/data seat and 3) a single shared unclassified printer.</t>
  </si>
  <si>
    <t>This service provides an additional unclassified LAN wall plug installation as ordered as a CLIN 06AB in eMP.</t>
  </si>
  <si>
    <r>
      <t xml:space="preserve">This service provides an additional classified LAN wall plug installation as ordered as a CLIN 06AC in eMP.  This service will allow direct, local connectivity to the classified network, including SIPRNET, in accordance with the security requirements and policy of this contract. </t>
    </r>
    <r>
      <rPr>
        <b/>
        <sz val="10"/>
        <color indexed="8"/>
        <rFont val="Arial"/>
        <family val="2"/>
      </rPr>
      <t>This service is limited to that provided within a Controlled Access Area where open secret storage is allowed and does not require a protected distribution system (PDS)</t>
    </r>
    <r>
      <rPr>
        <sz val="10"/>
        <color indexed="8"/>
        <rFont val="Arial"/>
        <family val="2"/>
      </rPr>
      <t>. This service must be placed within an area where an NGEN-managed classified switch and TACLANE already exist.</t>
    </r>
  </si>
  <si>
    <r>
      <t xml:space="preserve">This service provides an additional classified LAN wall plug installation as ordered as a CLIN 06AD in eMP.  </t>
    </r>
    <r>
      <rPr>
        <b/>
        <sz val="10"/>
        <color indexed="8"/>
        <rFont val="Arial"/>
        <family val="2"/>
      </rPr>
      <t>This service is limited to that provided within a Controlled Access Area that is not approved for open secret storage and requires a protected distribution system (PDS).</t>
    </r>
    <r>
      <rPr>
        <sz val="10"/>
        <color indexed="8"/>
        <rFont val="Arial"/>
        <family val="2"/>
      </rPr>
      <t xml:space="preserve"> This service must be placed within an area where an NGEN-managed classified switch and TACLANE already exist.  This item shall also include Inside Cable Plant (ISP) cabling to the nearest access switch, and PDS that protects the cabling from the wall plug to the nearest access switch.</t>
    </r>
  </si>
  <si>
    <t xml:space="preserve">SalesForce # </t>
  </si>
  <si>
    <t>3.0</t>
  </si>
  <si>
    <t>Veronica Hardy, 469-808-2564
Jeff Sampson, 972-605-7752</t>
  </si>
  <si>
    <t>B+B Smartworx</t>
  </si>
  <si>
    <t>C101</t>
  </si>
  <si>
    <t>C102</t>
  </si>
  <si>
    <t>C103</t>
  </si>
  <si>
    <t>C104</t>
  </si>
  <si>
    <t>C113</t>
  </si>
  <si>
    <t>C114</t>
  </si>
  <si>
    <t>C115</t>
  </si>
  <si>
    <t>C116</t>
  </si>
  <si>
    <t>C117</t>
  </si>
  <si>
    <t>C118</t>
  </si>
  <si>
    <t>C119</t>
  </si>
  <si>
    <t>C120</t>
  </si>
  <si>
    <t>C121</t>
  </si>
  <si>
    <t>C122</t>
  </si>
  <si>
    <t>C123</t>
  </si>
  <si>
    <t>C124</t>
  </si>
  <si>
    <t>C125</t>
  </si>
  <si>
    <t>C126</t>
  </si>
  <si>
    <t>C127</t>
  </si>
  <si>
    <t>C128</t>
  </si>
  <si>
    <t>C129</t>
  </si>
  <si>
    <t>C130</t>
  </si>
  <si>
    <t>C201</t>
  </si>
  <si>
    <t>C202</t>
  </si>
  <si>
    <t>C203</t>
  </si>
  <si>
    <t>C206</t>
  </si>
  <si>
    <t>C207</t>
  </si>
  <si>
    <t>C208</t>
  </si>
  <si>
    <t>C209</t>
  </si>
  <si>
    <t>C210</t>
  </si>
  <si>
    <t>C211</t>
  </si>
  <si>
    <t>C301</t>
  </si>
  <si>
    <t>C302</t>
  </si>
  <si>
    <t>C303</t>
  </si>
  <si>
    <t>C304</t>
  </si>
  <si>
    <t>C305</t>
  </si>
  <si>
    <t>C306</t>
  </si>
  <si>
    <t>C307</t>
  </si>
  <si>
    <t>C501</t>
  </si>
  <si>
    <t>C502</t>
  </si>
  <si>
    <t>C503</t>
  </si>
  <si>
    <t>C504</t>
  </si>
  <si>
    <t>C505</t>
  </si>
  <si>
    <t>C506</t>
  </si>
  <si>
    <t>C507</t>
  </si>
  <si>
    <t>C601</t>
  </si>
  <si>
    <t>C602</t>
  </si>
  <si>
    <t>C603</t>
  </si>
  <si>
    <t>C604</t>
  </si>
  <si>
    <t>C605</t>
  </si>
  <si>
    <t>C606</t>
  </si>
  <si>
    <t>C607</t>
  </si>
  <si>
    <t>C608</t>
  </si>
  <si>
    <t>C609</t>
  </si>
  <si>
    <t>C610</t>
  </si>
  <si>
    <t>C611</t>
  </si>
  <si>
    <t>C612</t>
  </si>
  <si>
    <t>C613</t>
  </si>
  <si>
    <t>C614</t>
  </si>
  <si>
    <t>C615</t>
  </si>
  <si>
    <t>C616</t>
  </si>
  <si>
    <t>C617</t>
  </si>
  <si>
    <t>C618</t>
  </si>
  <si>
    <t>C619</t>
  </si>
  <si>
    <t>C620</t>
  </si>
  <si>
    <t>C621</t>
  </si>
  <si>
    <t>C622</t>
  </si>
  <si>
    <t>C623</t>
  </si>
  <si>
    <t>C701</t>
  </si>
  <si>
    <t>C702</t>
  </si>
  <si>
    <t>C703</t>
  </si>
  <si>
    <t>C704</t>
  </si>
  <si>
    <t>C705</t>
  </si>
  <si>
    <t>C706</t>
  </si>
  <si>
    <t>C707</t>
  </si>
  <si>
    <t>C708</t>
  </si>
  <si>
    <t>C709</t>
  </si>
  <si>
    <t>C710</t>
  </si>
  <si>
    <t>C711</t>
  </si>
  <si>
    <t>C712</t>
  </si>
  <si>
    <t>C713</t>
  </si>
  <si>
    <t>C714</t>
  </si>
  <si>
    <t>C715</t>
  </si>
  <si>
    <t>C716</t>
  </si>
  <si>
    <t>C717</t>
  </si>
  <si>
    <t>C720</t>
  </si>
  <si>
    <t>C1001</t>
  </si>
  <si>
    <t>C1002</t>
  </si>
  <si>
    <t>C1003</t>
  </si>
  <si>
    <t>C1004</t>
  </si>
  <si>
    <t>C1005</t>
  </si>
  <si>
    <t>C1006</t>
  </si>
  <si>
    <t>C1007</t>
  </si>
  <si>
    <t>C1008</t>
  </si>
  <si>
    <t>C1009</t>
  </si>
  <si>
    <t>C1010</t>
  </si>
  <si>
    <t>C1011</t>
  </si>
  <si>
    <t>C1012</t>
  </si>
  <si>
    <t>F201</t>
  </si>
  <si>
    <t>F202</t>
  </si>
  <si>
    <t>F301</t>
  </si>
  <si>
    <t>F302</t>
  </si>
  <si>
    <t>F303</t>
  </si>
  <si>
    <t>F304</t>
  </si>
  <si>
    <t>F305</t>
  </si>
  <si>
    <t>F306</t>
  </si>
  <si>
    <t>F307</t>
  </si>
  <si>
    <t>F308</t>
  </si>
  <si>
    <t>F309</t>
  </si>
  <si>
    <t>F310</t>
  </si>
  <si>
    <t>F314</t>
  </si>
  <si>
    <t>F315</t>
  </si>
  <si>
    <t>F316</t>
  </si>
  <si>
    <t>F317</t>
  </si>
  <si>
    <t>F318</t>
  </si>
  <si>
    <t>F401</t>
  </si>
  <si>
    <t>F402</t>
  </si>
  <si>
    <t>F403</t>
  </si>
  <si>
    <t>F404</t>
  </si>
  <si>
    <t>F405</t>
  </si>
  <si>
    <t>F406</t>
  </si>
  <si>
    <t>F501</t>
  </si>
  <si>
    <t>F502</t>
  </si>
  <si>
    <t>F503</t>
  </si>
  <si>
    <t>F504</t>
  </si>
  <si>
    <t>HARDWARE, ARMORED SHIELD, M6 SCREWS-WASHER-CAGENUT-50, EN-M6KT-50, MRN215437</t>
  </si>
  <si>
    <t>HARDWARE, LIEBERT CLIP NUTS AND SCREWS, M6 TREADED, 201000G2, MRN219924</t>
  </si>
  <si>
    <t>CABLE MANAGER, SIEMON 19 INCH, DOUBLE-SIDED, HORIZONTAL, 2U, RS3-RWM-2DS, MRN220258</t>
  </si>
  <si>
    <t>CABLE MANAGER, SIEMON 1 RMS, SINGLE-SIDED, HORIZONTAL, 1U, RWM-1, MRN219959</t>
  </si>
  <si>
    <t>CABLE MANAGER, SIEMON 1 RMS, HORZONTIAL, RACK MOUNT 1U, S110-RWM-01, MRN220260</t>
  </si>
  <si>
    <t>CABLE MANAGER, SIEMON 2 RMS, HORZONTIAL, RACK MOUNT 2U, S110-RWM2-01, MRN220259</t>
  </si>
  <si>
    <t>SalesForce #</t>
  </si>
  <si>
    <t>3.1</t>
  </si>
  <si>
    <t>Unclassified Wall Plug - 06AB (Copper and Fiber)</t>
  </si>
  <si>
    <t>Classified Wall Plug-Inside a Controlled Access Area - 06AC (Copper and Fiber)</t>
  </si>
  <si>
    <t>Classified Wall Plug-Outside a Controlled Access Area - 06AD (Copper and Fiber)</t>
  </si>
  <si>
    <t>WD-1</t>
  </si>
  <si>
    <t>WD-2</t>
  </si>
  <si>
    <t>WD-3</t>
  </si>
  <si>
    <t>WD-4</t>
  </si>
  <si>
    <t>WD-5</t>
  </si>
  <si>
    <t>WD-6</t>
  </si>
  <si>
    <t>WALL PLUG TASKS</t>
  </si>
  <si>
    <t>Wall Plug Tasks</t>
  </si>
  <si>
    <t>Unclassified Wall Plug - 06AB-copper</t>
  </si>
  <si>
    <t>Unclassified Wall Plug - 06AB-fiber</t>
  </si>
  <si>
    <t>Classified Wall Plug-Inside a Controlled Access Area - 06AC-fiber</t>
  </si>
  <si>
    <t>Classified Wall Plug-Outside a Controlled Access Area - 06AD-fiber</t>
  </si>
  <si>
    <t>Classified Wall Plug-Inside a Controlled Access Area - 06AC-copper</t>
  </si>
  <si>
    <t>Classified Wall Plug-Outside a Controlled Access Area - 06AD-copper</t>
  </si>
  <si>
    <r>
      <t xml:space="preserve">- The following sections reflect the application of FY2017 Attachment J-8 Labor Rates to the task hours approved in FY2015:  Project Mgmt Hours, ISP-OSP, Facilities and Hardware Installation.
- Added wall plug tasks to the ISP/OSP pre-priced section:  06AB - Unclassified Wall Plug; 06AC - Classified Wall Plug – Inside a Controlled Access Area; 06AD - Classified Wall Plug – Outside a Controlled Access Area.
- Changed Aldea # field title to SalesForce # in INPUT tab.
- Added definition for </t>
    </r>
    <r>
      <rPr>
        <b/>
        <i/>
        <sz val="10"/>
        <rFont val="Arial"/>
        <family val="2"/>
      </rPr>
      <t>Applicable Deliverables</t>
    </r>
    <r>
      <rPr>
        <sz val="10"/>
        <rFont val="Arial"/>
        <family val="2"/>
      </rPr>
      <t xml:space="preserve"> in the notes area below the Statement of Work section of the INPUT tab.
- Changed status of End-of-Sale and non TAA-compliant items in pre-priced Hardware Section; highlighted items can be selected for installation, but not for purchase.
- Per agreement with the Govt, the Hardware Section will be updated in October 2016 with additional approved items.</t>
    </r>
  </si>
  <si>
    <t>- The wall plug tasks in the ISP/OSP pre-priced section (06AB, 06AC, 06AD), have been moved to their own section and are not counted towards PM hours calculations.  Also, an identifier was added to indicate if the drops are copper or fiber.  There is no change in the task pricing.
- HPE has an agreement with Brocade to continue the sale of the four Brocade FCX series switches listed in the Hardware section until the ICX series is certified.  Therefore, they have been changed from EOS.</t>
  </si>
  <si>
    <t>TCV is &gt; $1,000,000; WRC Requires SOAR Approvals</t>
  </si>
  <si>
    <t>PLT3S-C</t>
  </si>
  <si>
    <t>HLS-75R2</t>
  </si>
  <si>
    <t>XC-500-595-WT-BK</t>
  </si>
  <si>
    <t>Brady</t>
  </si>
  <si>
    <t>XSL-103-427</t>
  </si>
  <si>
    <t>LCLC-10GIG-1M</t>
  </si>
  <si>
    <t>LCLC-10GIG-2M</t>
  </si>
  <si>
    <t>LCLC-10GIG-3M</t>
  </si>
  <si>
    <t>LCLC-10GIG-4M</t>
  </si>
  <si>
    <t>LCLC-10GIG-5M</t>
  </si>
  <si>
    <t>LCLC-10GIG-8M</t>
  </si>
  <si>
    <t>LCLC-10GIG-10M</t>
  </si>
  <si>
    <t>LCLC-10GIG-15M</t>
  </si>
  <si>
    <t>LCLC-10GIG-20M</t>
  </si>
  <si>
    <t>LCSC-10GIG-2M</t>
  </si>
  <si>
    <t>LCSC-10GIG-3M</t>
  </si>
  <si>
    <t>LCSC-10GIG-5M</t>
  </si>
  <si>
    <t>LCSC-10GIG-10M</t>
  </si>
  <si>
    <t>PDUNV</t>
  </si>
  <si>
    <t xml:space="preserve">PX2-5118R-V2 </t>
  </si>
  <si>
    <t>Raritan</t>
  </si>
  <si>
    <t>PX2-5339R</t>
  </si>
  <si>
    <t>3.2</t>
  </si>
  <si>
    <t>- Added new section:  Hardware Uninstalls.  Based on December 2016 agreement with Government.  Includes four uninstall scenarios:  Full Uninstall, Within Distro, Out of Distro or Temporary Relocation and Uninstall and Replace.  Descriptions and pricing are detailed in the HW Uninstall tab.
- Updated the list of pre-priced hardware based on December 2016 agreement with Government.</t>
  </si>
  <si>
    <t>CISCO 65XX MODULAR SWITCHES</t>
  </si>
  <si>
    <t>CISCO 4XXX MODULAR SWITCHES</t>
  </si>
  <si>
    <t>CISCO LARGE MODULAR ROUTERS (I.E. ASR, 38XX AND 39XX)</t>
  </si>
  <si>
    <t>CISCO SMALL ROUTERS (I.E. DSL, 28XX AND 29XX)</t>
  </si>
  <si>
    <t>CISCO / BROCADE FIXED SWITCHES</t>
  </si>
  <si>
    <t>FIREWALL AND IA DEVICES (I.E. JUNIPER, MCAFEE, RIVERBED)</t>
  </si>
  <si>
    <t>DMW OPTICAL DEVICES</t>
  </si>
  <si>
    <t>Full 
Price Per Unit</t>
  </si>
  <si>
    <t>Within Distro 
Price Per Unit</t>
  </si>
  <si>
    <t>Out of Distro 
Price Per Unit</t>
  </si>
  <si>
    <t>Replace 
Price Per Unit</t>
  </si>
  <si>
    <t>Uninstall Category Descriptions</t>
  </si>
  <si>
    <t>Uninstall Scenarios</t>
  </si>
  <si>
    <t>Within Distro
Price Per Unit</t>
  </si>
  <si>
    <t>Out of Distro
Price Per Unit</t>
  </si>
  <si>
    <t>Full
Price Per Unit</t>
  </si>
  <si>
    <t>Replace
Price Per Unit</t>
  </si>
  <si>
    <t>UNINSTALL PRICING INCLUDES:
   -  IMPLEMENTATION
   -  NETWORK SITE DESIGN
   -  NETWORK DEVICE CONFIGURATION</t>
  </si>
  <si>
    <t>Full Uninstall</t>
  </si>
  <si>
    <t>Network device will be uninstalled, packed, and stored on-site.  If returned to MECH, shipping charges will be added to the rate card.</t>
  </si>
  <si>
    <t>Within Distro</t>
  </si>
  <si>
    <t>Network device will be uninstalled and moved to a new location at the same PSI, and supported by the same distribution point (MDF).  This is an immediate move; the network device must be removed and reinstalled within the same maintenance window.  Specific tasks are outlined in the accompanying tables.</t>
  </si>
  <si>
    <t>Out of Distro or Temporary Relocation</t>
  </si>
  <si>
    <t>Out of Distro - Network device will be uninstalled and moved to a different location at the same PSI supported by a different distribution point (MDF). 
Temporary Relocation – Network device will be temporarily removed and stored for eventual re-use at the same PSI due to building demolition/renovation or other reasons, and it is unclear whether it will be serviced by the same or a different MDF.</t>
  </si>
  <si>
    <t>Uninstall and Replace</t>
  </si>
  <si>
    <t>Network device will be uninstalled, packed, stored on-site and replaced with a different device, due to a number of possible conditions, including end-of-life of existing gear, upgrade to meet new service requirements, etc.  If the network device is returned to MECH, shipping charges will be added to the rate card.</t>
  </si>
  <si>
    <t>SIPR CONFIGURATION (per device)</t>
  </si>
  <si>
    <t>Additional Configuration Tasks for SIPR Uninstalls</t>
  </si>
  <si>
    <t>Hardware Uninstalls</t>
  </si>
  <si>
    <t>Pre-priced HW Uninstalls:</t>
  </si>
  <si>
    <t>UN-1</t>
  </si>
  <si>
    <t>UN-2</t>
  </si>
  <si>
    <t>&lt;Select Scenario&gt;</t>
  </si>
  <si>
    <t>Temporary Relocation</t>
  </si>
  <si>
    <t>Out of Distro</t>
  </si>
  <si>
    <t>Uninstall Hardware Category</t>
  </si>
  <si>
    <t>Hardware Manufacturer and Model/Part #</t>
  </si>
  <si>
    <t>Uninstall Scenario</t>
  </si>
  <si>
    <t>UN-3</t>
  </si>
  <si>
    <t>UN-4</t>
  </si>
  <si>
    <t>UN-5</t>
  </si>
  <si>
    <t>UN-6</t>
  </si>
  <si>
    <t>UN-7</t>
  </si>
  <si>
    <t>UN-8</t>
  </si>
  <si>
    <t>UN-9</t>
  </si>
  <si>
    <t>UN-10</t>
  </si>
  <si>
    <t>UN-11</t>
  </si>
  <si>
    <t>UN-12</t>
  </si>
  <si>
    <t>UN-13</t>
  </si>
  <si>
    <t>UN-14</t>
  </si>
  <si>
    <t>UN-15</t>
  </si>
  <si>
    <t>UN-16</t>
  </si>
  <si>
    <t>UN-17</t>
  </si>
  <si>
    <t>UN-18</t>
  </si>
  <si>
    <t>UN-19</t>
  </si>
  <si>
    <t>UN-20</t>
  </si>
  <si>
    <t>Cisco</t>
  </si>
  <si>
    <t>SWITCH, CISCO CATALYST 2960S, 24 GE PORTS,  DUAL 10G SFP+ PORTS, LAN BASE, WS-C2960S-24TD-L, MRN223262</t>
  </si>
  <si>
    <t>WS-C2960S-24TD-L</t>
  </si>
  <si>
    <t>SWITCH, CISCO CATALYST 4500-X, 16 10GE PORTS, IP BASE, DUAL C4KX-PWR-750AC, WS-C4500X-16SFP+, MRN222254</t>
  </si>
  <si>
    <t>MRN222254</t>
  </si>
  <si>
    <t>SWITCH, CISCO CATALYST 4500 E BUNDLE, 3-SLOT CHASSIS, DUAL 1300W PS, SUP 7L-E, WS-C4503-E-SUP7LE-1300W, MRN223228</t>
  </si>
  <si>
    <t>MRN223228</t>
  </si>
  <si>
    <t>SWITCH, CISCO CATALYST 4500 E BUNDLE, 3-SLOT CHASSIS, DUAL 1300W PS, SUP 7-E, WS-C4503-E-SUP7E-1300W, MRN229332</t>
  </si>
  <si>
    <t>MRN229332</t>
  </si>
  <si>
    <t>SWITCH, CISCO CATALYST 4500 E BUNDLE, 6-SLOT CHASSIS, DUAL 1300W PS, SUP 7L-E, WS-C4506-E-SUP7LE-1300W, MRN229333</t>
  </si>
  <si>
    <t>MRN229333</t>
  </si>
  <si>
    <t>SWITCH, CISCO CATALYST 4500 E BUNDLE, 6-SLOT CHASSIS, DUAL 1300W PS, SUP 7-E, WS-C4506-E-SUP7E-1300W, MRN223231</t>
  </si>
  <si>
    <t>MRN223231</t>
  </si>
  <si>
    <t>SWITCH, CISCO CATALYST 4500 E BUNDLE, 6-SLOT CHASSIS, DUAL 2800W PS, SUP 7L-E, WS-C4506-E-SUP7LE-2800W, MRN223232</t>
  </si>
  <si>
    <t>MRN223232</t>
  </si>
  <si>
    <t>SWITCH, CISCO CATALYST 4500 E BUNDLE, 6-SLOT CHASSIS, DUAL 2800W PS, SUP 7-E, WS-C4506-E-SUP7E-2800W, MRN223235</t>
  </si>
  <si>
    <t>MRN223235</t>
  </si>
  <si>
    <t>SWITCH, CISCO CATALYST 4500 E BUNDLE, 6-SLOT CHASSIS, DUAL 4200W PS, SUP 7L-E, WS-C4506-E-SUP7LE-4200W, MRN223236</t>
  </si>
  <si>
    <t>MRN223236</t>
  </si>
  <si>
    <t>SWITCH, CISCO CATALYST 4500 E BUNDLE, 6-SLOT CHASSIS, DUAL 4200W PS, SUP 7-E, WS-C4506-E-SUP7E-4200W, MRN223240</t>
  </si>
  <si>
    <t>MRN223240</t>
  </si>
  <si>
    <t>MRN222277</t>
  </si>
  <si>
    <t>MRN222275</t>
  </si>
  <si>
    <t>MRN223242</t>
  </si>
  <si>
    <t>MRN223243</t>
  </si>
  <si>
    <t>MRN223244</t>
  </si>
  <si>
    <t>MRN223245</t>
  </si>
  <si>
    <t>SWITCH MODULE, CISCO CATALYST 4500 NETWORK MODULE, 48 10/100/1000 RJ-45 PORTS, WS-X4748-RJ45-E++=, MRN221210</t>
  </si>
  <si>
    <t>WS-X4748-RJ45-E++=</t>
  </si>
  <si>
    <t>SWITCH MODULE, CISCO CATALYST 4500 NETWORK MODULE, 48 10/100/1000 RJ-45 POE PORTS, WS-X4748-UPOE+E++=, MRN222257</t>
  </si>
  <si>
    <t>WS-X4748-UPOE+E++=</t>
  </si>
  <si>
    <t>SWITCH MODULE, CISCO CATALYST 4500 NETWORK MODULE, 12 SFP+ PORTS, WS-X4712-SFP+E++=, MRN229130</t>
  </si>
  <si>
    <t>WS-X4712-SFP+E++=</t>
  </si>
  <si>
    <t>SWITCH MODULE, CISCO CATALYST 4500 NETWORK MODULE, 6 10GB X2 or 12 1GB SFP PORTS, WS-X4606-X2-E++=, MRN234273</t>
  </si>
  <si>
    <t>SWITCH MODULE, CISCO CATALYST 4500 NETWORK MODULE, 40 SFP or 80 C-SFP PORTS, WS-X4640-CSFP-E++=, MRN234271</t>
  </si>
  <si>
    <t>WS-X4640-CSFP-E++=</t>
  </si>
  <si>
    <t>SWITCH, CISCO CATALYST 6500 E BUNDLE, 3-SLOT CHASSIS, DUAL 1400W PS, SUP VS-S2T-10G, WS-C6503-E-1400W, MRN223249</t>
  </si>
  <si>
    <t>MRN223249</t>
  </si>
  <si>
    <t>SWITCH, CISCO CATALYST 6500 E BUNDLE, 6-SLOT CHASSIS, DUAL 3000W PS, SUP VS-S2T-10G, WS-C6506-E-3000W, MRN223255</t>
  </si>
  <si>
    <t>MRN223255</t>
  </si>
  <si>
    <t>SWITCH, CISCO CATALYST 6500 E BUNDLE, 6-SLOT CHASSIS, DUAL 4000W PS, SUP VS-S2T-10G, WS-C6506-E-4000W, MRN227798</t>
  </si>
  <si>
    <t>MRN227798</t>
  </si>
  <si>
    <t>SWITCH, CISCO CATALYST 6500 E BUNDLE, 9-SLOT CHASSIS, DUAL 3000W PS, SUP VS-S2T-10G, WS-C6509-E-3000W, MRN223256</t>
  </si>
  <si>
    <t>MRN223256</t>
  </si>
  <si>
    <t>SWITCH, CISCO CATALYST 6500 E BUNDLE, 9-SLOT CHASSIS, DUAL 4000W PS, SUP VS-S2T-10G, WS-C6509-E-4000W, MRN224735</t>
  </si>
  <si>
    <t>MRN224735</t>
  </si>
  <si>
    <t>SWITCH MODULE, CISCO CATALYST 6500 SUPERVISOR ENGINE, 2 10GB X2 PORTS,  3 SFP+ PORTS, ADV IP SERVICES, VS-S2T-10G=, MRN226425</t>
  </si>
  <si>
    <t>VS-S2T-10G=</t>
  </si>
  <si>
    <t>SWITCH MODULE, CISCO CATALYST 6500 NETWORK MODULE, 48 10/100/1000 RJ-45 PORTS, DFC4 S, WS-X6848-TX-2T++=, MRN223389</t>
  </si>
  <si>
    <t>WS-X6848-TX-2T++=</t>
  </si>
  <si>
    <t>SWITCH MODULE, CISCO CATALYST 6500 NETWORK MODULE, 24 SFP PORTS, DFC4 S, WS-X6824-SFP-2T++=, MRN223386</t>
  </si>
  <si>
    <t>WS-X6824-SFP-2T++=</t>
  </si>
  <si>
    <t>SWITCH MODULE, CISCO CATALYST 6500 NETWORK MODULE, 48 SFP PORTS, WS-F6K-DFC4-A, WS-X6848-SFP-2T++=, MRN224742</t>
  </si>
  <si>
    <t>WS-X6848-SFP-2T++=</t>
  </si>
  <si>
    <t>SWITCH MODULE, CISCO CATALYST 6500 NETWORK MODULE, 16 10GE PORTS, WS-F6K-DFC4-E, WS-X6816-10G-2T++=, MRN220784</t>
  </si>
  <si>
    <t>TRANSCEIVER CONVERTER, CISCO TWINGIG CONVERTER MODULE, CVR-X2-SFP=, MRN221182</t>
  </si>
  <si>
    <t>CVR-X2-SFP=</t>
  </si>
  <si>
    <t>TRANSCEIVER, CISCO SFP, 1000BASE-LX/LH, SMF, LC CONNECTOR, GLC-LH-SMD++=, MRN220968</t>
  </si>
  <si>
    <t>GLC-LH-SMD++=</t>
  </si>
  <si>
    <t>TRANSCEIVER, CISCO SFP, 1000BASE-SX MMF, LC CONNECTOR, GLC-SX-MMD++=, MRN226864</t>
  </si>
  <si>
    <t>GLC-SX-MMD++=</t>
  </si>
  <si>
    <t>TRANSCEIVER, CISCO SFP, 1000BASE-T, RJ-45 CONNECTOR, GLC-T++=, MRN220969</t>
  </si>
  <si>
    <t>GLC-T++=</t>
  </si>
  <si>
    <t>TRANSCEIVER, CISCO SFP, 10GBASE-LR, SMF, LC CONNECTOR, SFP-10G-LR++=, MRN220205</t>
  </si>
  <si>
    <t>SFP-10G-LR++=</t>
  </si>
  <si>
    <t>TRANSCEIVER, CISCO SFP, 10GBASE-SR, MMF, LC CONNECTOR, SFP-10G-SR++=, MRN220206</t>
  </si>
  <si>
    <t>SFP-10G-SR++=</t>
  </si>
  <si>
    <t>TRANSCEIVER, CISCO X2, 10GBASE-LR, SMF, SC CONNECTOR, X2-10GB-LR++=, MRN221237</t>
  </si>
  <si>
    <t>X2-10GB-LR++=</t>
  </si>
  <si>
    <t>TRANSCEIVER, CISCO X2, 10GBASE-SR, MMF, SC CONNECTOR, X2-10GB-SR++=, MRN220207</t>
  </si>
  <si>
    <t>X2-10GB-SR++=</t>
  </si>
  <si>
    <t>TRANSCEIVER, CISCO XFP, 10GBASE-SR , MMF, LC CONNECTOR, XFP-10G-MM-SR=, MRN227350</t>
  </si>
  <si>
    <t>XFP-10G-MM-SR=</t>
  </si>
  <si>
    <t>TRANSCEIVER, JUNIPER SRX SFP, 1000BASE-SX, MMF, LC CONNECTOR, SRX-SFP-1GE-SX, MRN226171</t>
  </si>
  <si>
    <t>SRX-SFP-1GE-SX</t>
  </si>
  <si>
    <t>Routers and Other Active Gear</t>
  </si>
  <si>
    <t>ROUTER, CISCO ASR1001-X BUNDLE, 6 GE, 8GB DRAM, DUAL P/S, ADV IP SERVICES LICENSE, ASR1001-X, MRN226419</t>
  </si>
  <si>
    <t>MRN226419</t>
  </si>
  <si>
    <t>MRN223135</t>
  </si>
  <si>
    <t>MRN226431</t>
  </si>
  <si>
    <t>MRN223137</t>
  </si>
  <si>
    <t>MRN226430</t>
  </si>
  <si>
    <t>ROUTER, CISCO 2921-SEC BUNDLE, 3 GE, 4 EHWIC, 3 DSP, 1 SM, 1GB CF, 1GB DRAM, CISCO2921-SEC/K9, MRN226868</t>
  </si>
  <si>
    <t>MRN226868</t>
  </si>
  <si>
    <t>ROUTER, CISCO 3925 BUNDLE, 3 GE, 4 EHWIC, 4 DSP, 2 SM, 512MB CF, 2GB DRAM, DUAL PS, CISCO3925/K9, MRN222258</t>
  </si>
  <si>
    <t>Cisco3925/K9</t>
  </si>
  <si>
    <t>ROUTER, CISCO 3925 BUNDLE, 3 GE, 4 EHWIC, 4 DSP, 2 SM, 512MB CF, 2GB DRAM, DUAL PS, APPX LICENSE, CISCO3925/K9, MRN224244</t>
  </si>
  <si>
    <t>ROUTER, CISCO 3945 BUNDLE, 3 GE, 4 EHWIC, 4 DSP, 2 SM, 512MB CF, 2GB DRAM, DUAL PS, CISCO3945/K9, MRN224767</t>
  </si>
  <si>
    <t>MRN224767</t>
  </si>
  <si>
    <t>ROUTER, CISCO 3945 BUNDLE, 3 GE, 4 EHWIC, 4 DSP, 2 SM, 512MB CF, 2GB DRAM, DUAL PS, APPX LICENSE, CISCO3945/K9, MRN226217</t>
  </si>
  <si>
    <t>MRN226217</t>
  </si>
  <si>
    <t>ROUTER, CISCO ASR1002-X BUNDLE, 6 GE, 4GB DRAM, DUAL P/S, ADV IP SERVICES LICENSE, ASR1002-X, MRN223179</t>
  </si>
  <si>
    <t>MRN223179</t>
  </si>
  <si>
    <t>ROUTER MODULE, CISCO NETWORK INTERFACE CARD, 8-PORT, 10/100/1000 ETHERNET SWITCH, EHWIC-D-8ESG=, MRN229177</t>
  </si>
  <si>
    <t>EHWIC-D-8ESG=</t>
  </si>
  <si>
    <t>ROUTER MODULE, CISCO VOICE/WAN MODULE, 2-PORT, 3RD GEN, MULTIFLEX TRUNK MODULE, VWIC3-2MFT-T1/E1=, MRN221891</t>
  </si>
  <si>
    <t>VWIC3-2MFT-T1/E1=</t>
  </si>
  <si>
    <t>ROUTER MODULE, CISCO WAN INTERFACE CARD, 1-PORT, T1/FRACTIONAL T1 DSU/CSU, HWIC-1DSU-T1=, MRN224920</t>
  </si>
  <si>
    <t>HWIC-1DSU-T1=</t>
  </si>
  <si>
    <t>ROUTER MODULE, CISCO WAN MODULE, 1-PORT T3/E3 SERVICE MODULE, SM-X-1T3/E3++=, MRN223270</t>
  </si>
  <si>
    <t>SM-X-1T3/E3++=</t>
  </si>
  <si>
    <t>REDUNDANT POWER SYSTEM, CISCO RPS2300, RPS 2300 CHASSIS, BLOWER, PS BLANK, PWR-RPS2300=, MRN218423</t>
  </si>
  <si>
    <t>PWR-RPS2300=</t>
  </si>
  <si>
    <t>REDUNDANT POWER SYSTEM, CISCO RPS2300 BUNDLE, RPS 2300 CHASSIS, BLOWER, DUAL C3K-PWR-750WAC, CAB-RPS2300-E, PWR-RPS2300, MRN224745</t>
  </si>
  <si>
    <t>MRN224745</t>
  </si>
  <si>
    <t>REDUNDANT POWER SYSTEM, CISCO RPS2300 BUNDLE, RPS 2300 CHASSIS, BLOWER, DUAL C3K-PWR-1150WAC, CAB-RPS2300-E, PWR-RPS2300, MRN226432</t>
  </si>
  <si>
    <t>MRN226432</t>
  </si>
  <si>
    <t>SERVICES GATEWAY, JUNIPER SRX210, 2 GE PORTS, 6 FE PORTS, PIM SLOT,  2GB DRAM, 2GB FLASH, SRX210HE2-TAA, MRN227756</t>
  </si>
  <si>
    <t>SRX210HE2-TAA</t>
  </si>
  <si>
    <t>SERVICES GATEWAY, JUNIPER SRX 550 BUNDLE, 6 10/100/1000 RJ-45 PORTS, 4 SFP PORTS, 645W AC POE PS, RACK MOUNT KIT, SRX550-645AP-TAA, MRN227757</t>
  </si>
  <si>
    <t>SRX550-645AP-TAA</t>
  </si>
  <si>
    <t>SERVICES GATEWAY, JUNIPER SRX 650 BUNDLE, 4 10/100/1000 RJ-45 PORTS, 645W AC POE PS, RACK MOUNT KIT, SRX650B-SRE6-645AP-TAA, MRN227651</t>
  </si>
  <si>
    <t>SRX650B-SRE6-645AP-TAA</t>
  </si>
  <si>
    <t>SERVICES GATEWAY, JUNIPER SRX 3600 CHASSIS, FAN,  ROUTING ENGINE,  SFB-12GE, SRX3600BASE-AC, MRN227758</t>
  </si>
  <si>
    <t>SRX3600BASE-AC</t>
  </si>
  <si>
    <t>CONTROL PROCESSOR, JUNIPER, 2 10GE SFP+ PORTS, INTEGRATED NPC AND IOC, SRX1K3K-NP-2XGE-SFPP, MRN226155</t>
  </si>
  <si>
    <t>SRX1K3K-NP-2XGE-SFPP</t>
  </si>
  <si>
    <t>GATEWAY MODULE, JUNIPER SRX 3600 CLUSTERING MODULE, SRX3K-CRM, MRN231759</t>
  </si>
  <si>
    <t>SRX3K-CRM</t>
  </si>
  <si>
    <t>GATEWAY MODULE, JUNIPER SRX 3600 NETWORK MODULE, 8 10/100/1000 RJ-45 PORTS, 4 SFP PORTS, SRX3K-SFB-12GE, MRN226167</t>
  </si>
  <si>
    <t>SRX3K-SFB-12GE</t>
  </si>
  <si>
    <t>GATEWAY MODULE, JUNIPER SRX 3600 NETWORK PROCESSING CARD, SRX3K-NPC, MRN226161</t>
  </si>
  <si>
    <t>SRX3K-NPC</t>
  </si>
  <si>
    <t>GATEWAY MODULE, JUNIPER SRX 3600 POWER ENTRY MODULE, SRX3K-PWR-AC, MRN226163</t>
  </si>
  <si>
    <t>SRX3K-PWR-AC</t>
  </si>
  <si>
    <t>GATEWAY MODULE, JUNIPER SRX 3600 ROUTING ENGINE, 1200MHZ PROCESSOR, 1GB MEMORY, SRX3K-RE-12-10, MRN226165</t>
  </si>
  <si>
    <t>SRX3K-RE-12-10</t>
  </si>
  <si>
    <t>GATEWAY MODULE, JUNIPER SRX 3600 SERVICES PROCESSING CARD, 1 GHz CPU,  4 GB RAM, SRX3K-SPC-1-10-40, MRN226168</t>
  </si>
  <si>
    <t>SRX3K-SPC-1-10-40</t>
  </si>
  <si>
    <t>POWER SUPPLY, JUNIPER POWER SUPPLY FOR SRX550/SRX650, 645W AC, POE, SRX600-PWR-645AC-POE, MRN222899</t>
  </si>
  <si>
    <t>SRX600-PWR-645AC-POE</t>
  </si>
  <si>
    <t>POWER CORD, JUNIPER AC POWER CABLE,  NEMA 5-15 TO C19 AT 70-80MM, 15A/125V, CBL-PWR-C19S-151-US15, MRN226153</t>
  </si>
  <si>
    <t>SVC-ND-SRX210</t>
  </si>
  <si>
    <t>SVC-ND-SRX550</t>
  </si>
  <si>
    <t>SVC-ND-SRX650</t>
  </si>
  <si>
    <t>SVC-ND-SRX3600</t>
  </si>
  <si>
    <t>SVC-ND-SRX3-IOC</t>
  </si>
  <si>
    <t>SVC-ND-SRX3-NPC</t>
  </si>
  <si>
    <t>SVC-ND-SRX3-SPC</t>
  </si>
  <si>
    <t>SVC-ND-SRX1K3KNP</t>
  </si>
  <si>
    <t>MEDIA CONVERTER, B+B SMARTWORX, IMCV-S2MM/155, SM1310/LONG-SC, MM1300-SC, 80KM, 850-14550, MRN226546</t>
  </si>
  <si>
    <t>MEDIA CONVERTER, B+B SMARTWORX, IMCV-S2MM/155, SM1310/PLUS-SC, MM850-SC, 850-14570, MRN226547</t>
  </si>
  <si>
    <t>MEDIA CONVERTER, B+B SMARTWORX, IMCV-S2MM/155, SM1310/PLUS-SC, MM1300-SC, 850-14530, MRN226545</t>
  </si>
  <si>
    <t>MEDIA CONVERTER, B+B SMARTWORX, MCBASIC, TX/FX-SM1310/LONG-SC, 855-10934, MRN226543</t>
  </si>
  <si>
    <t>MEDIA CONVERTER, B+B SMARTWORX, MCBASIC, TX/FX-SM1310/PLUS-SC, 855-10932, MRN226542</t>
  </si>
  <si>
    <t>CHASSIS, B+B SMARTWORX, MEDIACHASSIS/1, 1-SLOT, 850-13100, MRN226548</t>
  </si>
  <si>
    <t>RACKMOUNT SHELF, B+B SMARTWORX, MCBASIC/MEDIACHASSIS, 895-39949, MRN226549</t>
  </si>
  <si>
    <t>Cabinets and Misc.</t>
  </si>
  <si>
    <t>Holocom</t>
  </si>
  <si>
    <t>CABINET, HOLOCOM, HIGH SECURITY PULL BOX, SECURE SURFACE MOUNT ENCLOSURE, 12Hx18Wx6D, SEC-WM-PB5-H1, MRN220027</t>
  </si>
  <si>
    <t>SEC-WM-PB5-H1</t>
  </si>
  <si>
    <t>CABINET, HOLOCOM, LOW PROFILE WALL MOUNT CABINET, 42Hx29Wx9.5D, AGW-WM-19S-L1, MRN225480</t>
  </si>
  <si>
    <t>AGW-WM-19S-L1</t>
  </si>
  <si>
    <t>CABINET, LIEBERT, 24RU, 30 IN DEEP, 300CFM FAN KIT, DC-440-DCE, MRN235243</t>
  </si>
  <si>
    <t>DC-440-DCE</t>
  </si>
  <si>
    <t>CABINET, LIEBERT, 42RU, 30 IN DEEP, 300CFM FAN KIT, DC-780-DCE, MRN235245</t>
  </si>
  <si>
    <t>DC-780-DCE</t>
  </si>
  <si>
    <t>CABINET, LIEBERT, 42RU, 38 IN DEEP, 300CFM FAN KIT, DC-788-DCE, MRN235247</t>
  </si>
  <si>
    <t>DC-788-DCE</t>
  </si>
  <si>
    <t>Trusted Systems</t>
  </si>
  <si>
    <t>CABINET, TRUSTED SYSTEMS IPS CONTAINER, GSA CLASS 5, 13HX15WX24D, X09 LOCK, TSM131V24SC, MRN220001</t>
  </si>
  <si>
    <t>TSM131V24SC</t>
  </si>
  <si>
    <t>Sargent &amp; Greenleaf</t>
  </si>
  <si>
    <t>LOCK, SARGENT &amp; GREENLEAF, TYPE 8077, 8077AD, MRN220266</t>
  </si>
  <si>
    <t>8077AD</t>
  </si>
  <si>
    <t>UPS, LIEBERT 1KVA UPS, PLUS 1 YR WARRANTY, GVG3-1000RT-120, MRN230610</t>
  </si>
  <si>
    <t>GVG3-1000RT-120+1YR</t>
  </si>
  <si>
    <t>GVG3-1500RT-120+1YR</t>
  </si>
  <si>
    <t>UPS, LIEBERT 2KVA UPS, PLUS 1 YR WARRANTY, GVG3-2000RT-120, MRN222113</t>
  </si>
  <si>
    <t>GVG3-2000RT-120</t>
  </si>
  <si>
    <t>UPS, LIEBERT 3KVA UPS, PLUS 1 YR WARRANTY, GVG3-3000RT-120, MRN222114</t>
  </si>
  <si>
    <t>GVG3-3000RT-120</t>
  </si>
  <si>
    <t>UPS BATTERY, LIEBERT 48V BATTERY, 2U, PLUS 1 YR WARRANTY, GVG3-48BKATT, MRN222120</t>
  </si>
  <si>
    <t>GVG3-48VBATT</t>
  </si>
  <si>
    <t>UPS BATTERY, LIEBERT 72V BATTERY, 2U, PLUS 1 YR WARRANTY, GVG3-72VBATT, MRN222109</t>
  </si>
  <si>
    <t>GVG3-72VBATT</t>
  </si>
  <si>
    <t>Cyberpower</t>
  </si>
  <si>
    <t>UPS, CYBERPOWER SYSTEMS SMART APP UPS, 5KVA, 208V, 5 OUTLETS, RACK MOUNT, PR5000LCDRTXL5UTAA, MRN227046</t>
  </si>
  <si>
    <t>PR5000LCDRTXL5UTAA</t>
  </si>
  <si>
    <t>APC</t>
  </si>
  <si>
    <t>ATS, APC RACK AUTOMATIC TRANSFER SWITCH, 100-120V, DUAL 5-15P INPUT, TEN 5-15R OUTPUT, AP7750A, MRN220551</t>
  </si>
  <si>
    <t>AP7750A</t>
  </si>
  <si>
    <t>Emerson Power</t>
  </si>
  <si>
    <t>PDU, EMERSON POWER VERTICAL RACK POWERSTRIP, 120V, 20AMP, 9 NEMA L5-20 OUTLETS, 5 WITH T-SLOT , 35351041, MRN223476</t>
  </si>
  <si>
    <t>PDU, LIEBERT RACK MOUNT POWERSTRIP, 120V, 15AMP,  9 NEMA 5-15R OUTLETS, NEMA 5-15 PLUG, 35351011, MRN223475</t>
  </si>
  <si>
    <t>PDU, LIEBERT VERTICAL RACK MOUNT POWERSTRIP, 120V, 20AMP,  12 NEMA 5-20 T-SLOT OUTLETS, NEMA 5-20 PLUG, 35351051, MRN223477</t>
  </si>
  <si>
    <t>Tripp Lite</t>
  </si>
  <si>
    <t>PDU, TRIPP LITE RACK MOUNT POWERSTRIP, 120V, 20AMP,  12 C13 OUTLETS, 2 C19 OUTLETS, C20 PLUG, PDUNV, MRN222253</t>
  </si>
  <si>
    <t>Hewlett Packard</t>
  </si>
  <si>
    <t>CABINET RAIL KIT, HP 1U, SMALL FORM FACTOR, BALL BEARING RAIL KIT, 663201-B21, MRN227094</t>
  </si>
  <si>
    <t>663201-B21</t>
  </si>
  <si>
    <t>UPS RAILS, LIEBERT FIXED RAILS, 30-INCH AND 38-INCH DEPTH RACKS, 201193G1L, MRN219911</t>
  </si>
  <si>
    <t>201193G1L</t>
  </si>
  <si>
    <t>UPS RAILS, LIEBERT TELESCOPING RAILS, RMKIT18-32, MRN219892</t>
  </si>
  <si>
    <t>RMKIT18-32</t>
  </si>
  <si>
    <t>UPS SHELF, LIEBERT CENTER RACKMOUNT SHELF, 19-INCH WIDTH, 2UTELECOMRKIT, MRN220029</t>
  </si>
  <si>
    <t>2UTELECOMRKIT</t>
  </si>
  <si>
    <t>UPS SHELF, LIEBERT FIXED RACKMOUNT SHELF, 153018G1L, MRN219913</t>
  </si>
  <si>
    <t>153018G1L</t>
  </si>
  <si>
    <t>UPS SHELF, LIEBERT, FLUSH-MOUNTING, 19-INCH WIDTH, RS500, MRN219915</t>
  </si>
  <si>
    <t>RS500</t>
  </si>
  <si>
    <t>UPS SHELF, LIEBERT, CENTER-MOUNTING, 19-INCH WIDTH, RS600, MRN222131</t>
  </si>
  <si>
    <t>RS600</t>
  </si>
  <si>
    <t>Siemon</t>
  </si>
  <si>
    <t>CABLE MANAGEMENT CHANNEL, SIEMON VERTICAL PATCHING CHANNEL, 2.1M X 152MM, RS-CNL, MRN222303</t>
  </si>
  <si>
    <t>RS-CNL</t>
  </si>
  <si>
    <t>CABLE MANAGEMENT RACK, SIEMON RS3 RACK, 45RU, VERTICAL CHANNEL, HINGED COVERS, RS3-07-S, MRN222307</t>
  </si>
  <si>
    <t>RS3-07-S</t>
  </si>
  <si>
    <t>RWM-1</t>
    <phoneticPr fontId="0" type="noConversion"/>
  </si>
  <si>
    <t>FIBER ENCLOSURE, SIEMON RACK MOUNT INTERCONNECT CENTER, 24 TO 96 PORTS, RIC3-24-01, MRN219945</t>
  </si>
  <si>
    <t>FIBER ENCLOSURE, SIEMON WALL MOUNT INTERCONNECT CENTER,  MINI ENCLOSURE, BLACK, SWIC3-M-01, MRN224884</t>
  </si>
  <si>
    <t>Corning Cable</t>
  </si>
  <si>
    <t>CONNECTOR, CORNING CABLE, SMF, SC CONNECTOR, ANAEROBIC, BLUE HOUSING, WHITE BOOT, 95-201-41-SP, MRN215518</t>
  </si>
  <si>
    <t>LABELS, BRADY LABEL CARTRIDGE, IDPAL, CLOTH, 0.750 IN X 16 FT, M21-750-499, MRN221624</t>
  </si>
  <si>
    <t>M21-750-499</t>
  </si>
  <si>
    <t>LABELS, BRADY LABEL CARTRIDGE, IDXPERT, 1 IN X .375 IN, 250 LABELS, XSL-19-427, MRN228351</t>
  </si>
  <si>
    <t>XSL-19-427</t>
  </si>
  <si>
    <t>LABELS, BRADY LABEL CARTRIDGE, IDXPERT, 1 IN X .5 IN, 250 LABELS, XSL-103-427, MRN222285</t>
  </si>
  <si>
    <t>LABELS, BRADY LABEL CARTRIDGE, XPERT, OUTDOOR VINYL .5 IN X 30 FT, XC-500-595-WT-BK, MRN222288</t>
  </si>
  <si>
    <t>CABLE TIES, C2G CABLE TIES, 7.5 IN, BLACK, PACK OF 50, 43222, MRN226418</t>
  </si>
  <si>
    <t>Panduit</t>
  </si>
  <si>
    <t>CABLE TIES, PANDUIT VELCO, BLACK, 8 IN X .50 IN, PACK OF 10, HLT2I-X0, MRN227023</t>
  </si>
  <si>
    <t>CABLE TIES, PANDUIT, NATURAL, 11.5 IN, PACK OF 100, PLT3S-C, MRN227024</t>
  </si>
  <si>
    <t>VELCRO ROLL, PANDUIT, BLACK, .75 IN X 75 FT, HLS-75R0, MRN221599</t>
  </si>
  <si>
    <t>VELCRO ROLL, PANDUIT, CRANBERRY, .75 IN X 75 FT, HLS-75R2, MRN227025</t>
  </si>
  <si>
    <t>Copper Patch Cables</t>
  </si>
  <si>
    <t>COPPER PATCH CABLE, CAT6, RJ45, 3FT, BLUE, LYNN ELEC, CAT6-03-BL, MRN226751</t>
  </si>
  <si>
    <t>COPPER PATCH CABLE, CAT6, RJ45, 5FT, BLUE, LYNN ELEC, CAT6-05-BL, MRN226756</t>
  </si>
  <si>
    <t>COPPER PATCH CABLE, CAT6, RJ45, 7FT, BLUE, LYNN ELEC, CAT6-07-BL, MRN226761</t>
  </si>
  <si>
    <t>COPPER PATCH CABLE, CAT6, RJ45, 10FT, BLUE, LYNN ELEC, CAT6-10-BL, MRN226734</t>
  </si>
  <si>
    <t>COPPER PATCH CABLE, CAT6, RJ45, 14 FT, BLUE, LYNN ELEC, CAT6-14-BL, MRN226740</t>
  </si>
  <si>
    <t>COPPER PATCH CABLE, CAT6, RJ45, 25FT, BLUE, LYNN ELEC, CAT6-25-BL, MRN226745</t>
  </si>
  <si>
    <t>COPPER PATCH CABLE, CAT6, RJ45, 3FT, RED, LYNN ELEC, CAT6-03-RD, MRN226754</t>
  </si>
  <si>
    <t>COPPER PATCH CABLE, CAT6, RJ45, 5FT, RED, LYNN ELEC, CAT6-05-RD, MRN226760</t>
  </si>
  <si>
    <t>COPPER PATCH CABLE, CAT6, RJ45, 7FT, RED, LYNN ELEC, CAT6-07-RD, MRN226762</t>
  </si>
  <si>
    <t>COPPER PATCH CABLE, CAT6, RJ45, 10FT, RED, LYNN ELEC, CAT6-10-RD, MRN226737</t>
  </si>
  <si>
    <t>COPPER PATCH CABLE, CAT6, RJ45, 14FT, RED, LYNN ELEC, CAT6-14-RD, MRN226743</t>
  </si>
  <si>
    <t>COPPER PATCH CABLE, CAT6, RJ45, 25FT, RED, LYNN ELEC, CAT6-25-RD, MRN226749</t>
  </si>
  <si>
    <t>COPPER PATCH CABLE, CAT6, RJ45, 3FT, GREEN, LYNN ELEC, CAT6-03-GR, MRN226753</t>
  </si>
  <si>
    <t>COPPER PATCH CABLE, CAT6, RJ45, 5FT, GREEN, LYNN ELEC, CAT6-05-GR, MRN226758</t>
  </si>
  <si>
    <t>COPPER PATCH CABLE, CAT6, RJ45,7FT, GREEN, LYNN ELEC, CAT6-07-GR, MRN226763</t>
  </si>
  <si>
    <t>COPPER PATCH CABLE, CAT6, RJ45, 10FT, GREEN, LYNN ELEC, CAT6-10-GR, MRN226736</t>
  </si>
  <si>
    <t>COPPER PATCH CABLE, CAT6, RJ45, 14FT, GREEN, LYNN ELEC, CAT6-14-GR, MRN226741</t>
  </si>
  <si>
    <t>COPPER PATCH CABLE, CAT6, RJ45, 25FT, GREEN, LYNN ELEC, CAT6-25-GR, MRN226747</t>
  </si>
  <si>
    <t>COPPER PATCH CABLE, CAT5E, RJ45, 7FT, ORANGE, LYNN ELEC, CAT5E-7-OR, MRN226725</t>
  </si>
  <si>
    <t>COPPER PATCH CABLE, CAT6, RJ45, 3FT, BLUE, UNSHIELDED, LYNN ELEC, CAT6US-03-BL, MRN227084</t>
  </si>
  <si>
    <t>CAT6US-03-BL</t>
  </si>
  <si>
    <t>COPPER PATCH CABLE, CAT6, RJ45, 7FT, ORANGE, UNSHIELDED, PVC, NO BOOTS, LYNN ELEC, CAT6US-07-OR, MRN227344</t>
  </si>
  <si>
    <t>CAT6US-07-OR</t>
  </si>
  <si>
    <t>COPPER PATCH CABLE, CAT6, RJ45, 10FT, BLUE, UNSHIELDED, LYNN ELEC, CAT6US-10-BL, MRN227085</t>
  </si>
  <si>
    <t>CAT6US-10-BL</t>
  </si>
  <si>
    <t>COPPER PATCH CABLE, CAT6, RJ45, 25FT, GREEN, PLENUM, LYNN ELEC, CAT6PL-25-GR, MRN226730</t>
  </si>
  <si>
    <t>CAT6PL-25-GR</t>
  </si>
  <si>
    <t>MMF Patch Cables</t>
  </si>
  <si>
    <t>FIBER PATCH CABLE, MMF, LC-LC, 1Meter, DUPLEX, 50 MICRON, ORANGE, LYNN ELEC, 4340481003, MRN222264</t>
  </si>
  <si>
    <t>FIBER PATCH CABLE, MMF, LC-LC, 3Meter, DUPLEX, 50 MICRON, LYNN ELEC, LCLCDUPMM50-3M, MRN226779</t>
  </si>
  <si>
    <t>FIBER PATCH CABLE, MMF, LC-LC, 10Meter, DUPLEX, 50 MICRON, LYNN ELEC, LCLCDUPMM50-10M, MRN226764</t>
  </si>
  <si>
    <t>LCLCDUPMM50-10M</t>
  </si>
  <si>
    <t>FIBER PATCH CABLE, MMF, MTRJ-LC, 3Meter, DUPLEX, 50 MICRON, ORANGE, CONTROL CABLE, 60897-3, MRN225316</t>
  </si>
  <si>
    <t>60897-3</t>
  </si>
  <si>
    <t>FIBER PATCH CABLE, MMF, LC-LC, 3Meter, DUPLEX, 62.5 MICRON, ORANGE, LYNN ELEC, LCLCDUPMM-3M, MRN226781</t>
  </si>
  <si>
    <t>FIBER PATCH CABLE, MMF, LC-LC, 10Meter, DUPLEX, 62.5 MICRON, ORANGE, LYNN ELEC, LCLCDUPMM-10M, MRN220238</t>
  </si>
  <si>
    <t>FIBER PATCH CABLE, MMF, LC-SC, 1Meter, DUPLEX, 62.5 MICRON, ORANGE, LYNN ELEC, 4340481161, MRN224641</t>
  </si>
  <si>
    <t>FIBER PATCH CABLE, MMF, LC-SC, 2Meter, DUPLEX, 62.5 MICRON, ORANGE, LYNN ELEC, LCSCDUPMM-2M, MRN226778</t>
  </si>
  <si>
    <t>LCSCDUPMM-2M</t>
  </si>
  <si>
    <t>FIBER PATCH CABLE, MMF, LC-SC, 4Meter, DUPLEX, 62.5 MICRON, ORANGE, LYNN ELEC, 4340481163, MRN226783</t>
  </si>
  <si>
    <t>FIBER PATCH CABLE, MMF, LC-SC, 5Meter, DUPLEX, 62.5 MICRON, ORANGE, LYNN ELEC, LCSCDUPMM-5M, MRN226804</t>
  </si>
  <si>
    <t>FIBER PATCH CABLE, MMF, LC-SC, 10Meter, DUPLEX, 62.5 MICRON, ORANGE, LYNN ELEC, LCSCDUPMM-10M, MRN226768</t>
  </si>
  <si>
    <t>LCSCDUPMM-10M-O</t>
  </si>
  <si>
    <t>FIBER PATCH CABLE, MMF, LC-SC, 15Meter, DUPLEX, 62.5 MICRON, ORANGE, LYNN ELEC, LCSCDUPMM-15M, MRN226770</t>
  </si>
  <si>
    <t>FIBER PATCH CABLE, MMF, LC-SC, 20Meter, DUPLEX, 62.5 MICRON, ORANGE, LYNN ELEC, LCSCDUPMM-20M, MRN226776</t>
  </si>
  <si>
    <t>FIBER PATCH CABLE, MMF, MTRJ-SC, 2Meter, DUPLEX, 62.5 MICRON, ORANGE, CONTROL CABLE, 60914-2, MRN225324</t>
  </si>
  <si>
    <t>FIBER PATCH CABLE, MMF, MTRJ-SC, 3Meter, DUPLEX, 62.5 MICRON, ORANGE, CONTROL CABLE, 60914-3, MRN225318</t>
  </si>
  <si>
    <t>FIBER PATCH CABLE, MMF, MTRJ-ST, 4Meter, DUPLEX, 62.5 MICRON, ORANGE, CONTROL CABLE, 60919-4, MRN220684</t>
  </si>
  <si>
    <t>FIBER PATCH CABLE, MMF, SC-SC, 15Meter, DUPLEX, 62.5 MICRON, ORANGE, LYNN ELEC, SCSCDUPMM-15M, MRN226771</t>
  </si>
  <si>
    <t>FIBER PATCH CABLE, MMF, SC-SC, 3Meter, DUPLEX, 62.5 MICRON, ORANGE, CONTROL CABLE, 60944-3, MRN220688</t>
  </si>
  <si>
    <t>FIBER PATCH CABLE, MMF, SC-ST, 15Meter, DUPLEX, 62.5 MICRON, ORANGE, LYNN ELEC, SCSTDUPMM-15M, MRN226772</t>
  </si>
  <si>
    <t>FIBER PATCH CABLE, MMF, ST-ST, 5Meter, DUPLEX, 62.5 MICRON, ORANGE, CONTROL CABLE, 60921-5, MRN225323</t>
  </si>
  <si>
    <t>FIBER PATCH CABLE, MMF, ST-ST, 15Meter, DUPLEX, 62.5 MICRON, ORANGE, LYNN ELEC, STSTDUPMM-15M, MRN226773</t>
  </si>
  <si>
    <t>FIBER PATCH CABLE, MMF, LC-LC, 1Meter, OM3, 10GB, DUPLEX, 50 MICRON, LYNN ELEC, LCLC-10GIG-1M, MRN226774</t>
  </si>
  <si>
    <t>FIBER PATCH CABLE, MMF, LC-LC, 2Meter, OM3, 10GB, DUPLEX, 50 MICRON, LYNN ELEC, LCLC-10GIG-2M, MRN226777</t>
  </si>
  <si>
    <t>FIBER PATCH CABLE, MMF, LC-LC, 3Meter, OM3, 10GB, DUPLEX, 50 MICRON, LYNN ELEC, LCLC-10GIG-3M, MRN226780</t>
  </si>
  <si>
    <t>FIBER PATCH CABLE, MMF, LC-LC, 4Meter, OM3, 10GB, DUPLEX, 50 MICRON, LYNN ELEC, LCLC-10GIG-4M, MRN226782</t>
  </si>
  <si>
    <t>FIBER PATCH CABLE, MMF, LC-LC, 5Meter, OM3, 10GB, DUPLEX, 50 MICRON, LYNN ELEC, LCLC-10GIG-5M, MRN226784</t>
  </si>
  <si>
    <t>FIBER PATCH CABLE, MMF, LC-LC, 8Meter, OM3, 10GB, DUPLEX, 50 MICRON, LYNN ELEC, LCLC-10GIG-8M, MRN226785</t>
  </si>
  <si>
    <t>FIBER PATCH CABLE, MMF, LC-LC, 10Meter, OM3, 10GB, DUPLEX, 50 MICRON, LYNN ELEC, LCLC-10GIG-10M, MRN226765</t>
  </si>
  <si>
    <t>FIBER PATCH CABLE, MMF, LC-LC, 15Meter, OM3, 10GB, DUPLEX, 50 MICRON, LYNN ELEC, LCLC-10GIG-15M, MRN226769</t>
  </si>
  <si>
    <t>FIBER PATCH CABLE, MMF, LC-LC, 20Meter, OM3, 10GB, DUPLEX, 50 MICRON, LYNN ELEC, LCLC-10GIG-20M, MRN226775</t>
  </si>
  <si>
    <t>SMF Patch Cables</t>
  </si>
  <si>
    <t>FIBER PATCH CABLE, SMF, LC-LC, 3Meter, DUPLEX, 9 MICRON, YELLOW, LYNN ELEC, LCLCDUPSM-3M, MRN226797</t>
  </si>
  <si>
    <t>FIBER PATCH CABLE, SMF, LC-LC, 5Meter, DUPLEX, 9 MICRON, YELLOW, LYNN ELEC, LCLCDUPSM-5M, MRN226800</t>
  </si>
  <si>
    <t>FIBER PATCH CABLE, SMF, LC-LC, 10Meter, DUPLEX, 9 MICRON, YELLOW, LYNN ELEC, LCLCDUPSM-10M, MRN226786</t>
  </si>
  <si>
    <t>FIBER PATCH CABLE, SMF, LC-SC, 2Meter, DUPLEX, 9 MICRON, YELLOW, LYNN ELEC, LCSCDUPSM-2M, MRN226795</t>
  </si>
  <si>
    <t>FIBER PATCH CABLE, SMF, LC-SC, 3Meter, DUPLEX,  9 MICRON, YELLOW, LYNN ELEC, LCSCDUPSM-3M, MRN226798</t>
  </si>
  <si>
    <t>FIBER PATCH CABLE, SMF, LC-SC, 5Meter, DUPLEX,  9 MICRON, YELLOW, LYNN ELEC, LCSCDUPSM-5M, MRN226801</t>
  </si>
  <si>
    <t>FIBER PATCH CABLE, SMF, LC-SC, 10Meter, DUPLEX, 9 MICRON, YELLOW, LYNN ELEC, LCSCDUPSM-10M, MRN226787</t>
  </si>
  <si>
    <t>FIBER PATCH CABLE, SMF, LC-SC, 15Meter, DUPLEX,  9 MICRON, YELLOW, LYNN ELEC, LCSCDUPSM-15M, MRN226789</t>
  </si>
  <si>
    <t>FIBER PATCH CABLE, SMF, LC-SC, 30Meter, DUPLEX, 9 MICRON, YELLOW, LYNN ELEC, LCSCDUPSM-30M, MRN226796</t>
  </si>
  <si>
    <t>FIBER PATCH CABLE, SMF, LC-ST, 3Meter, DUPLEX,  9 MICRON, YELLOW, LYNN ELEC, LCSTDUPSM-3M, MRN226799</t>
  </si>
  <si>
    <t>FIBER PATCH CABLE, SMF, LC-ST, 5Meter, DUPLEX,  9 MICRON, YELLOW, LYNN ELEC, LCSTDUPSM-5M, MRN226803</t>
  </si>
  <si>
    <t>FIBER PATCH CABLE, SMF, SC-SC, 3Meter, DUPLEX, 9 MICRON, YELLOW, LYNN ELEC, SCSCDUPSM-3M, MRN222732</t>
  </si>
  <si>
    <t>SCSCDUPSM-3M</t>
  </si>
  <si>
    <t>FIBER PATCH CABLE, SMF, SC-SC, 5Meter, DUPLEX,  9 MICRON, YELLOW, LYNN ELEC, SCSCDUPSM-5M, MRN222735</t>
  </si>
  <si>
    <t>FIBER PATCH CABLE, SMF, SC-SC, 10Meter, DUPLEX, 9 MICRON, YELLOW, LYNN ELEC, SCSCDUPSM-10M, MRN226788</t>
  </si>
  <si>
    <t>FIBER PATCH CABLE, SMF, SC-SC, 15Meter, DUPLEX,  9 MICRON, YELLOW, LYNN ELEC, SCSCDUPSM-15M, MRN226790</t>
  </si>
  <si>
    <t>FIBER PATCH CABLE, SMF, SC-SC, 25Meter, DUPLEX, 9 MICRON, YELLOW, LYNN ELEC, SCSCDUPSM-25M, MRN226793</t>
  </si>
  <si>
    <t>FIBER PATCH CABLE, SMF, SC-ST, 15Meter, DUPLEX,  9 MICRON, YELLOW, LYNN ELEC, SCSTDUPSM-15M, MRN226791</t>
  </si>
  <si>
    <t>FIBER PATCH CABLE, SMF, ST-ST, 15Meter, DUPLEX,  9 MICRON, YELLOW, LYNN ELEC, STSTDUPSM-15M, MRN226792</t>
  </si>
  <si>
    <t>FIBER PATCH CABLE, SMF, MTRJ-MTRJ, 3Meter, DUPLEX,  9 MICRON, YELLOW, CONTROL CABLE, 60964-3, MRN225319</t>
  </si>
  <si>
    <t>HW-IN -51</t>
  </si>
  <si>
    <t>HW-IN -52</t>
  </si>
  <si>
    <t>HW-IN -53</t>
  </si>
  <si>
    <t>HW-IN -54</t>
  </si>
  <si>
    <t>HW-IN -55</t>
  </si>
  <si>
    <t>HW-IN -56</t>
  </si>
  <si>
    <t>HW-IN -57</t>
  </si>
  <si>
    <t>HW-IN -58</t>
  </si>
  <si>
    <t>HW-IN -59</t>
  </si>
  <si>
    <t>HW-IN -60</t>
  </si>
  <si>
    <t>HW-IN -61</t>
  </si>
  <si>
    <t>HW-IN -62</t>
  </si>
  <si>
    <t>HW-IN -63</t>
  </si>
  <si>
    <t>HW-IN -64</t>
  </si>
  <si>
    <t>HW-IN -65</t>
  </si>
  <si>
    <t>HW-IN -66</t>
  </si>
  <si>
    <t>HW-IN -67</t>
  </si>
  <si>
    <t>HW-IN -68</t>
  </si>
  <si>
    <t>HW-IN -69</t>
  </si>
  <si>
    <t>HW-IN -70</t>
  </si>
  <si>
    <t>HW-IN -71</t>
  </si>
  <si>
    <t>HW-IN -72</t>
  </si>
  <si>
    <t>HW-IN -73</t>
  </si>
  <si>
    <t>HW-IN -74</t>
  </si>
  <si>
    <t>HW-IN -75</t>
  </si>
  <si>
    <t>HW-IN -76</t>
  </si>
  <si>
    <t>HW-IN -77</t>
  </si>
  <si>
    <t>HW-IN -78</t>
  </si>
  <si>
    <t>HW-IN -79</t>
  </si>
  <si>
    <t>HW-IN -80</t>
  </si>
  <si>
    <t>HW-IN -81</t>
  </si>
  <si>
    <t>HW-IN -82</t>
  </si>
  <si>
    <t>HW-IN -83</t>
  </si>
  <si>
    <t>Copper and Fiber Patch Cables                              Copper and Fiber Patch Cables                              Copper and Fiber Patch Cables</t>
  </si>
  <si>
    <t>3.3</t>
  </si>
  <si>
    <t>CBRE Tasks</t>
  </si>
  <si>
    <t>CBRE-1</t>
  </si>
  <si>
    <t>CBRE-2</t>
  </si>
  <si>
    <t>CBRE-3</t>
  </si>
  <si>
    <t xml:space="preserve">The CLIN price for CBRE escort service will be </t>
  </si>
  <si>
    <t>CBRE Engineer to isolate, operate, lock out and/or tag out any breaker, UPS, or PDU as needed; dis-arm and re-arm fire protection systems to avoid accidental release of gaseous agents or activation of a fire alarm; verify subcontractor scope of work performed</t>
  </si>
  <si>
    <t>CBRE On-site Escort of subcontractors for timely access to the site to prevent delays; verify subcontractors follow server farm design standards, safety procedures and rules during performance of work; assist in resolving design or scope issues during performance of work</t>
  </si>
  <si>
    <t>- Corrected Miscellaneous Materials Fee calculation to include Hardware Uninstalls section total.
- Added Section for CBRE Hours and are not counted towards PM hours calculations.
- Created a third CLIN for CBRE escort service; this is an optional CLIN for claimants to accept or decline.</t>
  </si>
  <si>
    <t>24 Port Patch Panel- Copper CAT 5e</t>
  </si>
  <si>
    <t>48 Port Patch Panel- Copper CAT 5e</t>
  </si>
  <si>
    <t>24 Port Patch Panel- Copper CAT 6</t>
  </si>
  <si>
    <t>48 Port Patch Panel- Copper CAT 6</t>
  </si>
  <si>
    <t>24 Port Patch Panel- Copper CAT 5e w/ 1U Wire Manager</t>
  </si>
  <si>
    <t>48 Port Patch Panel- Copper CAT 5e w/ 2U Wire Manager</t>
  </si>
  <si>
    <t>24 Port Patch Panel- Copper CAT 6 w/ 1U Wire Manager</t>
  </si>
  <si>
    <t>48 Port Patch Panel- Copper CAT 6 w/ 2U Wire Manager</t>
  </si>
  <si>
    <t>24 Port Patch Panel- Fiber</t>
  </si>
  <si>
    <t>48 Port Patch Panel- Fiber</t>
  </si>
  <si>
    <t xml:space="preserve">Fiber OSP Install- 12 Strand Multi-Mode - per foot </t>
  </si>
  <si>
    <t>Fiber OSP Install- 12 Strand Single Mode - per foot</t>
  </si>
  <si>
    <t xml:space="preserve">Fiber OSP Install- 24 Strand Multi-Mode - per foot </t>
  </si>
  <si>
    <t>Fiber OSP Install- 24 Strand Single Mode - per foot</t>
  </si>
  <si>
    <t>Fiber OSP Install- 36 Strand Multi-Mode - per foot</t>
  </si>
  <si>
    <t>Fiber OSP Install- 36 Strand Single Mode - per foot</t>
  </si>
  <si>
    <t>Fiber OSP Install- 48 Strand Multi-Mode - per foot</t>
  </si>
  <si>
    <t>Fiber OSP Install- 48 Strand Single Mode - per foot</t>
  </si>
  <si>
    <t>Fiber OSP Install- 72 Strand Multi-Mode - per foot</t>
  </si>
  <si>
    <t>Fiber OSP Install- 72 Strand Single Mode - per foot</t>
  </si>
  <si>
    <t xml:space="preserve">Cabinet and Power Installation (2 Circuits- Up to 60 Lin. Ft) </t>
  </si>
  <si>
    <t xml:space="preserve">Cabinet and Power Installation Wall Mount/Half Height (1 Circuit- Up to 60 Lin. Ft) </t>
  </si>
  <si>
    <t>Power Installation to Existing Cabinet (2 Circuit- Up to 60 Lin. Ft)</t>
  </si>
  <si>
    <t>Power Installation to Existing Cabinet (1 Circuit- Up to 60 Lin. Ft)</t>
  </si>
  <si>
    <t>Power Installation (1 or 2 Circuit- If Lin. Ft. &gt; 60 ft.)</t>
  </si>
  <si>
    <t>Power Installation (1 or 2 Circuit- If Lin. Ft. &gt; 60 ft.)  Grounding Installation (If Lin. Ft. &gt; 60)</t>
  </si>
  <si>
    <t>Cabinet Pickup and delivery- Local Site</t>
  </si>
  <si>
    <t>UPS, LIEBERT 6KVA UPS, PD2-L630, L6-30P, 36 MONTH WARR, GXT4-6000RTL630, MRN225469</t>
  </si>
  <si>
    <t>GXT4-6000RTL630</t>
  </si>
  <si>
    <t>TRANSCEIVER, ADVANTAGE OPTICS SFP, 1000BASE-LX, LC CONNECTOR, AO-E1MG-LX-OM, MRN234291</t>
  </si>
  <si>
    <t>AO-E1MG-LX-OM</t>
  </si>
  <si>
    <t>Advantage Optics</t>
  </si>
  <si>
    <t>TRANSCEIVER, ADVANTAGE OPTICS SFP, AOPROVANTAGE 10GE LR, LC CONNECTOR, AO-10G-SFPP-LR, MRN229023</t>
  </si>
  <si>
    <t>AO-10G-SFPP-LR</t>
  </si>
  <si>
    <t>- Updated the Previously Awarded tab.</t>
  </si>
  <si>
    <t>- Changed "HPES" to "Enterprise Services, LLC" and HPE to DXC logos.</t>
  </si>
  <si>
    <t>The estimated start date will be</t>
  </si>
  <si>
    <t>days after Task Order received from Government, and the estimated completion date will be</t>
  </si>
  <si>
    <t>Services Subtotal</t>
  </si>
  <si>
    <t>- This proposal is valid for 30 days from the date of submission.
- Government-provided equipment and/or services must meet NMCI / NGEN standards before Enterprise Services LLC will begin work specified in this request.
- All active network equipment shown in this proposal is certified for use on NMCI.
- All proposed prices contained within this proposal are in accordance with Attachment J-8 and Clause B-4.  Any items not previously priced have been identified as such for Government review.
- Applicable Deliverables = Test results, fiber patch matrix, wire run list from the ISP/OSP vendor to Enterprise Services LLC.</t>
  </si>
  <si>
    <t>CBRE Project Manager to coordinate subcontractors to include scheduling, identify and communicate 
potential Risks/Issues to Enterprise Services LLC PM and provide input to Enterprise Services LLC PM for Client Briefings</t>
  </si>
  <si>
    <t>- Changed "Enterprise Services, LLC" to "Enterprise Services LLC".</t>
  </si>
  <si>
    <t>END-OF-SALE</t>
  </si>
  <si>
    <t>FIBER PATCH CABLE, MMF, LC-SC, 3Meter, DUPLEX, 62.5 MICRON, ORANGE, LYNN ELEC, 4340481094, MRN236204</t>
  </si>
  <si>
    <t>SWITCH, BROCADE ICX 7450, 24-PORT 1 GBE PoE+ BUNDLE, 4x10G SFP+ UPLINKS, 2x40G QSFP+ UPLINKS/STACKING, DUAL 1000W AC PS, ICX7450-24P-E2, MRN238007</t>
  </si>
  <si>
    <t>SWITCH, BROCADE ICX 7450, 48-PORT 1 GBE PoE+ BUNDLE, 4x10G SFP+ UPLINKS, 2x40G QSFP+ UPLINKS/STACKING, DUAL 1000W AC PS, ICX7450-48P-E2, MRN238011</t>
  </si>
  <si>
    <t>ICX7450-24P-E2</t>
  </si>
  <si>
    <t>ICX7450-48P-E2</t>
  </si>
  <si>
    <t>ICX7450-48F-E2</t>
  </si>
  <si>
    <t>SWITCH, BROCADE ICX 7450, 48-PORT 1 GBE SFP BUNDLE, 4x10G SFP+ UPLINKS, 2x40G QSFP+ UPLINKS/STACKING, DUAL 250W AC PS , ICX7450-48F-E2, MRN238009</t>
  </si>
  <si>
    <t>TRANSCEIVER, BROCADE SFP+, 10GBASE-LR, SMF, LC CONNECTOR, 10G-SFPP-LR-SA, MRN238521</t>
  </si>
  <si>
    <t>TRANSCEIVER, BROCADE SFP, 100BASE-FX, MMF, LC CONNECTOR, E1MG-100FX-A, MRN238523</t>
  </si>
  <si>
    <t>TRANSCEIVER, BROCADE SFP, 1000BASE-LX, SMF, LC CONNECTOR, E1MG-LX-A, MRN238522</t>
  </si>
  <si>
    <t>10G-SFPP-LR-SA</t>
  </si>
  <si>
    <t>E1MG-100FX-A</t>
  </si>
  <si>
    <t>E1MG-LX-A</t>
  </si>
  <si>
    <t>3650 Switch, 1GE SFP Network Module, IP Base, 250W PS</t>
  </si>
  <si>
    <t>SWITCH, CISCO CATALYST 3650, 24 10/100/1000 PORTS, 4 1GE SFP PORTS, IP BASE, DUAL C2-250WAC PS, 50CM STACK CABLE, WS-C3650-24TS-S, MRN237264</t>
  </si>
  <si>
    <t>MRN237264</t>
  </si>
  <si>
    <t>SWITCH, CISCO CATALYST 3650, 48 10/100/1000 PORTS, 4 1GE SFP PORTS, IP BASE, DUAL C2-250WAC PS, 50CM STACK CABLE, WS-C3650-48TS-S, MRN237348</t>
  </si>
  <si>
    <t>MRN237348</t>
  </si>
  <si>
    <t>3850 Switch, LAN Base, 350W PS</t>
  </si>
  <si>
    <t>SWITCH, CISCO CATALYST 3850, 24 10/100/1000 PORTS, LAN BASE, DUAL C1-350WAC PS, 50CM STACK CABLE, WS-C3850-24T-L, MRN237305</t>
  </si>
  <si>
    <t>MRN237305</t>
  </si>
  <si>
    <t>SWITCH, CISCO CATALYST 3850, 48 10/100/1000 PORTS, LAN BASE, DUAL C1-350WAC PS, 50CM STACK CABLE, WS-C3850-48T-L, MRN237306</t>
  </si>
  <si>
    <t>MRN237306</t>
  </si>
  <si>
    <t>3850 Switch, IP Base, 350W PS</t>
  </si>
  <si>
    <t>SWITCH, CISCO CATALYST 3850, 24 10/100/1000 PORTS, IP BASE, DUAL C1-350WAC PS, 50CM STACK CABLE, WS-C3850-24T-S, MRN237307</t>
  </si>
  <si>
    <t>MRN237307</t>
  </si>
  <si>
    <t>SWITCH, CISCO CATALYST 3850, 48 10/100/1000 PORTS, IP BASE, DUAL C1-350WAC PS, 50CM STACK CABLE, WS-C3850-48T-S, MRN237308</t>
  </si>
  <si>
    <t>MRN237308</t>
  </si>
  <si>
    <t>3850 Switch, IP Services, 350W PS</t>
  </si>
  <si>
    <t>SWITCH, CISCO CATALYST 3850, 24 10/100/1000 PORTS, IP SERVICES, DUAL C1-350WAC PS, 50CM STACK CABLE, WS-C3850-24T-E, MRN237315</t>
  </si>
  <si>
    <t>MRN237315</t>
  </si>
  <si>
    <t>3850 Switch, POE, LAN Base, 715W PS</t>
  </si>
  <si>
    <t>SWITCH, CISCO CATALYST 3850, 24 10/100/1000 POE PORTS, LAN BASE, DUAL C1-715WAC PS, 50CM STACK CABLE, WS-C3850-24P-L, MRN237313</t>
  </si>
  <si>
    <t>MRN237313</t>
  </si>
  <si>
    <t>3850 Switch, POE, IP Base, 715W PS</t>
  </si>
  <si>
    <t>SWITCH, CISCO CATALYST 3850, 24 10/100/1000 POE PORTS, IP BASE, DUAL C1-715WAC PS, 50CM STACK CABLE, WS-C3850-24P-S, MRN237309</t>
  </si>
  <si>
    <t>MRN237309</t>
  </si>
  <si>
    <t>SWITCH, CISCO CATALYST 3850, 48 10/100/1000 POE PORTS, IP BASE, DUAL C1-715WAC PS, 50CM STACK CABLE, WS-C3850-48P-S, MRN237316</t>
  </si>
  <si>
    <t>MRN237316</t>
  </si>
  <si>
    <t>3850 Switch, POE, IP Base, 1100W PS</t>
  </si>
  <si>
    <t>SWITCH, CISCO CATALYST 3850, 48 10/100/1000 POE PORTS, IP BASE, DUAL C1-1100WAC PS, 50CM STACK CABLE, WS-C3850-48F-S, MRN237310</t>
  </si>
  <si>
    <t>MRN237310</t>
  </si>
  <si>
    <t>3850 Switch, POE, IP Services, 715W PS</t>
  </si>
  <si>
    <t>SWITCH, CISCO CATALYST 3850, 24 10/100/1000 POE PORTS, IP SERVICES, DUAL C1-715WAC PS, 50CM STACK CABLE, WS-C3850-24P-E, MRN237314</t>
  </si>
  <si>
    <t>MRN237314</t>
  </si>
  <si>
    <t>3850 Switch, 1GE SFP Network Module, LAN Base, 350W PS</t>
  </si>
  <si>
    <t>SWITCH, CISCO CATALYST 3850, 24 10/100/1000 PORTS, 4 1GE SFP PORTS, LAN BASE, DUAL C1-350WAC PS, 50CM STACK CABLE, WS-C3850-24T-L, MRN237267</t>
  </si>
  <si>
    <t>MRN237267</t>
  </si>
  <si>
    <t>SWITCH, CISCO CATALYST 3850, 48 10/100/1000 PORTS, 4 1GE SFP PORTS, LAN BASE, DUAL C1-350WAC PS, 50CM STACK CABLE, WS-C3850-48T-L, MRN237270</t>
  </si>
  <si>
    <t>MRN237270</t>
  </si>
  <si>
    <t>3850 Switch, 1GE SFP Network Module, IP Base, 350W PS</t>
  </si>
  <si>
    <t>SWITCH, CISCO CATALYST 3850, 24 10/100/1000 PORTS, 4 1GE SFP PORTS, IP BASE, DUAL C1-350WAC PS, 50CM STACK CABLE, WS-C3850-24T-S, MRN237276</t>
  </si>
  <si>
    <t>MRN237276</t>
  </si>
  <si>
    <t>SWITCH, CISCO CATALYST 3850, 48 10/100/1000 PORTS, 4 1GE SFP PORTS, IP BASE, DUAL C1-350WAC PS, 50CM STACK CABLE, WS-C3850-48T-S, MRN237279</t>
  </si>
  <si>
    <t>MRN237279</t>
  </si>
  <si>
    <t>3850 Switch, 1GE SFP Network Module, IP Services, 350W PS</t>
  </si>
  <si>
    <t>SWITCH, CISCO CATALYST 3850, 24 10/100/1000 PORTS, 4 1GE SFP PORTS, IP SERVICES, DUAL C1-350WAC PS, 50CM STACK CABLE, WS-C3850-24T-E, MRN237300</t>
  </si>
  <si>
    <t>MRN237300</t>
  </si>
  <si>
    <t>3850 Switch, 10GE SFP Network Module, LAN Base, 350W PS</t>
  </si>
  <si>
    <t>SWITCH, CISCO CATALYST 3850, 24 10/100/1000 PORTS, 2 10GE SFP PORTS, LAN BASE, DUAL C1-350WAC PS, 50CM STACK CABLE, WS-C3850-24T-L, MRN237269</t>
  </si>
  <si>
    <t>MRN237269</t>
  </si>
  <si>
    <t>SWITCH, CISCO CATALYST 3850, 48 10/100/1000 PORTS, 2 10GE SFP PORTS, LAN BASE, DUAL C1-350WAC PS, 50CM STACK CABLE, WS-C3850-48T-L, MRN237275</t>
  </si>
  <si>
    <t>MRN237275</t>
  </si>
  <si>
    <t>3850 Switch, 10GE SFP Network Module, IP Base, 350W PS</t>
  </si>
  <si>
    <t>SWITCH, CISCO CATALYST 3850, 24 10/100/1000 PORTS, 2 10GE SFP PORTS, IP BASE, DUAL C1-350WAC PS, 50CM STACK CABLE, WS-C3850-24T-S, MRN237277</t>
  </si>
  <si>
    <t>MRN237277</t>
  </si>
  <si>
    <t>SWITCH, CISCO CATALYST 3850, 48 10/100/1000 PORTS, 2 10GE SFP PORTS, IP BASE, DUAL C1-350WAC PS, 50CM STACK CABLE, WS-C3850-48T-S, MRN237280</t>
  </si>
  <si>
    <t>MRN237280</t>
  </si>
  <si>
    <t>3850 Switch, 10GE SFP Network Module, IP Services, 350W PS</t>
  </si>
  <si>
    <t>SWITCH, CISCO CATALYST 3850, 24 10/100/1000 PORTS, 2 10GE SFP PORTS, IP SERVICES, DUAL C1-350WAC PS, 50CM STACK CABLE, WS-C3850-24T-E, MRN237301</t>
  </si>
  <si>
    <t>MRN237301</t>
  </si>
  <si>
    <t>3850 Switch, POE, 1GE SFP Network Module, LAN Base, 715W PS</t>
  </si>
  <si>
    <t>SWITCH, CISCO CATALYST 3850, 24 10/100/1000 POE PORTS, 4 1GE SFP PORTS, LAN BASE, DUAL C1-715WAC PS, 50CM STACK CABLE, WS-C3850-24P-L, MRN237295</t>
  </si>
  <si>
    <t>MRN237295</t>
  </si>
  <si>
    <t>3850 Switch, POE, 1GE SFP Network Module, IP Base, 715W PS</t>
  </si>
  <si>
    <t>SWITCH, CISCO CATALYST 3850, 24 10/100/1000 POE PORTS, 4 1GE SFP PORTS, IP BASE, DUAL C1-715WAC PS, 50CM STACK CABLE, WS-C3850-24P-S, MRN237282</t>
  </si>
  <si>
    <t>MRN237282</t>
  </si>
  <si>
    <t>SWITCH, CISCO CATALYST 3850, 48 10/100/1000 POE PORTS, 4 1GE SFP PORTS, IP BASE, DUAL C1-715WAC PS, 50CM STACK CABLE, WS-C3850-48P-S, MRN237303</t>
  </si>
  <si>
    <t>MRN237303</t>
  </si>
  <si>
    <t>3850 Switch, POE, 1GE SFP Network Module, IP Base, 1100W PS</t>
  </si>
  <si>
    <t>SWITCH, CISCO CATALYST 3850, 48 10/100/1000 POE PORTS, 4 1GE SFP PORTS, IP BASE, DUAL C1-1100WAC PS, 50CM STACK CABLE, WS-C3850-48F-S, MRN237285</t>
  </si>
  <si>
    <t>MRN237285</t>
  </si>
  <si>
    <t>3850 Switch, POE, 1GE SFP Network Module, IP Services, 715W PS</t>
  </si>
  <si>
    <t>SWITCH, CISCO CATALYST 3850, 24 10/100/1000 POE PORTS, 4 1GE SFP PORTS, IP SERVICES, DUAL C1-715WAC PS, 50CM STACK CABLE, WS-C3850-24P-E, MRN237297</t>
  </si>
  <si>
    <t>MRN237297</t>
  </si>
  <si>
    <t>3850 Switch, POE, 10GE SFP Network Module, LAN Base, 715W PS</t>
  </si>
  <si>
    <t>SWITCH, CISCO CATALYST 3850, 24 10/100/1000 POE PORTS, 2 10GE SFP PORTS, LAN BASE, DUAL C1-715WAC PS, 50CM STACK CABLE, WS-C3850-24P-L, MRN237296</t>
  </si>
  <si>
    <t>MRN237296</t>
  </si>
  <si>
    <t>3850 Switch, POE, 10GE SFP Network Module, IP Base, 715W PS</t>
  </si>
  <si>
    <t>SWITCH, CISCO CATALYST 3850, 24 10/100/1000 POE PORTS, 2 10GE SFP PORTS, IP BASE, DUAL C1-715WAC PS, 50CM STACK CABLE, WS-C3850-24P-S, MRN237283</t>
  </si>
  <si>
    <t>MRN237283</t>
  </si>
  <si>
    <t>SWITCH, CISCO CATALYST 3850, 48 10/100/1000 POE PORTS, 2 10GE SFP PORTS, IP BASE, DUAL C1-715WAC PS, 50CM STACK CABLE, WS-C3850-48P-S, MRN237304</t>
  </si>
  <si>
    <t>MRN237304</t>
  </si>
  <si>
    <t>3850 Switch, POE, 10GE SFP Network Module, IP Base, 1100W PS</t>
  </si>
  <si>
    <t>SWITCH, CISCO CATALYST 3850, 48 10/100/1000 POE PORTS, 2 10GE SFP PORTS, IP BASE, DUAL C1-1100WAC PS, 50CM STACK CABLE, WS-C3850-48F-S, MRN237286</t>
  </si>
  <si>
    <t>MRN237286</t>
  </si>
  <si>
    <t>3850 Switch, POE, 10GE SFP Network Module, IP Services, 715W PS</t>
  </si>
  <si>
    <t>SWITCH, CISCO CATALYST 3850, 24 10/100/1000 POE PORTS, 2 10GE SFP PORTS, IP SERVICES, DUAL C1-715WAC PS, 50CM STACK CABLE, WS-C3850-24P-E, MRN237298</t>
  </si>
  <si>
    <t>MRN237298</t>
  </si>
  <si>
    <t>3850 Fiber Switch, IP Base, 350W PS</t>
  </si>
  <si>
    <t>SWITCH, CISCO CATALYST 3850, 12 1GE SFP PORTS, IP BASE, DUAL C1-350WAC PS, 50CM STACK CABLE, WS-C3850-12S-S, MRN237311</t>
  </si>
  <si>
    <t>MRN237311</t>
  </si>
  <si>
    <t>3850 Fiber Switch, IP Services, 350W PS</t>
  </si>
  <si>
    <t>SWITCH, CISCO CATALYST 3850, 12 1GE SFP PORTS, IP SERVICES, DUAL C1-350WAC PS, 50CM STACK CABLE, WS-C3850-12S-E, MRN237312</t>
  </si>
  <si>
    <t>MRN237312</t>
  </si>
  <si>
    <t>3850 Fiber Switch, 1GE SFP Network Module, IP Base, 350W PS</t>
  </si>
  <si>
    <t>SWITCH, CISCO CATALYST 3850, 12 + 4 1GE SFP PORTS, IP BASE, DUAL C1-350WAC PS, 50CM STACK CABLE, WS-C3850-12S-S, MRN237289</t>
  </si>
  <si>
    <t>MRN237289</t>
  </si>
  <si>
    <t>3850 Fiber Switch, 1GE SFP Network Module, IP Services, 350W PS</t>
  </si>
  <si>
    <t>SWITCH, CISCO CATALYST 3850, 12 + 4 1GE SFP PORTS, IP SERVICES, DUAL C1-350WAC PS, 50CM STACK CABLE, WS-C3850-12S-E, MRN237292</t>
  </si>
  <si>
    <t>MRN237292</t>
  </si>
  <si>
    <t>3850 Fiber Switch, 10GE SFP Network Module, IP Base, 350W PS</t>
  </si>
  <si>
    <t>SWITCH, CISCO CATALYST 3850, 12 1GE SFP PORTS, 2 10GE SFP PORTS, IP BASE, DUAL C1-350WAC PS, 50CM STACK CABLE, WS-C3850-12S-S, MRN237290</t>
  </si>
  <si>
    <t>MRN237290</t>
  </si>
  <si>
    <t>3850 Fiber Switch, 10GE SFP Network Module, IP Services, 350W PS</t>
  </si>
  <si>
    <t>SWITCH, CISCO CATALYST 3850, 12 1GE SFP PORTS, 2 10GE SFP PORTS, IP SERVICES, DUAL C1-350WAC PS, 50CM STACK CABLE, WS-C3850-12S-E, MRN237293</t>
  </si>
  <si>
    <t>MRN237293</t>
  </si>
  <si>
    <t>Access Switches and Modules                                        Access Switches and Modules                                        Access Switches and Modules</t>
  </si>
  <si>
    <t>ROUTER, CISCO 2911/K9 BUNDLE, 3 GE, 4 EHWIC, 2 DSP, 1 SM, 512MB CF, 1GB DRAM, MRN223135</t>
  </si>
  <si>
    <t>ROUTER, CISCO 2911/K9 BUNDLE, 3 GE, 4 EHWIC, 2 DSP, 1 SM, 512MB CF, 1.5GB DRAM, APPX LICENSE, MRN226431</t>
  </si>
  <si>
    <t>ROUTER, CISCO 2921/K9 BUNDLE, 3 GE, 4 EHWIC, 3 DSP, 1 SM, 512MB CF, 1.5GB DRAM, CISCO2921/K9, MRN223137</t>
  </si>
  <si>
    <t>ROUTER, CISCO 2921/K9 BUNDLE, 3 GE, 4 EHWIC, 3 DSP, 1 SM, 512MB CF, 1.5GB DRAM, APPX LICENSE, MRN226430</t>
  </si>
  <si>
    <t>MRN221769</t>
  </si>
  <si>
    <t>ROUTER, CISCO 2921/K9 BUNDLE, 3 GE, 4 EHWIC, 3 DSP, 1 SM, 1GB CF, 1GB DRAM, GLC-FE-100FX, RPS-ADPRT, 2 VWIC3-1MFT-T1/E1, EHWIC-1GE-SFP-CU,  MRN221769</t>
  </si>
  <si>
    <t>POWER DISTRIBUTION UNIT, 6-OUTLETS, 8.6KVA, RARITAN, PX2-5118R-V2, MRN233971</t>
  </si>
  <si>
    <t>POWER DISTRIBUTION UNIT, 12-OUTLETS, 8.6KVA, RARITAN, PX2-5339R, MRN232725</t>
  </si>
  <si>
    <t>FIBER PATCH CABLE, MMF, LC-LC, 8Meter, DUPLEX, 62.5 MICRON, ORANGE, LYNN ELEC, 4340481008, MRN224630</t>
  </si>
  <si>
    <t>FIBER PATCH CABLE, MMF, LC-LC, 5Meter, OM3, 10GB, PLENUM, DUPLEX, 50 MICRON, LYNN ELEC, 4340481198, MRN224689</t>
  </si>
  <si>
    <t>FIBER PATCH CABLE, MMF, LC-LC, 8Meter, OM3, 10GB, PLENUM, DUPLEX, 50 MICRON, LYNN ELEC, 4340481199, MRN224691</t>
  </si>
  <si>
    <t>FIBER PATCH CABLE, MMF, LC-SC, 5Meter, OM3, 10GB, DUPLEX, 50 MICRON, LYNN ELEC, LCSC-10GIG-5M, MRN224678</t>
  </si>
  <si>
    <t>FIBER PATCH CABLE, MMF, LC-SC, 3Meter, OM3, 10GB, DUPLEX, 50 MICRON, LYNN ELEC, LCSC-10GIG-3M, MRN224683</t>
  </si>
  <si>
    <t>FIBER PATCH CABLE, MMF, LC-SC, 2Meter, OM3, 10GB, DUPLEX, 50 MICRON, LYNN ELEC, LCSC-10GIG-2M, MRN224686</t>
  </si>
  <si>
    <t>FIBER PATCH CABLE, MMF, LC-SC, 10Meter, OM3, 10GB, DUPLEX, 50 MICRON, LYNN ELEC, LCSC-10GIG-10M, MRN224671</t>
  </si>
  <si>
    <t>HW-IN -84</t>
  </si>
  <si>
    <t>HW-IN -85</t>
  </si>
  <si>
    <t>HW-IN -86</t>
  </si>
  <si>
    <t>HW-IN -87</t>
  </si>
  <si>
    <t>HW-IN -88</t>
  </si>
  <si>
    <t>HW-IN -89</t>
  </si>
  <si>
    <t>HW-IN -90</t>
  </si>
  <si>
    <t>HW-IN -91</t>
  </si>
  <si>
    <t>HW-IN -92</t>
  </si>
  <si>
    <t>HW-IN -93</t>
  </si>
  <si>
    <t>HW-IN -94</t>
  </si>
  <si>
    <t>HW-IN -95</t>
  </si>
  <si>
    <t>HW-IN -96</t>
  </si>
  <si>
    <t>HW-IN -97</t>
  </si>
  <si>
    <t>HW-IN -98</t>
  </si>
  <si>
    <t>HW-IN -99</t>
  </si>
  <si>
    <t>HW-IN -100</t>
  </si>
  <si>
    <t>HW-IN -101</t>
  </si>
  <si>
    <t>HW-IN -102</t>
  </si>
  <si>
    <t>HW-IN -103</t>
  </si>
  <si>
    <t>HW-IN -104</t>
  </si>
  <si>
    <t>HW-IN -105</t>
  </si>
  <si>
    <t>HW-IN -106</t>
  </si>
  <si>
    <t>HW-IN -107</t>
  </si>
  <si>
    <t>HW-IN -108</t>
  </si>
  <si>
    <t>HW-IN -109</t>
  </si>
  <si>
    <t>HW-IN -110</t>
  </si>
  <si>
    <t>HW-IN -111</t>
  </si>
  <si>
    <t>HW-IN -112</t>
  </si>
  <si>
    <t>HW-IN -113</t>
  </si>
  <si>
    <t>HW-IN -114</t>
  </si>
  <si>
    <t>HW-IN -115</t>
  </si>
  <si>
    <t>HW-IN -116</t>
  </si>
  <si>
    <t>HW-IN -117</t>
  </si>
  <si>
    <t>HW-IN -118</t>
  </si>
  <si>
    <t>HW-IN -119</t>
  </si>
  <si>
    <t>HW-IN -120</t>
  </si>
  <si>
    <t>HW-IN -121</t>
  </si>
  <si>
    <t>HW-IN -122</t>
  </si>
  <si>
    <t>HW-IN -123</t>
  </si>
  <si>
    <t>HW-IN -124</t>
  </si>
  <si>
    <t>HW-IN -125</t>
  </si>
  <si>
    <t>HW-IN -126</t>
  </si>
  <si>
    <t>HW-IN -127</t>
  </si>
  <si>
    <t>HW-IN -128</t>
  </si>
  <si>
    <t>HW-IN -129</t>
  </si>
  <si>
    <t>202637G2</t>
  </si>
  <si>
    <t>202637G1</t>
  </si>
  <si>
    <t>SWITCH MODULE, CISCO CATALYST 4500 NETWORK MODULE, 48 100FX MMF PORTS, WS-X4148-FX-MT++=, MRN229070</t>
  </si>
  <si>
    <t>TRANSCEIVER, BROCADE SFP+, 10GBASE-SR, MMF, LC CONNECTOR, 10G-SFPP-SR-SA, MRN239982</t>
  </si>
  <si>
    <t>10G-SFPP-SR-SA</t>
  </si>
  <si>
    <t>TRANSCEIVER, BROCADE SFP, 1000BASE-SX, MMF, LC CONNECTOR, E1MG-SX-A, MRN221842</t>
  </si>
  <si>
    <t>TRANSCEIVER, BROCADE SFP, 1000BASE-TX, Copper, RJ-45 Connector, E1MG-TX-A, MRN230277</t>
  </si>
  <si>
    <t>E1MG-SX-A</t>
  </si>
  <si>
    <t>E1MG-TX-A</t>
  </si>
  <si>
    <t>SWITCH, CISCO CATALYST 4500 R+E BUNDLE, 7-SLOT CHASSIS, DUAL 1300W PS, SUP 7L-E, WS-C4507-R+E-SUP7LE-1300W, MRN222277</t>
  </si>
  <si>
    <t>SWITCH, CISCO CATALYST 4500 R+E BUNDLE, 7-SLOT CHASSIS, DUAL 1300W PS, SUP 7-E, WS-C4507-R+E-SUP7E-1300W, MRN222275</t>
  </si>
  <si>
    <t>SWITCH, CISCO CATALYST 4500 R+E BUNDLE, 7-SLOT CHASSIS, DUAL 2800W PS, SUP 7L-E, WS-C4507-R+E-SUP7LE-2800W, MRN223242</t>
  </si>
  <si>
    <t>SWITCH, CISCO CATALYST 4500 R+E BUNDLE, 7-SLOT CHASSIS, DUAL 2800W PS, SUP 7-E, WS-C4507-R+E-SUP7E-2800W, MRN223243</t>
  </si>
  <si>
    <t>SWITCH, CISCO CATALYST 4500 R+E BUNDLE, 7-SLOT CHASSIS, DUAL 4200W PS, SUP 7L-E, WS-C4507-R+E-SUP7LE-4200W, MRN223244</t>
  </si>
  <si>
    <t>SWITCH, CISCO CATALYST 4500 R+E BUNDLE, 7-SLOT CHASSIS, DUAL 4200W PS, SUP 7-E, WS-C4507-R+E-SUP7E-4200W, MRN223245</t>
  </si>
  <si>
    <t>40G-QSFP-C-00501-AO</t>
  </si>
  <si>
    <t>40G-QSFP-QSFP-C-0101-AO</t>
  </si>
  <si>
    <t>40G-QSFP-QSFP-C-0301-AO</t>
  </si>
  <si>
    <t>40G-QSFP-QSFP-C-0501-AO</t>
  </si>
  <si>
    <t>10GE-SFPP-AOC-0701-AO</t>
  </si>
  <si>
    <t>10GE-SFPP-AOC-1001-AO</t>
  </si>
  <si>
    <t>MRN237955</t>
  </si>
  <si>
    <t>4.0</t>
  </si>
  <si>
    <t>Attachment 8 Rate (FY18)</t>
  </si>
  <si>
    <t>ROUTER, CISCO 2921/K9 BUNDLE, 3 GE, 4 EHWIC, 3 DSP, 1 SM, 512MB CF, 1.5GB DRAM, APPX LICENSE, SM-ES2-24, MRN237955</t>
  </si>
  <si>
    <t>UPS, LIEBERT 1.5KVA UPS, PLUS 1 YR WARRANTY, GVG3-1500RT-120, MRN232797</t>
  </si>
  <si>
    <t>(Model/Part #)</t>
  </si>
  <si>
    <t>AddOn</t>
  </si>
  <si>
    <t>STACKING CABLE, ADDON, BROCADE-COMPATIBLE, 40 GbE, PASSIVE CABLE, 0.5M, 40G-QSFP-C-00501-AO, MRN241089</t>
  </si>
  <si>
    <t>STACKING CABLE, ADDON, BROCADE-COMPATIBLE, 40 GbE, PASSIVE CABLE, 1M, 40G-QSFP-C-0101-AO, MRN241275</t>
  </si>
  <si>
    <t>STACKING CABLE, ADDON, BROCADE-COMPATIBLE, 40 GbE, ACTIVE CABLE, 1M, 40G-QSFP-QSFP-C-0101-AO</t>
  </si>
  <si>
    <t>STACKING CABLE, ADDON, BROCADE-COMPATIBLE, 40 GbE, ACTIVE CABLE, 3M, 40G-QSFP-QSFP-C-0301-AO</t>
  </si>
  <si>
    <t>STACKING CABLE, ADDON, BROCADE-COMPATIBLE, 40 GbE, ACTIVE CABLE, 5M, 40G-QSFP-QSFP-C-0501-AO</t>
  </si>
  <si>
    <t>CABLE, ADDON, BROCADE-COMPATIBLE, 10 GB, DIRECT-ATTACHED, SFP+ TO SFP+,  ACTIVE OPTICAL CABLE, 7M, 10GE-SFPP-AOC-0701-AO</t>
  </si>
  <si>
    <t>CABLE, ADDON, BROCADE-COMPATIBLE, 10 GB, DIRECT-ATTACHED, SFP+ TO SFP+,  ACTIVE OPTICAL CABLE, 10M, 10GE-SFPP-AOC-1001-AO</t>
  </si>
  <si>
    <t>40G-QSFP-C-0101-AO</t>
  </si>
  <si>
    <t>FIBER PATCH CABLE, MMF, ST-ST, 3Meter, DUPLEX, 62.5 MICRON, ORANGE, CONTROL CABLE, 60921-3, MRN225317</t>
  </si>
  <si>
    <t>&lt;Select Warranty Description&gt;</t>
  </si>
  <si>
    <t>WARRANTY SUPPORT, JUNIPER NEXT DAY SUPPORT FOR SRX210 CHASSIS, SVC-ND-SRX210, MRN228797</t>
  </si>
  <si>
    <t>WARRANTY SUPPORT, JUNIPER NEXT DAY SUPPORT FOR SRX550, SVC-ND-SRX550, MRN228796</t>
  </si>
  <si>
    <t>WARRANTY SUPPORT, JUNIPER NEXT DAY SUPPORT FOR JSRX650, SVC-ND-SRX650, MRN227588</t>
  </si>
  <si>
    <t>WARRANTY SUPPORT, JUNIPER NEXT DAY SUPPORT FOR SRX3600 CHASSIS, SVC-ND-SRX3600, MRN226157</t>
  </si>
  <si>
    <t>WARRANTY SUPPORT, JUNIPER NEXT DAY SUPPORT FOR SRX3-IOC LINE CARD, SVC-ND-SRX3-IOC, MRN227580</t>
  </si>
  <si>
    <t>WARRANTY SUPPORT, JUNIPER NEXT DAY SUPPORT FOR SRX3-NPC LINE CARD, SVC-ND-SRX3-NPC, MRN226158</t>
  </si>
  <si>
    <t>WARRANTY SUPPORT, JUNIPER NEXT DAY SUPPORT FOR SRX3-SPC LINE CARD, SVC-ND-SRX3-SPC, MRN226159</t>
  </si>
  <si>
    <t>WARRANTY SUPPORT, JUNIPER NEXT DAY SUPPORT FOR SRX1K3K-NP-2XGE-SFPP, SVC-ND-SRX1K3KNP, MRN226156</t>
  </si>
  <si>
    <t>FIBER PATCH CABLE, MMF, LC-LC, 5Meter, DUPLEX, 62.5 MICRON, ORANGE, LYNN ELEC, 4340481007, MRN224628</t>
  </si>
  <si>
    <t>FIBER PATCH CABLE, MMF, LC-ST, 1Meter, DUPLEX, 62.5 MICRON, ORANGE, LYNN ELEC, 4340481010, MRN220694</t>
  </si>
  <si>
    <t>- The following sections reflect the application of FY2018 Attachment J-8 Labor Rates to the task hours for the following sections:  CBRE Tasks, Project Mgmt Hours, ISP-OSP, Facilities, Hardware Installation and Hardware Uninstalls.  The Wall Plugs Tasks pricing has also been updated for FY2018.
Hardware and Hardware Installation Sections:
- Deleted EOS Brocade FCX switch bundles.
- Changed Cisco switch modules WS-X6816-10G-2T++=, WS-X4148-FX-MT++= and WS-X4606-X2-E++= to EOS.
- Changed Juniper CBL-PWR-C19S-151-US15 power cable to EOS.
- Added Brocade ICX switch bundles and stacking cables.
- Added Cisco 3650/3850 switch bundles.
- Added Cisco 2921/K9 router bundle (MRN237955).
- Updated the part and MRN numbers for the Liebert HK24S (202637G2) and HK24SJ (202637G1) cabinets.
- Changed part numbers for 3 meter, LC-SC, MMF cable from 60959-3/MRN220687 to LCSCDUPMM-3M/MRN236204.
- Moved items from the Previously Awarded section to the Hardware and Hardware Installation Sections.</t>
  </si>
  <si>
    <t>CABINET, LIEBERT, 12RU, HINGED BODY, HK24S, WALL MOUNT, 202637G2, MRN238157</t>
  </si>
  <si>
    <t>CABINET, LIEBERT, 12RU, LOW PROFILE, HK24SJ, WALL MOUNT, 202637G1, MRN238092</t>
  </si>
  <si>
    <t>Communications Network Engineer Mid (FY2018 Rate)</t>
  </si>
  <si>
    <t>ISP/OSP Specialist Junior (FY2018 Rate)</t>
  </si>
  <si>
    <t>IT Service Delivery Consultant Junior (FY2018 Rate)</t>
  </si>
  <si>
    <t>IT Service Delivery Consultant Mid (FY2018 Rate)</t>
  </si>
  <si>
    <t>Senior Electrician (FY2018 Rate)</t>
  </si>
  <si>
    <t>Junior Electrician (FY2018 Rate)</t>
  </si>
  <si>
    <t>COPPER PATCH CABLE, CAT6, RJ45, 50FT, BLUE, PLENUM, LYNN ELEC, 4340481144, MRN221633</t>
  </si>
  <si>
    <t>Bldg 3</t>
  </si>
  <si>
    <t>Travel Labor (Two techs, 6 hours each way)</t>
  </si>
  <si>
    <t>Bldg 3 - Toning/Identifying Existing Cables</t>
  </si>
  <si>
    <t>STRAN</t>
  </si>
  <si>
    <t>Calculated IAW Enterprise Travel Agreement (01-09-2017)</t>
  </si>
  <si>
    <t>ISP/OSP Vendor Travel</t>
  </si>
  <si>
    <t>Applicable Deliverables</t>
  </si>
  <si>
    <t xml:space="preserve"> will terminate and test 24 drops installed by a Government contractor during the renovation of Building 3 at the NOSC Buffalo compound (8 drop boxes containing 3 data connections each).  As requested by the Government, the following drops will be activated:  room V002 - 8 of 12, room V08 - 2 of 3, room V07 - 1 of 3, and room V020 - 6 of 6.  Also,  will install and activate 5 additional CLIN 6AB drops in room V006.
The tasks listed in this 6AG are based on pictures and information provided by the Govt; a 6AG survey was not performed.  Therefore, if additional work is required to complete this request, another 6AG may be required.
In accordance  Section F2 (“PERIODS OF PERFORMANCE FOR ORDERING AND OPTIONS TO EXTEND TERM OF THE CONTRACT”;the proposed work will be completed within a 12 month PoP if ordered between 1 October 2017 and 26 June 2018 (unless changed via a contract modification). The required CLIN ordering sequence (if any) shall be as defined within the proposal.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</si>
</sst>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4">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quot;$&quot;#,##0.00"/>
    <numFmt numFmtId="165" formatCode="0.0"/>
    <numFmt numFmtId="166" formatCode="[$-409]d\-mmm\-yy;@"/>
    <numFmt numFmtId="167" formatCode="0.0000"/>
    <numFmt numFmtId="168" formatCode="\ \ &quot;$&quot;* #,##0_);[Red]\ \ &quot;$&quot;* \(#,##0\);\ \ &quot;$&quot;* 0_)"/>
    <numFmt numFmtId="169" formatCode="\ \ &quot;$&quot;* #,##0.0_);[Red]\ \ &quot;$&quot;* \(#,##0.0\);\ \ &quot;$&quot;* 0_)_\"/>
    <numFmt numFmtId="170" formatCode="\ \ &quot;$&quot;* #,##0.00_);[Red]\ \ &quot;$&quot;* \(#,##0.00\);\ \ &quot;$&quot;* 0_)_\_\_."/>
    <numFmt numFmtId="171" formatCode="#,##0_)%;[Red]\(#,##0\)%;0_)%"/>
    <numFmt numFmtId="172" formatCode="#,##0.0_)%;[Red]\(#,##0.0\)%;0_)_.%"/>
    <numFmt numFmtId="173" formatCode="#,##0.00_)%;[Red]\(#,##0.00\)%;0_)_0_.%"/>
    <numFmt numFmtId="174" formatCode="&quot;£&quot;#,##0.0,,&quot;m&quot;_);[Red]\(&quot;£&quot;#,##0.0,,&quot;m&quot;\);._)"/>
    <numFmt numFmtId="175" formatCode="&quot;£&quot;#,##0,\k_);[Red]\(&quot;£&quot;#,##0,\k\);._)"/>
    <numFmt numFmtId="176" formatCode="&quot;£&quot;#,##0,,&quot;m&quot;_);[Red]\(&quot;£&quot;#,##0,,&quot;m&quot;\);._)"/>
    <numFmt numFmtId="177" formatCode="#,##0_)_%;[Red]\(#,##0\)_%;0_)_%"/>
    <numFmt numFmtId="178" formatCode="#,##0.0_);[Red]\(#,##0.0\);0_)_."/>
    <numFmt numFmtId="179" formatCode="#,##0.0_)_%;[Red]\(#,##0.0\)_%;0_)_._%"/>
    <numFmt numFmtId="180" formatCode="#,##0.00_);[Red]\(#,##0.00\);0_)_0_."/>
    <numFmt numFmtId="181" formatCode="#,##0.00_)_%;[Red]\(#,##0.00\)_%;0_)_0_._%"/>
    <numFmt numFmtId="182" formatCode="0_)"/>
    <numFmt numFmtId="183" formatCode="00\-0000\-00\-0000\-000"/>
    <numFmt numFmtId="184" formatCode="#,##0;\-#,##0;&quot;-&quot;"/>
    <numFmt numFmtId="185" formatCode="#,##0.0_);\(#,##0.0\)"/>
    <numFmt numFmtId="186" formatCode="_(* #,##0.0000_);_(* \(#,##0.0000\);_(* &quot;-&quot;??_);_(@_)"/>
    <numFmt numFmtId="187" formatCode="0.0%;[Red]\(0.0%\)"/>
    <numFmt numFmtId="188" formatCode="0%;[Red]\(0%\)"/>
    <numFmt numFmtId="189" formatCode="0.0%;\(0.0%\)"/>
    <numFmt numFmtId="190" formatCode="0.000_)"/>
    <numFmt numFmtId="191" formatCode="#,##0.0_);[Red]\(#,##0.0\)"/>
    <numFmt numFmtId="192" formatCode="&quot;£&quot;#,##0,\k;[Red]&quot;£&quot;\-#,##0,\k;."/>
    <numFmt numFmtId="193" formatCode="[$$ -C09]#,##0_);[Red]\([$$ -C09]#,##0\)"/>
    <numFmt numFmtId="194" formatCode="[$R$ -416]#,##0_);[Red]\([$R$ -416]#,##0\)"/>
    <numFmt numFmtId="195" formatCode="[$$ -1009]#,##0_);[Red]\([$$ -1009]#,##0\)"/>
    <numFmt numFmtId="196" formatCode="[$SFr. -100C]#,##0_);[Red]\([$SFr. -100C]#,##0\)"/>
    <numFmt numFmtId="197" formatCode="[$￥ -804]#,##0_);[Red]\([$￥ -804]#,##0\)"/>
    <numFmt numFmtId="198" formatCode="[$kr -406]#,##0_);[Red]\([$kr -406]#,##0\)"/>
    <numFmt numFmtId="199" formatCode="[$€ -2]#,##0_);[Red]\([$€ -2]#,##0\)"/>
    <numFmt numFmtId="200" formatCode="[$£ -809]#,##0_);[Red]\([$£ -809]#,##0\)"/>
    <numFmt numFmtId="201" formatCode="[$HK$ -C04]#,##0_);[Red]\([$HK$ -C04]#,##0\)"/>
    <numFmt numFmtId="202" formatCode="[$¥ -411]#,##0_);[Red]\([$¥ -411]#,##0\)"/>
    <numFmt numFmtId="203" formatCode="[$$ -80A]#,##0_);[Red]\([$$ -80A]#,##0\)"/>
    <numFmt numFmtId="204" formatCode="[$RM -43E]#,##0_);[Red]\([$RM -43E]#,##0\)"/>
    <numFmt numFmtId="205" formatCode="[$kr -814]#,##0_);[Red]\([$kr -814]#,##0\)"/>
    <numFmt numFmtId="206" formatCode="[$$ -1409]#,##0_);[Red]\([$$ -1409]#,##0\)"/>
    <numFmt numFmtId="207" formatCode="[$kr -41D]#,##0_);[Red]\([$kr -41D]#,##0\)"/>
    <numFmt numFmtId="208" formatCode="[$$ -1004]#,##0_);[Red]\([$$ -1004]#,##0\)"/>
    <numFmt numFmtId="209" formatCode="[$฿ -41E]#,##0_);[Red]\([$฿ -41E]#,##0\)"/>
    <numFmt numFmtId="210" formatCode="[$$ -409]#,##0_);[Red]\([$$ -409]#,##0\)"/>
    <numFmt numFmtId="211" formatCode="[$Bs -200A]#,##0_);[Red]\([$Bs -200A]#,##0\)"/>
    <numFmt numFmtId="212" formatCode="[$R -1C09]#,##0_);[Red]\([$R -1C09]#,##0\)"/>
    <numFmt numFmtId="213" formatCode="&quot;£&quot;#,##0;[Red]&quot;£&quot;\-#,##0;."/>
    <numFmt numFmtId="214" formatCode="&quot;£&quot;#,##0.00;[Red]&quot;£&quot;\-#,##0.00;."/>
    <numFmt numFmtId="215" formatCode="mm/yy"/>
    <numFmt numFmtId="216" formatCode="mmm\ dd\,\ yyyy"/>
    <numFmt numFmtId="217" formatCode="#,##0.0000_);[Red]\(#,##0.0000\)"/>
    <numFmt numFmtId="218" formatCode="_-* #,##0.00\ [$€-1]_-;\-* #,##0.00\ [$€-1]_-;_-* &quot;-&quot;??\ [$€-1]_-"/>
    <numFmt numFmtId="219" formatCode="#.00"/>
    <numFmt numFmtId="220" formatCode="#,##0\ &quot;hrs  &quot;"/>
    <numFmt numFmtId="221" formatCode="#,##0;#,##0;;"/>
    <numFmt numFmtId="222" formatCode="0.00_)"/>
    <numFmt numFmtId="223" formatCode="[$ -409]#,##0_);[Red][$ -409]\(#,##0\)"/>
    <numFmt numFmtId="224" formatCode="_ * #,##0.00_ ;_ * \-#,##0.00_ ;_ * &quot;-&quot;??_ ;_ @_ "/>
    <numFmt numFmtId="225" formatCode="_ * #,##0_ ;_ * \-#,##0_ ;_ * &quot;-&quot;_ ;_ @_ "/>
    <numFmt numFmtId="226" formatCode="0%;\(0%\)"/>
    <numFmt numFmtId="227" formatCode="0.0%;[Red]\-0.0%"/>
    <numFmt numFmtId="228" formatCode="0.00%;[Red]\-0.00%"/>
    <numFmt numFmtId="229" formatCode="0.0%"/>
    <numFmt numFmtId="230" formatCode="_-* #,##0.00\ _F_-;\-* #,##0.00\ _F_-;_-* &quot;-&quot;??\ _F_-;_-@_-"/>
    <numFmt numFmtId="231" formatCode="00\-0000\-00\-0000"/>
    <numFmt numFmtId="232" formatCode="&quot;$&quot;#,##0.0000"/>
    <numFmt numFmtId="233" formatCode="General_)"/>
    <numFmt numFmtId="234" formatCode="&quot;$&quot;\ #,##0.00;\(&quot;$&quot;\ #,##0.00\)"/>
    <numFmt numFmtId="235" formatCode="#,##0.000_);[Red]\(#,##0.000\)"/>
    <numFmt numFmtId="236" formatCode="###0_);[Red]\(###0\)"/>
    <numFmt numFmtId="237" formatCode="&quot;   &quot;@"/>
    <numFmt numFmtId="238" formatCode="_(* #,##0_);_(* \(#,##0\);_(* &quot;-&quot;_)"/>
    <numFmt numFmtId="239" formatCode="_(* #,##0,_);_(* \(#,##0,\);_(@_)"/>
    <numFmt numFmtId="240" formatCode="#."/>
  </numFmts>
  <fonts count="17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1"/>
      <name val="Copperplate Gothic Light"/>
      <family val="2"/>
    </font>
    <font>
      <b/>
      <sz val="10"/>
      <name val="Arial"/>
      <family val="2"/>
    </font>
    <font>
      <sz val="10"/>
      <color indexed="12"/>
      <name val="Arial"/>
      <family val="2"/>
    </font>
    <font>
      <b/>
      <sz val="12"/>
      <color indexed="9"/>
      <name val="Copperplate Gothic Light"/>
      <family val="2"/>
    </font>
    <font>
      <sz val="10"/>
      <color indexed="9"/>
      <name val="Arial"/>
      <family val="2"/>
    </font>
    <font>
      <b/>
      <sz val="11"/>
      <name val="Arial"/>
      <family val="2"/>
    </font>
    <font>
      <sz val="10"/>
      <name val="Arial"/>
      <family val="2"/>
    </font>
    <font>
      <sz val="8"/>
      <color indexed="12"/>
      <name val="Arial"/>
      <family val="2"/>
    </font>
    <font>
      <sz val="8"/>
      <name val="Arial"/>
      <family val="2"/>
    </font>
    <font>
      <u/>
      <sz val="10"/>
      <color indexed="12"/>
      <name val="Arial"/>
      <family val="2"/>
    </font>
    <font>
      <b/>
      <sz val="12"/>
      <name val="Arial"/>
      <family val="2"/>
    </font>
    <font>
      <sz val="8"/>
      <color indexed="12"/>
      <name val="Arial"/>
      <family val="2"/>
    </font>
    <font>
      <sz val="8"/>
      <color indexed="12"/>
      <name val="Wingdings 3"/>
      <family val="1"/>
      <charset val="2"/>
    </font>
    <font>
      <sz val="8"/>
      <color indexed="10"/>
      <name val="Arial"/>
      <family val="2"/>
    </font>
    <font>
      <sz val="10"/>
      <color indexed="10"/>
      <name val="Arial"/>
      <family val="2"/>
    </font>
    <font>
      <sz val="10"/>
      <color indexed="8"/>
      <name val="Arial"/>
      <family val="2"/>
    </font>
    <font>
      <b/>
      <sz val="14"/>
      <color indexed="9"/>
      <name val="Copperplate Gothic Light"/>
      <family val="2"/>
    </font>
    <font>
      <sz val="10"/>
      <color indexed="22"/>
      <name val="Arial"/>
      <family val="2"/>
    </font>
    <font>
      <i/>
      <sz val="10"/>
      <color indexed="10"/>
      <name val="Arial"/>
      <family val="2"/>
    </font>
    <font>
      <b/>
      <sz val="10"/>
      <color indexed="10"/>
      <name val="Arial"/>
      <family val="2"/>
    </font>
    <font>
      <sz val="9"/>
      <color indexed="12"/>
      <name val="Arial"/>
      <family val="2"/>
    </font>
    <font>
      <sz val="9"/>
      <color indexed="17"/>
      <name val="Arial"/>
      <family val="2"/>
    </font>
    <font>
      <sz val="9"/>
      <color indexed="16"/>
      <name val="Arial"/>
      <family val="2"/>
    </font>
    <font>
      <sz val="8"/>
      <color indexed="17"/>
      <name val="Arial"/>
      <family val="2"/>
    </font>
    <font>
      <sz val="8"/>
      <color indexed="16"/>
      <name val="Arial"/>
      <family val="2"/>
    </font>
    <font>
      <b/>
      <sz val="12"/>
      <name val="Copperplate Gothic Light"/>
      <family val="2"/>
    </font>
    <font>
      <sz val="9"/>
      <name val="Arial"/>
      <family val="2"/>
    </font>
    <font>
      <sz val="8"/>
      <color indexed="22"/>
      <name val="Arial"/>
      <family val="2"/>
    </font>
    <font>
      <sz val="8"/>
      <color indexed="9"/>
      <name val="Arial"/>
      <family val="2"/>
    </font>
    <font>
      <sz val="8"/>
      <name val="Arial Narrow"/>
      <family val="2"/>
    </font>
    <font>
      <b/>
      <sz val="8"/>
      <color indexed="12"/>
      <name val="Arial"/>
      <family val="2"/>
    </font>
    <font>
      <i/>
      <sz val="10"/>
      <name val="Arial"/>
      <family val="2"/>
    </font>
    <font>
      <i/>
      <sz val="8"/>
      <color indexed="10"/>
      <name val="Arial"/>
      <family val="2"/>
    </font>
    <font>
      <b/>
      <sz val="9"/>
      <color indexed="9"/>
      <name val="Arial"/>
      <family val="2"/>
    </font>
    <font>
      <sz val="12"/>
      <color indexed="9"/>
      <name val="Copperplate Gothic Bold"/>
      <family val="2"/>
    </font>
    <font>
      <sz val="8"/>
      <color indexed="22"/>
      <name val="Arial"/>
      <family val="2"/>
    </font>
    <font>
      <sz val="12"/>
      <name val="Arial"/>
      <family val="2"/>
    </font>
    <font>
      <sz val="7"/>
      <color indexed="12"/>
      <name val="Arial"/>
      <family val="2"/>
    </font>
    <font>
      <sz val="7"/>
      <color indexed="12"/>
      <name val="Arial"/>
      <family val="2"/>
    </font>
    <font>
      <sz val="8"/>
      <name val="Arial"/>
      <family val="2"/>
    </font>
    <font>
      <sz val="9"/>
      <name val="Arial"/>
      <family val="2"/>
    </font>
    <font>
      <b/>
      <sz val="9"/>
      <name val="Arial"/>
      <family val="2"/>
    </font>
    <font>
      <sz val="9"/>
      <color indexed="8"/>
      <name val="Arial"/>
      <family val="2"/>
    </font>
    <font>
      <sz val="9"/>
      <color theme="9" tint="-0.249977111117893"/>
      <name val="Arial"/>
      <family val="2"/>
    </font>
    <font>
      <sz val="8"/>
      <color theme="9" tint="-0.249977111117893"/>
      <name val="Arial"/>
      <family val="2"/>
    </font>
    <font>
      <b/>
      <sz val="10"/>
      <color theme="9" tint="-0.249977111117893"/>
      <name val="Arial"/>
      <family val="2"/>
    </font>
    <font>
      <b/>
      <sz val="10"/>
      <color rgb="FF800000"/>
      <name val="Arial"/>
      <family val="2"/>
    </font>
    <font>
      <sz val="10"/>
      <color rgb="FF0000FF"/>
      <name val="Arial"/>
      <family val="2"/>
    </font>
    <font>
      <sz val="8"/>
      <name val="Verdana"/>
      <family val="2"/>
    </font>
    <font>
      <sz val="10"/>
      <name val="Verdana"/>
      <family val="2"/>
    </font>
    <font>
      <sz val="10"/>
      <color indexed="17"/>
      <name val="Verdana"/>
      <family val="2"/>
    </font>
    <font>
      <sz val="10"/>
      <color indexed="22"/>
      <name val="Verdana"/>
      <family val="2"/>
    </font>
    <font>
      <sz val="10"/>
      <color indexed="10"/>
      <name val="Verdana"/>
      <family val="2"/>
    </font>
    <font>
      <sz val="10"/>
      <color indexed="16"/>
      <name val="Verdana"/>
      <family val="2"/>
    </font>
    <font>
      <i/>
      <sz val="9"/>
      <color indexed="10"/>
      <name val="Verdana"/>
      <family val="2"/>
    </font>
    <font>
      <sz val="10"/>
      <color theme="9" tint="-0.249977111117893"/>
      <name val="Verdana"/>
      <family val="2"/>
    </font>
    <font>
      <sz val="10"/>
      <color rgb="FF800000"/>
      <name val="Verdana"/>
      <family val="2"/>
    </font>
    <font>
      <i/>
      <sz val="10"/>
      <color indexed="17"/>
      <name val="Verdana"/>
      <family val="2"/>
    </font>
    <font>
      <i/>
      <sz val="10"/>
      <color theme="9" tint="-0.249977111117893"/>
      <name val="Verdana"/>
      <family val="2"/>
    </font>
    <font>
      <sz val="10"/>
      <color theme="1"/>
      <name val="Arial"/>
      <family val="2"/>
    </font>
    <font>
      <sz val="11"/>
      <color theme="1"/>
      <name val="Arial"/>
      <family val="2"/>
    </font>
    <font>
      <b/>
      <sz val="12"/>
      <color indexed="8"/>
      <name val="Arial"/>
      <family val="2"/>
    </font>
    <font>
      <b/>
      <sz val="12"/>
      <color theme="1"/>
      <name val="Arial"/>
      <family val="2"/>
    </font>
    <font>
      <b/>
      <sz val="10"/>
      <color indexed="8"/>
      <name val="Arial"/>
      <family val="2"/>
    </font>
    <font>
      <b/>
      <sz val="10"/>
      <color theme="1"/>
      <name val="Arial"/>
      <family val="2"/>
    </font>
    <font>
      <sz val="10"/>
      <name val="Helv"/>
      <family val="2"/>
    </font>
    <font>
      <sz val="10"/>
      <name val="Helv"/>
      <charset val="204"/>
    </font>
    <font>
      <sz val="10"/>
      <color indexed="8"/>
      <name val="MS Sans Serif"/>
      <family val="2"/>
    </font>
    <font>
      <sz val="12"/>
      <name val="Times New Roman"/>
      <family val="1"/>
    </font>
    <font>
      <sz val="10"/>
      <name val="Times New Roman"/>
      <family val="1"/>
    </font>
    <font>
      <sz val="8"/>
      <name val="SWISS"/>
    </font>
    <font>
      <sz val="10"/>
      <name val="Helv"/>
    </font>
    <font>
      <sz val="11"/>
      <color indexed="8"/>
      <name val="Calibri"/>
      <family val="2"/>
    </font>
    <font>
      <sz val="11"/>
      <color indexed="9"/>
      <name val="Calibri"/>
      <family val="2"/>
    </font>
    <font>
      <sz val="10"/>
      <name val="Courier New"/>
      <family val="3"/>
    </font>
    <font>
      <sz val="8"/>
      <name val="Times New Roman"/>
      <family val="1"/>
    </font>
    <font>
      <sz val="12"/>
      <color indexed="8"/>
      <name val="Arial"/>
      <family val="2"/>
    </font>
    <font>
      <sz val="14"/>
      <color indexed="8"/>
      <name val="Arial"/>
      <family val="2"/>
    </font>
    <font>
      <sz val="2"/>
      <name val="Arial"/>
      <family val="2"/>
    </font>
    <font>
      <b/>
      <sz val="12"/>
      <name val="Helv"/>
    </font>
    <font>
      <sz val="12"/>
      <name val="Tms Rmn"/>
    </font>
    <font>
      <b/>
      <sz val="10"/>
      <name val="MS Sans Serif"/>
      <family val="2"/>
    </font>
    <font>
      <sz val="16"/>
      <name val="Arial"/>
      <family val="2"/>
    </font>
    <font>
      <sz val="11"/>
      <name val="Arial"/>
      <family val="2"/>
    </font>
    <font>
      <sz val="18"/>
      <name val="Arial"/>
      <family val="2"/>
    </font>
    <font>
      <b/>
      <sz val="10"/>
      <name val="Helv"/>
    </font>
    <font>
      <sz val="32"/>
      <name val="Arial"/>
      <family val="2"/>
    </font>
    <font>
      <b/>
      <sz val="20"/>
      <name val="Arial"/>
      <family val="2"/>
    </font>
    <font>
      <b/>
      <sz val="10"/>
      <name val="Times New Roman"/>
      <family val="1"/>
    </font>
    <font>
      <sz val="11"/>
      <name val="Tms Rmn"/>
    </font>
    <font>
      <sz val="11"/>
      <name val="Times"/>
      <family val="1"/>
    </font>
    <font>
      <sz val="10"/>
      <name val="Univers (E1)"/>
    </font>
    <font>
      <sz val="12"/>
      <name val="Helv"/>
    </font>
    <font>
      <sz val="12"/>
      <name val="Courier New"/>
      <family val="3"/>
    </font>
    <font>
      <sz val="10"/>
      <name val="MS Sans Serif"/>
      <family val="2"/>
    </font>
    <font>
      <i/>
      <sz val="9"/>
      <name val="Helv"/>
    </font>
    <font>
      <sz val="12"/>
      <name val="Arial MT"/>
    </font>
    <font>
      <sz val="11"/>
      <name val="Times New Roman"/>
      <family val="1"/>
    </font>
    <font>
      <b/>
      <sz val="11"/>
      <color indexed="8"/>
      <name val="Calibri"/>
      <family val="2"/>
    </font>
    <font>
      <sz val="8"/>
      <name val="Univers (WN)"/>
    </font>
    <font>
      <sz val="10"/>
      <color indexed="10"/>
      <name val="Helv"/>
    </font>
    <font>
      <sz val="12"/>
      <color indexed="24"/>
      <name val="Arial"/>
      <family val="2"/>
    </font>
    <font>
      <sz val="18"/>
      <name val="Helv"/>
    </font>
    <font>
      <sz val="26"/>
      <name val="Arial"/>
      <family val="2"/>
    </font>
    <font>
      <sz val="1"/>
      <color indexed="8"/>
      <name val="Courier"/>
      <family val="3"/>
    </font>
    <font>
      <sz val="12"/>
      <name val="Helvetica"/>
    </font>
    <font>
      <b/>
      <i/>
      <sz val="10"/>
      <name val="Comic Sans MS"/>
      <family val="4"/>
    </font>
    <font>
      <b/>
      <i/>
      <sz val="12"/>
      <name val="Arial"/>
      <family val="2"/>
    </font>
    <font>
      <b/>
      <sz val="10"/>
      <color indexed="9"/>
      <name val="Times New Roman"/>
      <family val="1"/>
    </font>
    <font>
      <b/>
      <sz val="12"/>
      <name val="Times New Roman"/>
      <family val="1"/>
    </font>
    <font>
      <b/>
      <u/>
      <sz val="10"/>
      <name val="Arial"/>
      <family val="2"/>
    </font>
    <font>
      <u/>
      <sz val="10"/>
      <color indexed="12"/>
      <name val="MS Sans Serif"/>
      <family val="2"/>
    </font>
    <font>
      <b/>
      <sz val="14"/>
      <name val="Arial"/>
      <family val="2"/>
    </font>
    <font>
      <sz val="12"/>
      <color indexed="9"/>
      <name val="Helv"/>
    </font>
    <font>
      <b/>
      <sz val="14"/>
      <name val="Times New Roman"/>
      <family val="1"/>
    </font>
    <font>
      <sz val="10"/>
      <name val="PragmaticaCTT"/>
    </font>
    <font>
      <sz val="9"/>
      <name val="Helv"/>
    </font>
    <font>
      <sz val="7"/>
      <name val="Small Fonts"/>
      <family val="2"/>
    </font>
    <font>
      <b/>
      <i/>
      <sz val="16"/>
      <name val="Helv"/>
    </font>
    <font>
      <sz val="22"/>
      <name val="Arial"/>
      <family val="2"/>
    </font>
    <font>
      <b/>
      <i/>
      <sz val="10"/>
      <color indexed="8"/>
      <name val="Arial"/>
      <family val="2"/>
    </font>
    <font>
      <b/>
      <i/>
      <sz val="22"/>
      <color indexed="8"/>
      <name val="Times New Roman"/>
      <family val="1"/>
    </font>
    <font>
      <b/>
      <sz val="10"/>
      <color indexed="8"/>
      <name val="Arial Narrow"/>
      <family val="2"/>
    </font>
    <font>
      <sz val="10"/>
      <color indexed="48"/>
      <name val="Times New Roman"/>
      <family val="1"/>
    </font>
    <font>
      <sz val="14"/>
      <name val="Arial"/>
      <family val="2"/>
    </font>
    <font>
      <sz val="24"/>
      <name val="Courier New"/>
      <family val="3"/>
    </font>
    <font>
      <sz val="11"/>
      <color indexed="58"/>
      <name val="Arial"/>
      <family val="2"/>
    </font>
    <font>
      <b/>
      <i/>
      <sz val="24"/>
      <name val="Times New Roman"/>
      <family val="1"/>
    </font>
    <font>
      <b/>
      <sz val="18"/>
      <color indexed="62"/>
      <name val="Cambria"/>
      <family val="2"/>
    </font>
    <font>
      <b/>
      <sz val="12"/>
      <name val="Courier"/>
      <family val="3"/>
    </font>
    <font>
      <b/>
      <sz val="8"/>
      <name val="Times New Roman"/>
      <family val="1"/>
    </font>
    <font>
      <b/>
      <sz val="8"/>
      <color indexed="9"/>
      <name val="Times New Roman"/>
      <family val="1"/>
    </font>
    <font>
      <b/>
      <sz val="11"/>
      <name val="Helv"/>
    </font>
    <font>
      <b/>
      <sz val="11"/>
      <color indexed="12"/>
      <name val="MS Sans Serif"/>
      <family val="2"/>
    </font>
    <font>
      <b/>
      <sz val="12"/>
      <name val="Univers (WN)"/>
    </font>
    <font>
      <sz val="10"/>
      <name val="Univers (WN)"/>
    </font>
    <font>
      <b/>
      <sz val="20"/>
      <name val="Univers (WN)"/>
    </font>
    <font>
      <b/>
      <sz val="18"/>
      <name val="Univers (WN)"/>
    </font>
    <font>
      <sz val="10"/>
      <name val="Arial Black"/>
      <family val="2"/>
    </font>
    <font>
      <sz val="11"/>
      <name val="Verdana"/>
      <family val="2"/>
    </font>
    <font>
      <b/>
      <sz val="9"/>
      <name val="Geneva"/>
    </font>
    <font>
      <b/>
      <sz val="24"/>
      <name val="Arial"/>
      <family val="2"/>
    </font>
    <font>
      <sz val="14"/>
      <name val="VAG Rounded Lt"/>
      <family val="2"/>
    </font>
    <font>
      <b/>
      <sz val="8"/>
      <name val="VAG Rounded Lt"/>
      <family val="2"/>
    </font>
    <font>
      <sz val="8"/>
      <color indexed="10"/>
      <name val="Arial Narrow"/>
      <family val="2"/>
    </font>
    <font>
      <sz val="8"/>
      <color theme="1"/>
      <name val="Arial"/>
      <family val="2"/>
    </font>
    <font>
      <b/>
      <sz val="10"/>
      <color theme="9" tint="-0.24994659260841701"/>
      <name val="Arial"/>
      <family val="2"/>
    </font>
    <font>
      <b/>
      <sz val="10"/>
      <color rgb="FF0000FF"/>
      <name val="Arial"/>
      <family val="2"/>
    </font>
    <font>
      <b/>
      <vertAlign val="superscript"/>
      <sz val="10"/>
      <color rgb="FF0000FF"/>
      <name val="Arial"/>
      <family val="2"/>
    </font>
    <font>
      <b/>
      <sz val="7"/>
      <color rgb="FF0000FF"/>
      <name val="Arial"/>
      <family val="2"/>
    </font>
    <font>
      <b/>
      <sz val="9"/>
      <color rgb="FF0000FF"/>
      <name val="Arial"/>
      <family val="2"/>
    </font>
    <font>
      <b/>
      <sz val="12"/>
      <color theme="0"/>
      <name val="Arial"/>
      <family val="2"/>
    </font>
    <font>
      <b/>
      <sz val="11"/>
      <color indexed="8"/>
      <name val="Arial"/>
      <family val="2"/>
    </font>
    <font>
      <b/>
      <sz val="10"/>
      <color indexed="12"/>
      <name val="Arial"/>
      <family val="2"/>
    </font>
    <font>
      <b/>
      <sz val="11"/>
      <color theme="1"/>
      <name val="Calibri"/>
      <family val="2"/>
      <scheme val="minor"/>
    </font>
    <font>
      <b/>
      <sz val="12"/>
      <color indexed="8"/>
      <name val="Calibri"/>
      <family val="2"/>
    </font>
    <font>
      <sz val="12"/>
      <color indexed="8"/>
      <name val="Calibri"/>
      <family val="2"/>
    </font>
    <font>
      <sz val="10"/>
      <name val="Arial Narrow"/>
      <family val="2"/>
    </font>
    <font>
      <sz val="10"/>
      <color theme="0"/>
      <name val="Arial"/>
      <family val="2"/>
    </font>
    <font>
      <b/>
      <sz val="10"/>
      <color indexed="9"/>
      <name val="Arial"/>
      <family val="2"/>
    </font>
    <font>
      <b/>
      <sz val="10"/>
      <color theme="0"/>
      <name val="Arial"/>
      <family val="2"/>
    </font>
    <font>
      <sz val="8"/>
      <color indexed="8"/>
      <name val="Arial"/>
      <family val="2"/>
    </font>
    <font>
      <b/>
      <sz val="10"/>
      <color rgb="FFFF0000"/>
      <name val="Arial"/>
      <family val="2"/>
    </font>
    <font>
      <b/>
      <i/>
      <sz val="10"/>
      <name val="Arial"/>
      <family val="2"/>
    </font>
    <font>
      <b/>
      <sz val="9"/>
      <color theme="0"/>
      <name val="Arial"/>
      <family val="2"/>
    </font>
  </fonts>
  <fills count="46">
    <fill>
      <patternFill patternType="none"/>
    </fill>
    <fill>
      <patternFill patternType="gray125"/>
    </fill>
    <fill>
      <patternFill patternType="solid">
        <fgColor indexed="9"/>
        <bgColor indexed="64"/>
      </patternFill>
    </fill>
    <fill>
      <patternFill patternType="solid">
        <fgColor indexed="12"/>
        <bgColor indexed="64"/>
      </patternFill>
    </fill>
    <fill>
      <patternFill patternType="solid">
        <fgColor indexed="22"/>
        <bgColor indexed="64"/>
      </patternFill>
    </fill>
    <fill>
      <patternFill patternType="solid">
        <fgColor indexed="47"/>
        <bgColor indexed="64"/>
      </patternFill>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rgb="FFFFCC99"/>
        <bgColor indexed="64"/>
      </patternFill>
    </fill>
    <fill>
      <patternFill patternType="solid">
        <fgColor rgb="FFFFFF99"/>
        <bgColor indexed="64"/>
      </patternFill>
    </fill>
    <fill>
      <patternFill patternType="solid">
        <fgColor rgb="FFCCFFFF"/>
        <bgColor indexed="64"/>
      </patternFill>
    </fill>
    <fill>
      <patternFill patternType="solid">
        <fgColor rgb="FFC0C0C0"/>
        <bgColor indexed="64"/>
      </patternFill>
    </fill>
    <fill>
      <patternFill patternType="solid">
        <fgColor rgb="FFFFCCFF"/>
        <bgColor indexed="64"/>
      </patternFill>
    </fill>
    <fill>
      <patternFill patternType="solid">
        <fgColor theme="0" tint="-0.14999847407452621"/>
        <bgColor indexed="64"/>
      </patternFill>
    </fill>
    <fill>
      <patternFill patternType="solid">
        <fgColor indexed="13"/>
        <bgColor indexed="64"/>
      </patternFill>
    </fill>
    <fill>
      <patternFill patternType="solid">
        <fgColor indexed="9"/>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gray0625">
        <bgColor indexed="9"/>
      </patternFill>
    </fill>
    <fill>
      <patternFill patternType="solid">
        <fgColor indexed="8"/>
        <bgColor indexed="64"/>
      </patternFill>
    </fill>
    <fill>
      <patternFill patternType="darkUp"/>
    </fill>
    <fill>
      <patternFill patternType="solid">
        <fgColor indexed="26"/>
        <bgColor indexed="64"/>
      </patternFill>
    </fill>
    <fill>
      <patternFill patternType="solid">
        <fgColor indexed="15"/>
      </patternFill>
    </fill>
    <fill>
      <patternFill patternType="solid">
        <fgColor indexed="11"/>
        <bgColor indexed="64"/>
      </patternFill>
    </fill>
    <fill>
      <patternFill patternType="solid">
        <fgColor indexed="12"/>
      </patternFill>
    </fill>
    <fill>
      <patternFill patternType="lightGray">
        <bgColor indexed="9"/>
      </patternFill>
    </fill>
    <fill>
      <patternFill patternType="solid">
        <fgColor indexed="53"/>
        <bgColor indexed="64"/>
      </patternFill>
    </fill>
    <fill>
      <patternFill patternType="mediumGray">
        <fgColor indexed="22"/>
      </patternFill>
    </fill>
    <fill>
      <patternFill patternType="solid">
        <fgColor indexed="31"/>
        <bgColor indexed="64"/>
      </patternFill>
    </fill>
    <fill>
      <patternFill patternType="solid">
        <fgColor indexed="63"/>
        <bgColor indexed="64"/>
      </patternFill>
    </fill>
    <fill>
      <patternFill patternType="solid">
        <fgColor rgb="FFCCFFCC"/>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7" tint="0.59999389629810485"/>
        <bgColor indexed="64"/>
      </patternFill>
    </fill>
    <fill>
      <patternFill patternType="solid">
        <fgColor theme="8" tint="0.59999389629810485"/>
        <bgColor indexed="64"/>
      </patternFill>
    </fill>
  </fills>
  <borders count="126">
    <border>
      <left/>
      <right/>
      <top/>
      <bottom/>
      <diagonal/>
    </border>
    <border>
      <left/>
      <right/>
      <top/>
      <bottom style="medium">
        <color indexed="64"/>
      </bottom>
      <diagonal/>
    </border>
    <border>
      <left/>
      <right/>
      <top style="thin">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24"/>
      </left>
      <right/>
      <top style="thin">
        <color indexed="24"/>
      </top>
      <bottom style="thin">
        <color indexed="24"/>
      </bottom>
      <diagonal/>
    </border>
    <border>
      <left style="thin">
        <color indexed="64"/>
      </left>
      <right style="thin">
        <color indexed="64"/>
      </right>
      <top style="thin">
        <color indexed="64"/>
      </top>
      <bottom/>
      <diagonal/>
    </border>
    <border>
      <left/>
      <right style="thin">
        <color indexed="24"/>
      </right>
      <top/>
      <bottom/>
      <diagonal/>
    </border>
    <border>
      <left/>
      <right style="thin">
        <color indexed="24"/>
      </right>
      <top style="thin">
        <color indexed="24"/>
      </top>
      <bottom style="thin">
        <color indexed="2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24"/>
      </left>
      <right style="thin">
        <color indexed="24"/>
      </right>
      <top style="thin">
        <color indexed="24"/>
      </top>
      <bottom style="thin">
        <color indexed="24"/>
      </bottom>
      <diagonal/>
    </border>
    <border>
      <left style="medium">
        <color indexed="64"/>
      </left>
      <right style="medium">
        <color indexed="64"/>
      </right>
      <top style="medium">
        <color indexed="64"/>
      </top>
      <bottom style="medium">
        <color indexed="64"/>
      </bottom>
      <diagonal/>
    </border>
    <border>
      <left/>
      <right style="medium">
        <color indexed="24"/>
      </right>
      <top style="medium">
        <color indexed="64"/>
      </top>
      <bottom style="medium">
        <color indexed="24"/>
      </bottom>
      <diagonal/>
    </border>
    <border>
      <left style="thin">
        <color indexed="64"/>
      </left>
      <right style="thin">
        <color indexed="64"/>
      </right>
      <top style="thin">
        <color indexed="64"/>
      </top>
      <bottom style="medium">
        <color indexed="64"/>
      </bottom>
      <diagonal/>
    </border>
    <border>
      <left style="medium">
        <color indexed="24"/>
      </left>
      <right/>
      <top style="medium">
        <color indexed="64"/>
      </top>
      <bottom style="medium">
        <color indexed="24"/>
      </bottom>
      <diagonal/>
    </border>
    <border>
      <left/>
      <right/>
      <top style="thin">
        <color indexed="24"/>
      </top>
      <bottom style="thin">
        <color indexed="24"/>
      </bottom>
      <diagonal/>
    </border>
    <border>
      <left style="medium">
        <color indexed="64"/>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right style="thin">
        <color rgb="FF9999FF"/>
      </right>
      <top/>
      <bottom/>
      <diagonal/>
    </border>
    <border>
      <left style="thin">
        <color rgb="FF9999FF"/>
      </left>
      <right/>
      <top style="thin">
        <color rgb="FF9999FF"/>
      </top>
      <bottom style="thin">
        <color rgb="FF9999FF"/>
      </bottom>
      <diagonal/>
    </border>
    <border>
      <left/>
      <right/>
      <top style="thin">
        <color rgb="FF9999FF"/>
      </top>
      <bottom style="thin">
        <color rgb="FF9999FF"/>
      </bottom>
      <diagonal/>
    </border>
    <border>
      <left/>
      <right style="thin">
        <color rgb="FF9999FF"/>
      </right>
      <top style="thin">
        <color rgb="FF9999FF"/>
      </top>
      <bottom style="thin">
        <color rgb="FF9999FF"/>
      </bottom>
      <diagonal/>
    </border>
    <border>
      <left style="thin">
        <color rgb="FF9999FF"/>
      </left>
      <right style="thin">
        <color rgb="FF9999FF"/>
      </right>
      <top style="thin">
        <color rgb="FF9999FF"/>
      </top>
      <bottom style="thin">
        <color rgb="FF9999FF"/>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indexed="8"/>
      </top>
      <bottom style="thin">
        <color indexed="8"/>
      </bottom>
      <diagonal/>
    </border>
    <border>
      <left style="hair">
        <color indexed="64"/>
      </left>
      <right style="hair">
        <color indexed="64"/>
      </right>
      <top style="hair">
        <color indexed="64"/>
      </top>
      <bottom style="hair">
        <color indexed="64"/>
      </bottom>
      <diagonal/>
    </border>
    <border>
      <left/>
      <right style="thin">
        <color indexed="64"/>
      </right>
      <top style="thin">
        <color indexed="22"/>
      </top>
      <bottom style="thin">
        <color indexed="22"/>
      </bottom>
      <diagonal/>
    </border>
    <border>
      <left style="double">
        <color indexed="64"/>
      </left>
      <right style="double">
        <color indexed="64"/>
      </right>
      <top style="double">
        <color indexed="64"/>
      </top>
      <bottom style="double">
        <color indexed="64"/>
      </bottom>
      <diagonal/>
    </border>
    <border>
      <left style="medium">
        <color indexed="9"/>
      </left>
      <right style="thin">
        <color indexed="9"/>
      </right>
      <top/>
      <bottom/>
      <diagonal/>
    </border>
    <border>
      <left style="medium">
        <color indexed="8"/>
      </left>
      <right/>
      <top/>
      <bottom/>
      <diagonal/>
    </border>
    <border>
      <left/>
      <right/>
      <top/>
      <bottom style="thick">
        <color indexed="64"/>
      </bottom>
      <diagonal/>
    </border>
    <border>
      <left/>
      <right style="thin">
        <color indexed="8"/>
      </right>
      <top/>
      <bottom/>
      <diagonal/>
    </border>
    <border>
      <left style="thin">
        <color indexed="64"/>
      </left>
      <right style="thin">
        <color indexed="64"/>
      </right>
      <top style="thin">
        <color indexed="64"/>
      </top>
      <bottom style="double">
        <color indexed="64"/>
      </bottom>
      <diagonal/>
    </border>
    <border>
      <left/>
      <right/>
      <top/>
      <bottom style="double">
        <color indexed="64"/>
      </bottom>
      <diagonal/>
    </border>
    <border>
      <left style="thin">
        <color indexed="8"/>
      </left>
      <right/>
      <top style="thin">
        <color indexed="8"/>
      </top>
      <bottom/>
      <diagonal/>
    </border>
    <border>
      <left/>
      <right/>
      <top style="thin">
        <color indexed="64"/>
      </top>
      <bottom style="double">
        <color indexed="64"/>
      </bottom>
      <diagonal/>
    </border>
    <border>
      <left style="thin">
        <color rgb="FF0000FF"/>
      </left>
      <right/>
      <top style="thin">
        <color rgb="FF0000FF"/>
      </top>
      <bottom style="thin">
        <color rgb="FF0000FF"/>
      </bottom>
      <diagonal/>
    </border>
    <border>
      <left/>
      <right/>
      <top style="thin">
        <color rgb="FF0000FF"/>
      </top>
      <bottom style="thin">
        <color rgb="FF0000FF"/>
      </bottom>
      <diagonal/>
    </border>
    <border>
      <left/>
      <right style="thin">
        <color rgb="FF0000FF"/>
      </right>
      <top style="thin">
        <color rgb="FF0000FF"/>
      </top>
      <bottom style="thin">
        <color rgb="FF0000FF"/>
      </bottom>
      <diagonal/>
    </border>
    <border>
      <left style="thin">
        <color rgb="FF9999FF"/>
      </left>
      <right/>
      <top/>
      <bottom/>
      <diagonal/>
    </border>
    <border>
      <left style="medium">
        <color indexed="64"/>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right style="thin">
        <color indexed="64"/>
      </right>
      <top style="thin">
        <color indexed="64"/>
      </top>
      <bottom style="thin">
        <color indexed="64"/>
      </bottom>
      <diagonal/>
    </border>
    <border>
      <left style="thin">
        <color rgb="FF0000FF"/>
      </left>
      <right/>
      <top/>
      <bottom/>
      <diagonal/>
    </border>
    <border>
      <left style="thin">
        <color indexed="24"/>
      </left>
      <right/>
      <top/>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right style="thin">
        <color auto="1"/>
      </right>
      <top/>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thin">
        <color auto="1"/>
      </top>
      <bottom style="thin">
        <color auto="1"/>
      </bottom>
      <diagonal/>
    </border>
    <border>
      <left/>
      <right/>
      <top style="medium">
        <color indexed="64"/>
      </top>
      <bottom style="thin">
        <color indexed="64"/>
      </bottom>
      <diagonal/>
    </border>
    <border>
      <left/>
      <right style="thin">
        <color auto="1"/>
      </right>
      <top style="thin">
        <color auto="1"/>
      </top>
      <bottom style="thin">
        <color auto="1"/>
      </bottom>
      <diagonal/>
    </border>
    <border>
      <left style="medium">
        <color indexed="64"/>
      </left>
      <right/>
      <top style="thin">
        <color indexed="64"/>
      </top>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style="thin">
        <color indexed="22"/>
      </top>
      <bottom style="thin">
        <color indexed="22"/>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style="thin">
        <color indexed="22"/>
      </left>
      <right/>
      <top style="thin">
        <color indexed="22"/>
      </top>
      <bottom style="thin">
        <color indexed="22"/>
      </bottom>
      <diagonal/>
    </border>
    <border>
      <left/>
      <right/>
      <top style="thin">
        <color auto="1"/>
      </top>
      <bottom style="thin">
        <color auto="1"/>
      </bottom>
      <diagonal/>
    </border>
    <border>
      <left/>
      <right/>
      <top style="thin">
        <color indexed="22"/>
      </top>
      <bottom style="thin">
        <color indexed="22"/>
      </bottom>
      <diagonal/>
    </border>
    <border>
      <left style="thin">
        <color indexed="22"/>
      </left>
      <right/>
      <top style="thin">
        <color indexed="22"/>
      </top>
      <bottom style="thin">
        <color indexed="22"/>
      </bottom>
      <diagonal/>
    </border>
    <border>
      <left style="thin">
        <color indexed="24"/>
      </left>
      <right/>
      <top style="thin">
        <color indexed="24"/>
      </top>
      <bottom style="thin">
        <color indexed="24"/>
      </bottom>
      <diagonal/>
    </border>
    <border>
      <left/>
      <right/>
      <top style="thin">
        <color indexed="24"/>
      </top>
      <bottom style="thin">
        <color indexed="24"/>
      </bottom>
      <diagonal/>
    </border>
    <border>
      <left/>
      <right style="thin">
        <color indexed="24"/>
      </right>
      <top style="thin">
        <color indexed="24"/>
      </top>
      <bottom style="thin">
        <color indexed="2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right style="medium">
        <color indexed="64"/>
      </right>
      <top style="medium">
        <color indexed="64"/>
      </top>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diagonal/>
    </border>
    <border>
      <left style="thin">
        <color indexed="24"/>
      </left>
      <right/>
      <top style="thin">
        <color indexed="24"/>
      </top>
      <bottom style="thin">
        <color indexed="24"/>
      </bottom>
      <diagonal/>
    </border>
    <border>
      <left/>
      <right style="thin">
        <color indexed="24"/>
      </right>
      <top style="thin">
        <color indexed="24"/>
      </top>
      <bottom style="thin">
        <color indexed="24"/>
      </bottom>
      <diagonal/>
    </border>
    <border>
      <left style="thin">
        <color indexed="24"/>
      </left>
      <right/>
      <top style="thin">
        <color indexed="24"/>
      </top>
      <bottom style="thin">
        <color indexed="24"/>
      </bottom>
      <diagonal/>
    </border>
    <border>
      <left/>
      <right style="thin">
        <color indexed="24"/>
      </right>
      <top style="thin">
        <color indexed="24"/>
      </top>
      <bottom style="thin">
        <color indexed="24"/>
      </bottom>
      <diagonal/>
    </border>
    <border>
      <left style="medium">
        <color indexed="24"/>
      </left>
      <right/>
      <top style="medium">
        <color indexed="24"/>
      </top>
      <bottom style="medium">
        <color indexed="24"/>
      </bottom>
      <diagonal/>
    </border>
    <border>
      <left/>
      <right style="medium">
        <color indexed="24"/>
      </right>
      <top style="medium">
        <color indexed="24"/>
      </top>
      <bottom style="medium">
        <color indexed="24"/>
      </bottom>
      <diagonal/>
    </border>
    <border>
      <left style="thin">
        <color indexed="24"/>
      </left>
      <right/>
      <top style="medium">
        <color indexed="64"/>
      </top>
      <bottom style="thin">
        <color indexed="24"/>
      </bottom>
      <diagonal/>
    </border>
    <border>
      <left/>
      <right style="thin">
        <color indexed="24"/>
      </right>
      <top style="medium">
        <color indexed="64"/>
      </top>
      <bottom style="thin">
        <color indexed="24"/>
      </bottom>
      <diagonal/>
    </border>
    <border>
      <left style="thin">
        <color indexed="64"/>
      </left>
      <right/>
      <top style="medium">
        <color indexed="64"/>
      </top>
      <bottom style="medium">
        <color indexed="64"/>
      </bottom>
      <diagonal/>
    </border>
    <border>
      <left/>
      <right/>
      <top style="thin">
        <color auto="1"/>
      </top>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24"/>
      </left>
      <right/>
      <top style="thin">
        <color indexed="24"/>
      </top>
      <bottom style="thin">
        <color indexed="24"/>
      </bottom>
      <diagonal/>
    </border>
    <border>
      <left/>
      <right/>
      <top style="thin">
        <color indexed="24"/>
      </top>
      <bottom style="thin">
        <color indexed="24"/>
      </bottom>
      <diagonal/>
    </border>
    <border>
      <left/>
      <right style="thin">
        <color indexed="24"/>
      </right>
      <top style="thin">
        <color indexed="24"/>
      </top>
      <bottom style="thin">
        <color indexed="24"/>
      </bottom>
      <diagonal/>
    </border>
    <border>
      <left/>
      <right/>
      <top style="thin">
        <color indexed="64"/>
      </top>
      <bottom/>
      <diagonal/>
    </border>
  </borders>
  <cellStyleXfs count="788">
    <xf numFmtId="0" fontId="0" fillId="0" borderId="0"/>
    <xf numFmtId="43" fontId="5" fillId="0" borderId="0" applyFont="0" applyFill="0" applyBorder="0" applyAlignment="0" applyProtection="0"/>
    <xf numFmtId="44" fontId="5" fillId="0" borderId="0" applyFont="0" applyFill="0" applyBorder="0" applyAlignment="0" applyProtection="0"/>
    <xf numFmtId="0" fontId="16" fillId="0" borderId="0" applyNumberFormat="0" applyFill="0" applyBorder="0" applyAlignment="0" applyProtection="0">
      <alignment vertical="top"/>
      <protection locked="0"/>
    </xf>
    <xf numFmtId="0" fontId="4" fillId="0" borderId="0"/>
    <xf numFmtId="0" fontId="4" fillId="0" borderId="0"/>
    <xf numFmtId="0" fontId="3" fillId="0" borderId="0"/>
    <xf numFmtId="168" fontId="5" fillId="0" borderId="0"/>
    <xf numFmtId="169" fontId="5" fillId="0" borderId="0"/>
    <xf numFmtId="170" fontId="5" fillId="0" borderId="0"/>
    <xf numFmtId="0" fontId="5" fillId="0" borderId="0"/>
    <xf numFmtId="171" fontId="5" fillId="0" borderId="0"/>
    <xf numFmtId="172" fontId="5" fillId="0" borderId="0"/>
    <xf numFmtId="173" fontId="5" fillId="0" borderId="0"/>
    <xf numFmtId="0" fontId="5" fillId="0" borderId="0"/>
    <xf numFmtId="0" fontId="72" fillId="0" borderId="0"/>
    <xf numFmtId="0" fontId="5" fillId="0" borderId="0"/>
    <xf numFmtId="0" fontId="5" fillId="0" borderId="0"/>
    <xf numFmtId="0" fontId="5" fillId="0" borderId="0"/>
    <xf numFmtId="0" fontId="5" fillId="0" borderId="0"/>
    <xf numFmtId="0" fontId="72" fillId="0" borderId="0"/>
    <xf numFmtId="0" fontId="73" fillId="0" borderId="0"/>
    <xf numFmtId="0" fontId="72" fillId="0" borderId="0"/>
    <xf numFmtId="0" fontId="5" fillId="0" borderId="0"/>
    <xf numFmtId="0" fontId="74" fillId="0" borderId="0" applyNumberFormat="0" applyFill="0" applyBorder="0" applyAlignment="0" applyProtection="0"/>
    <xf numFmtId="0" fontId="74" fillId="0" borderId="0" applyNumberFormat="0" applyFill="0" applyBorder="0" applyAlignment="0" applyProtection="0"/>
    <xf numFmtId="0" fontId="5" fillId="0" borderId="0"/>
    <xf numFmtId="0" fontId="5" fillId="0" borderId="0"/>
    <xf numFmtId="0" fontId="75" fillId="0" borderId="0"/>
    <xf numFmtId="0" fontId="72" fillId="0" borderId="0"/>
    <xf numFmtId="0" fontId="72" fillId="0" borderId="0"/>
    <xf numFmtId="0" fontId="5" fillId="0" borderId="0" applyFont="0" applyFill="0" applyBorder="0" applyAlignment="0" applyProtection="0"/>
    <xf numFmtId="0" fontId="5" fillId="0" borderId="0" applyFont="0" applyFill="0" applyBorder="0" applyAlignment="0" applyProtection="0"/>
    <xf numFmtId="174" fontId="76" fillId="0" borderId="0" applyFont="0" applyFill="0" applyBorder="0" applyAlignment="0" applyProtection="0">
      <alignment vertical="top"/>
    </xf>
    <xf numFmtId="175" fontId="76" fillId="0" borderId="0" applyFont="0" applyFill="0" applyBorder="0" applyAlignment="0" applyProtection="0">
      <alignment vertical="top"/>
    </xf>
    <xf numFmtId="176" fontId="76" fillId="0" borderId="0" applyFont="0" applyFill="0" applyBorder="0" applyAlignment="0">
      <alignment vertical="top"/>
    </xf>
    <xf numFmtId="9" fontId="5" fillId="8" borderId="0"/>
    <xf numFmtId="0" fontId="72" fillId="0" borderId="0"/>
    <xf numFmtId="0" fontId="5" fillId="0" borderId="0"/>
    <xf numFmtId="0" fontId="5" fillId="0" borderId="0"/>
    <xf numFmtId="0" fontId="75" fillId="0" borderId="0"/>
    <xf numFmtId="38" fontId="5" fillId="0" borderId="0"/>
    <xf numFmtId="177" fontId="5" fillId="0" borderId="0"/>
    <xf numFmtId="178" fontId="5" fillId="0" borderId="0"/>
    <xf numFmtId="179" fontId="5" fillId="0" borderId="0"/>
    <xf numFmtId="180" fontId="5" fillId="0" borderId="0"/>
    <xf numFmtId="181" fontId="5" fillId="0" borderId="0"/>
    <xf numFmtId="0" fontId="77" fillId="16" borderId="0"/>
    <xf numFmtId="0" fontId="77" fillId="16" borderId="0"/>
    <xf numFmtId="0" fontId="77" fillId="16" borderId="0"/>
    <xf numFmtId="0" fontId="77" fillId="16" borderId="0"/>
    <xf numFmtId="0" fontId="77" fillId="16" borderId="0"/>
    <xf numFmtId="0" fontId="77" fillId="16" borderId="0"/>
    <xf numFmtId="0" fontId="77" fillId="16" borderId="0"/>
    <xf numFmtId="0" fontId="77" fillId="16" borderId="0"/>
    <xf numFmtId="0" fontId="77" fillId="16" borderId="0"/>
    <xf numFmtId="0" fontId="77" fillId="16" borderId="0"/>
    <xf numFmtId="0" fontId="77" fillId="16" borderId="0"/>
    <xf numFmtId="0" fontId="77" fillId="16" borderId="0"/>
    <xf numFmtId="0" fontId="77" fillId="16" borderId="0"/>
    <xf numFmtId="0" fontId="77" fillId="16" borderId="0"/>
    <xf numFmtId="0" fontId="77" fillId="16" borderId="0"/>
    <xf numFmtId="0" fontId="77" fillId="16" borderId="0"/>
    <xf numFmtId="0" fontId="77" fillId="16" borderId="0"/>
    <xf numFmtId="0" fontId="77" fillId="16" borderId="0"/>
    <xf numFmtId="0" fontId="77" fillId="16" borderId="0"/>
    <xf numFmtId="0" fontId="78" fillId="0" borderId="0">
      <protection locked="0"/>
    </xf>
    <xf numFmtId="0" fontId="79" fillId="17" borderId="0" applyNumberFormat="0" applyBorder="0" applyAlignment="0" applyProtection="0"/>
    <xf numFmtId="0" fontId="79" fillId="17" borderId="0" applyNumberFormat="0" applyBorder="0" applyAlignment="0" applyProtection="0"/>
    <xf numFmtId="0" fontId="80" fillId="18" borderId="0" applyNumberFormat="0" applyBorder="0" applyAlignment="0" applyProtection="0"/>
    <xf numFmtId="0" fontId="79" fillId="19" borderId="0" applyNumberFormat="0" applyBorder="0" applyAlignment="0" applyProtection="0"/>
    <xf numFmtId="0" fontId="79" fillId="20" borderId="0" applyNumberFormat="0" applyBorder="0" applyAlignment="0" applyProtection="0"/>
    <xf numFmtId="0" fontId="80" fillId="21" borderId="0" applyNumberFormat="0" applyBorder="0" applyAlignment="0" applyProtection="0"/>
    <xf numFmtId="0" fontId="79" fillId="19" borderId="0" applyNumberFormat="0" applyBorder="0" applyAlignment="0" applyProtection="0"/>
    <xf numFmtId="0" fontId="79" fillId="22" borderId="0" applyNumberFormat="0" applyBorder="0" applyAlignment="0" applyProtection="0"/>
    <xf numFmtId="0" fontId="80" fillId="20" borderId="0" applyNumberFormat="0" applyBorder="0" applyAlignment="0" applyProtection="0"/>
    <xf numFmtId="0" fontId="79" fillId="17" borderId="0" applyNumberFormat="0" applyBorder="0" applyAlignment="0" applyProtection="0"/>
    <xf numFmtId="0" fontId="79" fillId="20" borderId="0" applyNumberFormat="0" applyBorder="0" applyAlignment="0" applyProtection="0"/>
    <xf numFmtId="0" fontId="80" fillId="20" borderId="0" applyNumberFormat="0" applyBorder="0" applyAlignment="0" applyProtection="0"/>
    <xf numFmtId="0" fontId="79" fillId="23" borderId="0" applyNumberFormat="0" applyBorder="0" applyAlignment="0" applyProtection="0"/>
    <xf numFmtId="0" fontId="79" fillId="17" borderId="0" applyNumberFormat="0" applyBorder="0" applyAlignment="0" applyProtection="0"/>
    <xf numFmtId="0" fontId="80" fillId="18" borderId="0" applyNumberFormat="0" applyBorder="0" applyAlignment="0" applyProtection="0"/>
    <xf numFmtId="0" fontId="79" fillId="19" borderId="0" applyNumberFormat="0" applyBorder="0" applyAlignment="0" applyProtection="0"/>
    <xf numFmtId="0" fontId="79" fillId="24" borderId="0" applyNumberFormat="0" applyBorder="0" applyAlignment="0" applyProtection="0"/>
    <xf numFmtId="0" fontId="80" fillId="24" borderId="0" applyNumberFormat="0" applyBorder="0" applyAlignment="0" applyProtection="0"/>
    <xf numFmtId="0" fontId="78" fillId="0" borderId="0" applyFill="0" applyBorder="0" applyProtection="0">
      <alignment horizontal="center"/>
    </xf>
    <xf numFmtId="0" fontId="6" fillId="0" borderId="0" applyNumberFormat="0" applyAlignment="0"/>
    <xf numFmtId="0" fontId="81" fillId="5" borderId="13" applyNumberFormat="0" applyFont="0" applyBorder="0" applyAlignment="0" applyProtection="0">
      <alignment horizontal="center"/>
    </xf>
    <xf numFmtId="6" fontId="5" fillId="0" borderId="0"/>
    <xf numFmtId="0" fontId="82" fillId="0" borderId="0">
      <alignment horizontal="center" wrapText="1"/>
      <protection locked="0"/>
    </xf>
    <xf numFmtId="3" fontId="83" fillId="0" borderId="0" applyNumberFormat="0" applyFill="0" applyBorder="0" applyAlignment="0" applyProtection="0"/>
    <xf numFmtId="3" fontId="84" fillId="0" borderId="0" applyNumberFormat="0" applyFill="0" applyBorder="0" applyAlignment="0" applyProtection="0"/>
    <xf numFmtId="182" fontId="5" fillId="0" borderId="0" applyNumberFormat="0" applyBorder="0" applyAlignment="0">
      <alignment horizontal="left"/>
    </xf>
    <xf numFmtId="183" fontId="6" fillId="0" borderId="0" applyFont="0" applyFill="0" applyBorder="0" applyAlignment="0" applyProtection="0"/>
    <xf numFmtId="0" fontId="85" fillId="0" borderId="0" applyNumberFormat="0" applyAlignment="0"/>
    <xf numFmtId="0" fontId="86" fillId="0" borderId="52"/>
    <xf numFmtId="0" fontId="87" fillId="0" borderId="0" applyNumberFormat="0" applyFill="0" applyBorder="0" applyAlignment="0" applyProtection="0"/>
    <xf numFmtId="5" fontId="88" fillId="0" borderId="2" applyAlignment="0" applyProtection="0"/>
    <xf numFmtId="0" fontId="89" fillId="0" borderId="2">
      <alignment horizontal="left" vertical="top"/>
    </xf>
    <xf numFmtId="0" fontId="89" fillId="0" borderId="31" applyBorder="0">
      <alignment horizontal="right" vertical="top"/>
    </xf>
    <xf numFmtId="8" fontId="6" fillId="0" borderId="0">
      <alignment horizontal="right"/>
    </xf>
    <xf numFmtId="0" fontId="77" fillId="16" borderId="0"/>
    <xf numFmtId="0" fontId="77" fillId="16" borderId="0"/>
    <xf numFmtId="184" fontId="22" fillId="0" borderId="0" applyFill="0" applyBorder="0" applyAlignment="0"/>
    <xf numFmtId="185" fontId="78" fillId="0" borderId="0" applyFill="0" applyBorder="0" applyAlignment="0"/>
    <xf numFmtId="186" fontId="78" fillId="0" borderId="0" applyFill="0" applyBorder="0" applyAlignment="0"/>
    <xf numFmtId="187" fontId="78" fillId="0" borderId="0" applyFill="0" applyBorder="0" applyAlignment="0"/>
    <xf numFmtId="188" fontId="78" fillId="0" borderId="0" applyFill="0" applyBorder="0" applyAlignment="0"/>
    <xf numFmtId="44" fontId="78" fillId="0" borderId="0" applyFill="0" applyBorder="0" applyAlignment="0"/>
    <xf numFmtId="189" fontId="78" fillId="0" borderId="0" applyFill="0" applyBorder="0" applyAlignment="0"/>
    <xf numFmtId="185" fontId="78" fillId="0" borderId="0" applyFill="0" applyBorder="0" applyAlignment="0"/>
    <xf numFmtId="0" fontId="90" fillId="0" borderId="53" applyNumberFormat="0" applyAlignment="0"/>
    <xf numFmtId="0" fontId="91" fillId="0" borderId="27" applyNumberFormat="0" applyBorder="0">
      <alignment horizontal="right" vertical="center" wrapText="1"/>
    </xf>
    <xf numFmtId="0" fontId="91" fillId="0" borderId="2" applyNumberFormat="0">
      <alignment horizontal="center"/>
    </xf>
    <xf numFmtId="0" fontId="5" fillId="4" borderId="0" applyNumberFormat="0">
      <alignment horizontal="center"/>
    </xf>
    <xf numFmtId="0" fontId="92" fillId="0" borderId="0"/>
    <xf numFmtId="0" fontId="5" fillId="5" borderId="0" applyNumberFormat="0" applyBorder="0">
      <alignment horizontal="right" vertical="top" wrapText="1"/>
    </xf>
    <xf numFmtId="0" fontId="93" fillId="0" borderId="30">
      <alignment horizontal="left"/>
    </xf>
    <xf numFmtId="0" fontId="94" fillId="0" borderId="13">
      <alignment horizontal="center" vertical="center" shrinkToFit="1"/>
      <protection locked="0"/>
    </xf>
    <xf numFmtId="0" fontId="95" fillId="0" borderId="30"/>
    <xf numFmtId="190" fontId="96"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6"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6"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6"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6"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6"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6"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6"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190" fontId="97" fillId="0" borderId="0"/>
    <xf numFmtId="44" fontId="78" fillId="0" borderId="0" applyFont="0" applyFill="0" applyBorder="0" applyAlignment="0" applyProtection="0"/>
    <xf numFmtId="38" fontId="98" fillId="0" borderId="0" applyFont="0" applyFill="0" applyBorder="0" applyAlignment="0" applyProtection="0"/>
    <xf numFmtId="191" fontId="98" fillId="0" borderId="0" applyFont="0" applyFill="0" applyBorder="0" applyAlignment="0" applyProtection="0"/>
    <xf numFmtId="43" fontId="5" fillId="0" borderId="0" applyFont="0" applyFill="0" applyBorder="0" applyAlignment="0" applyProtection="0"/>
    <xf numFmtId="43" fontId="79" fillId="0" borderId="0" applyFont="0" applyFill="0" applyBorder="0" applyAlignment="0" applyProtection="0"/>
    <xf numFmtId="43" fontId="79" fillId="0" borderId="0" applyFont="0" applyFill="0" applyBorder="0" applyAlignment="0" applyProtection="0"/>
    <xf numFmtId="43" fontId="79" fillId="0" borderId="0" applyFont="0" applyFill="0" applyBorder="0" applyAlignment="0" applyProtection="0"/>
    <xf numFmtId="43" fontId="79" fillId="0" borderId="0" applyFont="0" applyFill="0" applyBorder="0" applyAlignment="0" applyProtection="0"/>
    <xf numFmtId="43" fontId="79" fillId="0" borderId="0" applyFont="0" applyFill="0" applyBorder="0" applyAlignment="0" applyProtection="0"/>
    <xf numFmtId="43" fontId="79" fillId="0" borderId="0" applyFont="0" applyFill="0" applyBorder="0" applyAlignment="0" applyProtection="0"/>
    <xf numFmtId="3" fontId="5" fillId="0" borderId="0" applyFont="0" applyFill="0" applyBorder="0" applyAlignment="0" applyProtection="0"/>
    <xf numFmtId="0" fontId="99" fillId="0" borderId="0"/>
    <xf numFmtId="0" fontId="78" fillId="0" borderId="0"/>
    <xf numFmtId="0" fontId="78" fillId="0" borderId="0"/>
    <xf numFmtId="3" fontId="5" fillId="0" borderId="0" applyFill="0" applyBorder="0" applyAlignment="0" applyProtection="0"/>
    <xf numFmtId="0" fontId="99" fillId="0" borderId="0"/>
    <xf numFmtId="0" fontId="6" fillId="0" borderId="0"/>
    <xf numFmtId="0" fontId="5" fillId="0" borderId="13" applyNumberFormat="0" applyProtection="0">
      <alignment horizontal="left" vertical="center"/>
    </xf>
    <xf numFmtId="192" fontId="76" fillId="6" borderId="0" applyFont="0" applyFill="0" applyBorder="0" applyAlignment="0">
      <alignment vertical="top"/>
    </xf>
    <xf numFmtId="0" fontId="78" fillId="0" borderId="0"/>
    <xf numFmtId="0" fontId="78" fillId="0" borderId="0"/>
    <xf numFmtId="0" fontId="78" fillId="0" borderId="0"/>
    <xf numFmtId="0" fontId="78" fillId="0" borderId="0"/>
    <xf numFmtId="0" fontId="78" fillId="0" borderId="0"/>
    <xf numFmtId="185" fontId="78" fillId="0" borderId="0" applyFont="0" applyFill="0" applyBorder="0" applyAlignment="0" applyProtection="0"/>
    <xf numFmtId="193" fontId="5" fillId="0" borderId="0" applyFont="0" applyFill="0" applyBorder="0" applyAlignment="0" applyProtection="0"/>
    <xf numFmtId="194" fontId="5" fillId="0" borderId="0" applyFont="0" applyFill="0" applyBorder="0" applyAlignment="0" applyProtection="0"/>
    <xf numFmtId="195" fontId="5" fillId="0" borderId="0" applyFont="0" applyFill="0" applyBorder="0" applyAlignment="0" applyProtection="0"/>
    <xf numFmtId="196" fontId="5" fillId="0" borderId="0" applyFont="0" applyFill="0" applyBorder="0" applyAlignment="0" applyProtection="0"/>
    <xf numFmtId="197" fontId="5" fillId="0" borderId="0" applyFont="0" applyFill="0" applyBorder="0" applyAlignment="0" applyProtection="0"/>
    <xf numFmtId="198" fontId="5" fillId="0" borderId="0" applyFont="0" applyFill="0" applyBorder="0" applyAlignment="0" applyProtection="0"/>
    <xf numFmtId="199" fontId="5" fillId="0" borderId="0" applyFont="0" applyFill="0" applyBorder="0" applyAlignment="0" applyProtection="0"/>
    <xf numFmtId="200" fontId="5" fillId="0" borderId="0" applyFont="0" applyFill="0" applyBorder="0" applyAlignment="0" applyProtection="0"/>
    <xf numFmtId="201" fontId="5" fillId="0" borderId="0" applyFont="0" applyFill="0" applyBorder="0" applyAlignment="0" applyProtection="0"/>
    <xf numFmtId="202" fontId="5" fillId="0" borderId="0" applyFont="0" applyFill="0" applyBorder="0" applyAlignment="0" applyProtection="0"/>
    <xf numFmtId="203" fontId="5" fillId="0" borderId="0" applyFont="0" applyFill="0" applyBorder="0" applyAlignment="0" applyProtection="0"/>
    <xf numFmtId="204" fontId="5" fillId="0" borderId="0" applyFont="0" applyFill="0" applyBorder="0" applyAlignment="0" applyProtection="0"/>
    <xf numFmtId="205" fontId="5" fillId="0" borderId="0" applyFont="0" applyFill="0" applyBorder="0" applyAlignment="0" applyProtection="0"/>
    <xf numFmtId="206" fontId="5" fillId="0" borderId="0" applyFont="0" applyFill="0" applyBorder="0" applyAlignment="0" applyProtection="0"/>
    <xf numFmtId="207" fontId="5" fillId="0" borderId="0" applyFont="0" applyFill="0" applyBorder="0" applyAlignment="0" applyProtection="0"/>
    <xf numFmtId="208" fontId="5" fillId="0" borderId="0" applyFont="0" applyFill="0" applyBorder="0" applyAlignment="0" applyProtection="0"/>
    <xf numFmtId="209" fontId="5" fillId="0" borderId="0" applyFont="0" applyFill="0" applyBorder="0" applyAlignment="0" applyProtection="0"/>
    <xf numFmtId="210" fontId="5" fillId="0" borderId="0" applyFont="0" applyFill="0" applyBorder="0" applyAlignment="0" applyProtection="0"/>
    <xf numFmtId="211" fontId="5" fillId="0" borderId="0" applyFont="0" applyFill="0" applyBorder="0" applyAlignment="0" applyProtection="0"/>
    <xf numFmtId="212" fontId="5" fillId="0" borderId="0" applyFont="0" applyFill="0" applyBorder="0" applyAlignment="0" applyProtection="0"/>
    <xf numFmtId="5" fontId="5" fillId="0" borderId="0" applyFont="0" applyFill="0" applyBorder="0" applyAlignment="0" applyProtection="0"/>
    <xf numFmtId="164" fontId="93" fillId="0" borderId="34" applyBorder="0">
      <alignment horizontal="right" vertical="center" wrapText="1" shrinkToFit="1"/>
      <protection locked="0"/>
    </xf>
    <xf numFmtId="213" fontId="76" fillId="8" borderId="54" applyFont="0" applyFill="0" applyBorder="0" applyAlignment="0" applyProtection="0">
      <alignment horizontal="center" vertical="top"/>
    </xf>
    <xf numFmtId="214" fontId="76" fillId="8" borderId="0" applyFont="0" applyFill="0" applyBorder="0" applyAlignment="0" applyProtection="0">
      <alignment vertical="top"/>
    </xf>
    <xf numFmtId="0" fontId="86" fillId="0" borderId="25" applyNumberFormat="0" applyBorder="0">
      <alignment horizontal="centerContinuous"/>
    </xf>
    <xf numFmtId="215" fontId="95" fillId="0" borderId="13">
      <alignment horizontal="left"/>
    </xf>
    <xf numFmtId="0" fontId="78" fillId="0" borderId="0"/>
    <xf numFmtId="14" fontId="22" fillId="0" borderId="0" applyFill="0" applyBorder="0" applyAlignment="0"/>
    <xf numFmtId="0" fontId="5" fillId="0" borderId="0">
      <protection locked="0"/>
    </xf>
    <xf numFmtId="216" fontId="100" fillId="0" borderId="13">
      <alignment vertical="center" wrapText="1"/>
    </xf>
    <xf numFmtId="0" fontId="101" fillId="0" borderId="0" applyFont="0" applyFill="0" applyBorder="0" applyProtection="0">
      <alignment vertical="center"/>
    </xf>
    <xf numFmtId="0" fontId="102" fillId="0" borderId="0">
      <alignment horizontal="left" vertical="top" wrapText="1"/>
    </xf>
    <xf numFmtId="49" fontId="90" fillId="0" borderId="0">
      <alignment horizontal="left" vertical="center"/>
    </xf>
    <xf numFmtId="0" fontId="5" fillId="5" borderId="13" applyNumberFormat="0" applyFont="0" applyBorder="0" applyAlignment="0" applyProtection="0">
      <alignment horizontal="left" vertical="center"/>
    </xf>
    <xf numFmtId="0" fontId="103" fillId="16" borderId="0"/>
    <xf numFmtId="0" fontId="5" fillId="0" borderId="55">
      <alignment horizontal="justify" vertical="top" wrapText="1"/>
    </xf>
    <xf numFmtId="0" fontId="5" fillId="0" borderId="55">
      <alignment horizontal="justify" vertical="top" wrapText="1"/>
    </xf>
    <xf numFmtId="0" fontId="5" fillId="0" borderId="55">
      <alignment horizontal="justify" vertical="top" wrapText="1"/>
    </xf>
    <xf numFmtId="0" fontId="5" fillId="0" borderId="55">
      <alignment horizontal="justify" vertical="top" wrapText="1"/>
    </xf>
    <xf numFmtId="14" fontId="76" fillId="0" borderId="0" applyNumberFormat="0"/>
    <xf numFmtId="0" fontId="75" fillId="0" borderId="13">
      <alignment horizontal="left" vertical="top" wrapText="1"/>
    </xf>
    <xf numFmtId="0" fontId="75" fillId="0" borderId="13">
      <alignment horizontal="left" vertical="top" wrapText="1"/>
    </xf>
    <xf numFmtId="0" fontId="75" fillId="0" borderId="13">
      <alignment horizontal="left" vertical="top" wrapText="1"/>
    </xf>
    <xf numFmtId="0" fontId="104" fillId="0" borderId="13">
      <alignment horizontal="left" vertical="top" wrapText="1" indent="2"/>
    </xf>
    <xf numFmtId="0" fontId="104" fillId="0" borderId="13">
      <alignment horizontal="left" vertical="top" wrapText="1" indent="4"/>
    </xf>
    <xf numFmtId="0" fontId="104" fillId="0" borderId="13">
      <alignment horizontal="left" vertical="top" wrapText="1" indent="7"/>
    </xf>
    <xf numFmtId="0" fontId="104" fillId="0" borderId="13">
      <alignment horizontal="left" vertical="top" wrapText="1" indent="9"/>
    </xf>
    <xf numFmtId="0" fontId="104" fillId="0" borderId="13">
      <alignment horizontal="left" vertical="top" wrapText="1" indent="11"/>
    </xf>
    <xf numFmtId="4" fontId="81" fillId="0" borderId="0">
      <alignment horizontal="right"/>
    </xf>
    <xf numFmtId="0" fontId="81" fillId="0" borderId="0" applyAlignment="0"/>
    <xf numFmtId="0" fontId="105" fillId="25" borderId="0" applyNumberFormat="0" applyBorder="0" applyAlignment="0" applyProtection="0"/>
    <xf numFmtId="0" fontId="105" fillId="26" borderId="0" applyNumberFormat="0" applyBorder="0" applyAlignment="0" applyProtection="0"/>
    <xf numFmtId="0" fontId="105" fillId="27" borderId="0" applyNumberFormat="0" applyBorder="0" applyAlignment="0" applyProtection="0"/>
    <xf numFmtId="44" fontId="78" fillId="0" borderId="0" applyFill="0" applyBorder="0" applyAlignment="0"/>
    <xf numFmtId="185" fontId="78" fillId="0" borderId="0" applyFill="0" applyBorder="0" applyAlignment="0"/>
    <xf numFmtId="44" fontId="78" fillId="0" borderId="0" applyFill="0" applyBorder="0" applyAlignment="0"/>
    <xf numFmtId="189" fontId="78" fillId="0" borderId="0" applyFill="0" applyBorder="0" applyAlignment="0"/>
    <xf numFmtId="185" fontId="78" fillId="0" borderId="0" applyFill="0" applyBorder="0" applyAlignment="0"/>
    <xf numFmtId="217" fontId="106" fillId="0" borderId="0"/>
    <xf numFmtId="218" fontId="5" fillId="0" borderId="0" applyFont="0" applyFill="0" applyBorder="0" applyAlignment="0" applyProtection="0"/>
    <xf numFmtId="218" fontId="5" fillId="0" borderId="0" applyFont="0" applyFill="0" applyBorder="0" applyAlignment="0" applyProtection="0"/>
    <xf numFmtId="218" fontId="5" fillId="0" borderId="0" applyFont="0" applyFill="0" applyBorder="0" applyAlignment="0" applyProtection="0"/>
    <xf numFmtId="4" fontId="107" fillId="0" borderId="13"/>
    <xf numFmtId="0" fontId="108" fillId="0" borderId="0" applyProtection="0"/>
    <xf numFmtId="0" fontId="109" fillId="0" borderId="0"/>
    <xf numFmtId="0" fontId="108" fillId="0" borderId="0" applyProtection="0"/>
    <xf numFmtId="0" fontId="108" fillId="0" borderId="0" applyProtection="0"/>
    <xf numFmtId="0" fontId="108" fillId="0" borderId="0" applyProtection="0"/>
    <xf numFmtId="0" fontId="108" fillId="0" borderId="0" applyProtection="0"/>
    <xf numFmtId="0" fontId="108" fillId="0" borderId="0" applyProtection="0"/>
    <xf numFmtId="0" fontId="108" fillId="0" borderId="0" applyProtection="0"/>
    <xf numFmtId="216" fontId="100" fillId="28" borderId="13" applyFont="0">
      <alignment horizontal="center" vertical="center" shrinkToFit="1"/>
    </xf>
    <xf numFmtId="0" fontId="110" fillId="0" borderId="14">
      <alignment horizontal="left"/>
      <protection locked="0"/>
    </xf>
    <xf numFmtId="219" fontId="111" fillId="0" borderId="0">
      <protection locked="0"/>
    </xf>
    <xf numFmtId="0" fontId="78" fillId="0" borderId="0"/>
    <xf numFmtId="0" fontId="112" fillId="0" borderId="0" applyNumberFormat="0" applyFill="0" applyBorder="0"/>
    <xf numFmtId="0" fontId="91" fillId="0" borderId="14" applyNumberFormat="0" applyBorder="0">
      <protection locked="0"/>
    </xf>
    <xf numFmtId="0" fontId="5" fillId="0" borderId="14">
      <alignment horizontal="center"/>
    </xf>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38" fontId="6" fillId="4" borderId="0" applyNumberFormat="0" applyBorder="0" applyAlignment="0" applyProtection="0"/>
    <xf numFmtId="0" fontId="113" fillId="0" borderId="1" applyFill="0" applyProtection="0">
      <alignment horizontal="center"/>
    </xf>
    <xf numFmtId="0" fontId="114" fillId="0" borderId="0"/>
    <xf numFmtId="49" fontId="12" fillId="0" borderId="0"/>
    <xf numFmtId="0" fontId="17" fillId="0" borderId="3" applyNumberFormat="0" applyAlignment="0" applyProtection="0">
      <alignment horizontal="left" vertical="center"/>
    </xf>
    <xf numFmtId="0" fontId="17" fillId="0" borderId="33">
      <alignment horizontal="left" vertical="center"/>
    </xf>
    <xf numFmtId="0" fontId="115" fillId="29" borderId="56">
      <alignment horizontal="center"/>
    </xf>
    <xf numFmtId="0" fontId="115" fillId="29" borderId="56" applyAlignment="0">
      <alignment horizontal="center"/>
    </xf>
    <xf numFmtId="0" fontId="115" fillId="29" borderId="57"/>
    <xf numFmtId="0" fontId="116" fillId="0" borderId="0">
      <alignment vertical="top"/>
      <protection hidden="1"/>
    </xf>
    <xf numFmtId="220" fontId="5" fillId="0" borderId="13" applyFont="0" applyBorder="0" applyAlignment="0">
      <alignment horizontal="right"/>
    </xf>
    <xf numFmtId="49" fontId="8" fillId="0" borderId="0">
      <alignment horizontal="left"/>
    </xf>
    <xf numFmtId="49" fontId="117" fillId="0" borderId="0">
      <alignment horizontal="left"/>
    </xf>
    <xf numFmtId="1" fontId="5" fillId="0" borderId="0" applyFont="0" applyFill="0" applyBorder="0" applyAlignment="0" applyProtection="0"/>
    <xf numFmtId="1" fontId="5" fillId="0" borderId="0" applyFont="0" applyFill="0" applyBorder="0" applyAlignment="0" applyProtection="0"/>
    <xf numFmtId="49" fontId="8" fillId="0" borderId="0"/>
    <xf numFmtId="165" fontId="5" fillId="0" borderId="0" applyFont="0" applyFill="0" applyBorder="0" applyAlignment="0" applyProtection="0"/>
    <xf numFmtId="49" fontId="8" fillId="0" borderId="0"/>
    <xf numFmtId="49" fontId="8" fillId="0" borderId="0"/>
    <xf numFmtId="49" fontId="8" fillId="0" borderId="0">
      <alignment vertical="top"/>
    </xf>
    <xf numFmtId="0" fontId="118" fillId="0" borderId="0" applyNumberFormat="0" applyFill="0" applyBorder="0" applyAlignment="0" applyProtection="0">
      <alignment vertical="top"/>
      <protection locked="0"/>
    </xf>
    <xf numFmtId="38" fontId="78" fillId="0" borderId="0" applyFill="0" applyBorder="0" applyProtection="0">
      <alignment horizontal="center"/>
    </xf>
    <xf numFmtId="185" fontId="5" fillId="30" borderId="0" applyNumberFormat="0" applyFont="0" applyBorder="0" applyAlignment="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0" fontId="6" fillId="31" borderId="13" applyNumberFormat="0" applyBorder="0" applyAlignment="0" applyProtection="0"/>
    <xf numFmtId="185" fontId="99" fillId="32" borderId="0"/>
    <xf numFmtId="44" fontId="76" fillId="0" borderId="16" applyBorder="0" applyAlignment="0">
      <alignment vertical="center" wrapText="1"/>
      <protection locked="0"/>
    </xf>
    <xf numFmtId="0" fontId="5" fillId="33" borderId="13" applyFont="0" applyFill="0" applyBorder="0" applyAlignment="0" applyProtection="0">
      <alignment horizontal="center"/>
      <protection locked="0"/>
    </xf>
    <xf numFmtId="0" fontId="78" fillId="0" borderId="24"/>
    <xf numFmtId="0" fontId="119" fillId="0" borderId="0">
      <alignment horizontal="right"/>
    </xf>
    <xf numFmtId="44" fontId="78" fillId="0" borderId="0" applyFill="0" applyBorder="0" applyAlignment="0"/>
    <xf numFmtId="185" fontId="78" fillId="0" borderId="0" applyFill="0" applyBorder="0" applyAlignment="0"/>
    <xf numFmtId="44" fontId="78" fillId="0" borderId="0" applyFill="0" applyBorder="0" applyAlignment="0"/>
    <xf numFmtId="189" fontId="78" fillId="0" borderId="0" applyFill="0" applyBorder="0" applyAlignment="0"/>
    <xf numFmtId="185" fontId="78" fillId="0" borderId="0" applyFill="0" applyBorder="0" applyAlignment="0"/>
    <xf numFmtId="185" fontId="120" fillId="34" borderId="0"/>
    <xf numFmtId="5" fontId="95" fillId="4" borderId="0" applyFill="0" applyBorder="0">
      <alignment horizontal="right"/>
    </xf>
    <xf numFmtId="0" fontId="100" fillId="0" borderId="13" applyFill="0" applyBorder="0" applyProtection="0">
      <alignment vertical="center"/>
    </xf>
    <xf numFmtId="17" fontId="76" fillId="0" borderId="0" applyFont="0" applyFill="0" applyBorder="0" applyAlignment="0">
      <alignment vertical="top"/>
    </xf>
    <xf numFmtId="0" fontId="121" fillId="35" borderId="58"/>
    <xf numFmtId="38" fontId="101" fillId="0" borderId="0" applyFont="0" applyFill="0" applyBorder="0" applyAlignment="0" applyProtection="0"/>
    <xf numFmtId="40" fontId="101" fillId="0" borderId="0" applyFont="0" applyFill="0" applyBorder="0" applyAlignment="0" applyProtection="0"/>
    <xf numFmtId="0" fontId="5" fillId="0" borderId="0" applyFont="0" applyFill="0" applyBorder="0" applyAlignment="0" applyProtection="0"/>
    <xf numFmtId="0" fontId="5" fillId="0" borderId="0" applyFont="0" applyFill="0" applyBorder="0" applyAlignment="0" applyProtection="0"/>
    <xf numFmtId="0" fontId="89" fillId="0" borderId="5">
      <alignment horizontal="center" vertical="center"/>
      <protection locked="0"/>
    </xf>
    <xf numFmtId="6" fontId="101" fillId="0" borderId="0" applyFont="0" applyFill="0" applyBorder="0" applyAlignment="0" applyProtection="0"/>
    <xf numFmtId="8" fontId="101" fillId="0" borderId="0" applyFont="0" applyFill="0" applyBorder="0" applyAlignment="0" applyProtection="0"/>
    <xf numFmtId="0" fontId="5" fillId="0" borderId="0" applyFont="0" applyFill="0" applyBorder="0" applyAlignment="0" applyProtection="0"/>
    <xf numFmtId="0" fontId="122" fillId="0" borderId="0" applyFont="0" applyFill="0" applyBorder="0" applyAlignment="0" applyProtection="0"/>
    <xf numFmtId="221" fontId="123" fillId="0" borderId="0" applyFont="0" applyFill="0" applyBorder="0"/>
    <xf numFmtId="0" fontId="100" fillId="15" borderId="13" applyNumberFormat="0" applyFont="0" applyBorder="0" applyAlignment="0" applyProtection="0">
      <alignment vertical="center"/>
    </xf>
    <xf numFmtId="37" fontId="124" fillId="0" borderId="0"/>
    <xf numFmtId="213" fontId="76" fillId="0" borderId="31" applyNumberFormat="0" applyFont="0" applyFill="0" applyBorder="0" applyAlignment="0" applyProtection="0">
      <alignment vertical="top"/>
    </xf>
    <xf numFmtId="222" fontId="125"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3" fillId="0" borderId="0"/>
    <xf numFmtId="0" fontId="3" fillId="0" borderId="0"/>
    <xf numFmtId="0" fontId="3"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79" fillId="0" borderId="0"/>
    <xf numFmtId="0" fontId="79" fillId="0" borderId="0"/>
    <xf numFmtId="0" fontId="79" fillId="0" borderId="0"/>
    <xf numFmtId="0" fontId="79" fillId="0" borderId="0"/>
    <xf numFmtId="0" fontId="100" fillId="36" borderId="13">
      <alignment vertical="center"/>
    </xf>
    <xf numFmtId="223" fontId="5" fillId="0" borderId="0" applyFont="0" applyFill="0" applyBorder="0" applyAlignment="0" applyProtection="0"/>
    <xf numFmtId="224" fontId="5" fillId="0" borderId="0" applyFont="0" applyFill="0" applyBorder="0" applyAlignment="0" applyProtection="0"/>
    <xf numFmtId="225" fontId="5" fillId="0" borderId="0" applyFont="0" applyFill="0" applyBorder="0" applyAlignment="0" applyProtection="0"/>
    <xf numFmtId="0" fontId="126" fillId="0" borderId="0" applyNumberFormat="0" applyBorder="0" applyAlignment="0">
      <alignment horizontal="right"/>
    </xf>
    <xf numFmtId="4" fontId="22" fillId="2" borderId="0">
      <alignment horizontal="right"/>
    </xf>
    <xf numFmtId="0" fontId="127" fillId="2" borderId="0">
      <alignment horizontal="center" vertical="center"/>
    </xf>
    <xf numFmtId="0" fontId="70" fillId="2" borderId="31"/>
    <xf numFmtId="0" fontId="127" fillId="2" borderId="0" applyBorder="0">
      <alignment horizontal="centerContinuous"/>
    </xf>
    <xf numFmtId="0" fontId="128" fillId="2" borderId="0" applyBorder="0">
      <alignment horizontal="centerContinuous"/>
    </xf>
    <xf numFmtId="0" fontId="6" fillId="0" borderId="13">
      <alignment horizontal="left" vertical="top" wrapText="1"/>
    </xf>
    <xf numFmtId="14" fontId="82" fillId="0" borderId="0">
      <alignment horizontal="center" wrapText="1"/>
      <protection locked="0"/>
    </xf>
    <xf numFmtId="0" fontId="78" fillId="0" borderId="0"/>
    <xf numFmtId="0" fontId="78" fillId="0" borderId="0"/>
    <xf numFmtId="0" fontId="78" fillId="0" borderId="0"/>
    <xf numFmtId="9" fontId="5" fillId="0" borderId="0" applyFont="0" applyFill="0" applyBorder="0" applyAlignment="0" applyProtection="0"/>
    <xf numFmtId="226" fontId="5" fillId="0" borderId="0" applyFont="0" applyFill="0" applyBorder="0" applyAlignment="0" applyProtection="0"/>
    <xf numFmtId="10" fontId="5" fillId="0" borderId="0" applyFont="0" applyFill="0" applyBorder="0" applyAlignment="0" applyProtection="0"/>
    <xf numFmtId="10" fontId="5" fillId="0" borderId="0" applyFont="0" applyFill="0" applyBorder="0" applyAlignment="0" applyProtection="0"/>
    <xf numFmtId="10" fontId="5" fillId="0" borderId="0" applyFont="0" applyFill="0" applyBorder="0" applyAlignment="0" applyProtection="0"/>
    <xf numFmtId="227" fontId="98" fillId="0" borderId="0" applyFont="0" applyFill="0" applyBorder="0" applyAlignment="0" applyProtection="0"/>
    <xf numFmtId="228" fontId="98" fillId="0" borderId="0" applyFont="0" applyFill="0" applyBorder="0" applyAlignment="0" applyProtection="0"/>
    <xf numFmtId="9" fontId="101" fillId="0" borderId="0" applyFont="0" applyFill="0" applyBorder="0" applyAlignment="0" applyProtection="0"/>
    <xf numFmtId="9" fontId="79" fillId="0" borderId="0" applyFont="0" applyFill="0" applyBorder="0" applyAlignment="0" applyProtection="0"/>
    <xf numFmtId="9" fontId="79" fillId="0" borderId="0" applyFont="0" applyFill="0" applyBorder="0" applyAlignment="0" applyProtection="0"/>
    <xf numFmtId="9" fontId="79" fillId="0" borderId="0" applyFont="0" applyFill="0" applyBorder="0" applyAlignment="0" applyProtection="0"/>
    <xf numFmtId="9" fontId="5" fillId="0" borderId="0" applyFont="0" applyFill="0" applyBorder="0" applyAlignment="0" applyProtection="0"/>
    <xf numFmtId="229" fontId="5" fillId="0" borderId="0" applyFont="0" applyFill="0" applyBorder="0" applyAlignment="0" applyProtection="0"/>
    <xf numFmtId="229" fontId="91" fillId="0" borderId="13">
      <alignment horizontal="center" vertical="center"/>
      <protection locked="0"/>
    </xf>
    <xf numFmtId="230" fontId="101" fillId="0" borderId="0" applyFont="0" applyFill="0" applyBorder="0" applyProtection="0">
      <alignment vertical="center"/>
    </xf>
    <xf numFmtId="44" fontId="78" fillId="0" borderId="0" applyFill="0" applyBorder="0" applyAlignment="0"/>
    <xf numFmtId="185" fontId="78" fillId="0" borderId="0" applyFill="0" applyBorder="0" applyAlignment="0"/>
    <xf numFmtId="44" fontId="78" fillId="0" borderId="0" applyFill="0" applyBorder="0" applyAlignment="0"/>
    <xf numFmtId="189" fontId="78" fillId="0" borderId="0" applyFill="0" applyBorder="0" applyAlignment="0"/>
    <xf numFmtId="185" fontId="78" fillId="0" borderId="0" applyFill="0" applyBorder="0" applyAlignment="0"/>
    <xf numFmtId="164" fontId="5" fillId="0" borderId="13">
      <alignment vertical="top"/>
    </xf>
    <xf numFmtId="0" fontId="81" fillId="7" borderId="13" applyNumberFormat="0" applyFont="0" applyBorder="0" applyAlignment="0" applyProtection="0">
      <alignment horizontal="center" vertical="center"/>
    </xf>
    <xf numFmtId="0" fontId="129" fillId="4" borderId="0"/>
    <xf numFmtId="231" fontId="6" fillId="0" borderId="0" applyFont="0" applyFill="0" applyBorder="0" applyAlignment="0" applyProtection="0"/>
    <xf numFmtId="2" fontId="5" fillId="0" borderId="0" applyFont="0" applyFill="0" applyBorder="0" applyAlignment="0" applyProtection="0"/>
    <xf numFmtId="232" fontId="130" fillId="0" borderId="0">
      <alignment vertical="center"/>
    </xf>
    <xf numFmtId="0" fontId="101" fillId="0" borderId="0" applyNumberFormat="0" applyFont="0" applyFill="0" applyBorder="0" applyAlignment="0" applyProtection="0">
      <alignment horizontal="left"/>
    </xf>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15" fontId="101" fillId="0" borderId="0" applyFont="0" applyFill="0" applyBorder="0" applyAlignment="0" applyProtection="0"/>
    <xf numFmtId="4" fontId="101" fillId="0" borderId="0" applyFont="0" applyFill="0" applyBorder="0" applyAlignment="0" applyProtection="0"/>
    <xf numFmtId="0" fontId="88" fillId="0" borderId="1">
      <alignment horizontal="center"/>
    </xf>
    <xf numFmtId="3" fontId="101" fillId="0" borderId="0" applyFont="0" applyFill="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01" fillId="37" borderId="0" applyNumberFormat="0" applyFont="0" applyBorder="0" applyAlignment="0" applyProtection="0"/>
    <xf numFmtId="0" fontId="131" fillId="0" borderId="32">
      <alignment horizontal="center" vertical="center"/>
      <protection locked="0"/>
    </xf>
    <xf numFmtId="0" fontId="5" fillId="0" borderId="13" applyFill="0">
      <alignment horizontal="center" vertical="center"/>
      <protection locked="0"/>
    </xf>
    <xf numFmtId="0" fontId="95" fillId="4" borderId="0" applyNumberFormat="0" applyAlignment="0"/>
    <xf numFmtId="3" fontId="33" fillId="0" borderId="0" applyFill="0" applyBorder="0" applyAlignment="0" applyProtection="0"/>
    <xf numFmtId="3" fontId="43" fillId="0" borderId="0" applyFill="0" applyBorder="0" applyAlignment="0" applyProtection="0"/>
    <xf numFmtId="3" fontId="33" fillId="0" borderId="0" applyFill="0" applyBorder="0" applyAlignment="0" applyProtection="0"/>
    <xf numFmtId="0" fontId="132" fillId="0" borderId="13" applyProtection="0">
      <alignment vertical="center"/>
    </xf>
    <xf numFmtId="0" fontId="81" fillId="0" borderId="13" applyFill="0" applyBorder="0" applyProtection="0">
      <alignment horizontal="left" vertical="center"/>
    </xf>
    <xf numFmtId="0" fontId="116" fillId="35" borderId="0"/>
    <xf numFmtId="0" fontId="99" fillId="0" borderId="59"/>
    <xf numFmtId="0" fontId="76" fillId="35" borderId="25"/>
    <xf numFmtId="0" fontId="133" fillId="4" borderId="53" applyNumberFormat="0" applyAlignment="0">
      <protection locked="0"/>
    </xf>
    <xf numFmtId="0" fontId="114" fillId="38" borderId="60">
      <alignment vertical="center"/>
    </xf>
    <xf numFmtId="0" fontId="134" fillId="38" borderId="60" applyProtection="0">
      <alignment vertical="center"/>
    </xf>
    <xf numFmtId="0" fontId="135" fillId="0" borderId="0" applyNumberFormat="0" applyFill="0" applyBorder="0" applyAlignment="0" applyProtection="0"/>
    <xf numFmtId="0" fontId="121" fillId="0" borderId="0">
      <alignment vertical="top"/>
      <protection hidden="1"/>
    </xf>
    <xf numFmtId="0" fontId="6" fillId="0" borderId="28" applyBorder="0" applyAlignment="0">
      <alignment horizontal="left" vertical="center" wrapText="1"/>
    </xf>
    <xf numFmtId="0" fontId="74" fillId="0" borderId="0"/>
    <xf numFmtId="0" fontId="116" fillId="35" borderId="61"/>
    <xf numFmtId="0" fontId="136" fillId="0" borderId="62"/>
    <xf numFmtId="0" fontId="136" fillId="0" borderId="62"/>
    <xf numFmtId="233" fontId="99" fillId="0" borderId="0"/>
    <xf numFmtId="233" fontId="99" fillId="0" borderId="0"/>
    <xf numFmtId="0" fontId="73" fillId="0" borderId="0"/>
    <xf numFmtId="234" fontId="6" fillId="0" borderId="0" applyFill="0" applyBorder="0" applyProtection="0">
      <alignment vertical="top" wrapText="1"/>
    </xf>
    <xf numFmtId="234" fontId="6" fillId="39" borderId="0" applyBorder="0" applyProtection="0">
      <alignment vertical="top" wrapText="1"/>
    </xf>
    <xf numFmtId="234" fontId="6" fillId="0" borderId="2" applyFill="0" applyProtection="0">
      <alignment vertical="top" wrapText="1"/>
    </xf>
    <xf numFmtId="0" fontId="6" fillId="39" borderId="0" applyNumberFormat="0" applyBorder="0" applyProtection="0">
      <alignment vertical="top"/>
    </xf>
    <xf numFmtId="0" fontId="6" fillId="0" borderId="0" applyNumberFormat="0" applyFill="0" applyBorder="0" applyProtection="0">
      <alignment horizontal="left" vertical="top"/>
    </xf>
    <xf numFmtId="0" fontId="82" fillId="0" borderId="0" applyNumberFormat="0" applyFill="0" applyBorder="0" applyProtection="0">
      <alignment vertical="top" wrapText="1"/>
    </xf>
    <xf numFmtId="0" fontId="82" fillId="39" borderId="0" applyNumberFormat="0" applyBorder="0" applyProtection="0">
      <alignment vertical="top" wrapText="1"/>
    </xf>
    <xf numFmtId="0" fontId="137" fillId="0" borderId="0" applyNumberFormat="0" applyFill="0" applyBorder="0" applyProtection="0">
      <alignment vertical="top"/>
    </xf>
    <xf numFmtId="0" fontId="138" fillId="29" borderId="13" applyNumberFormat="0" applyProtection="0">
      <alignment vertical="top" wrapText="1"/>
    </xf>
    <xf numFmtId="0" fontId="137" fillId="0" borderId="2" applyNumberFormat="0" applyFill="0" applyProtection="0">
      <alignment vertical="top"/>
    </xf>
    <xf numFmtId="0" fontId="5" fillId="0" borderId="2" applyNumberFormat="0" applyFont="0" applyFill="0" applyAlignment="0" applyProtection="0"/>
    <xf numFmtId="0" fontId="17" fillId="2" borderId="0"/>
    <xf numFmtId="0" fontId="8" fillId="0" borderId="1"/>
    <xf numFmtId="0" fontId="139" fillId="0" borderId="0"/>
    <xf numFmtId="49" fontId="140" fillId="0" borderId="0">
      <alignment horizontal="right" vertical="center"/>
    </xf>
    <xf numFmtId="38" fontId="141" fillId="0" borderId="0"/>
    <xf numFmtId="235" fontId="141" fillId="0" borderId="0" applyFill="0" applyBorder="0" applyProtection="0"/>
    <xf numFmtId="227" fontId="141" fillId="0" borderId="0" applyFill="0" applyBorder="0" applyProtection="0"/>
    <xf numFmtId="227" fontId="142" fillId="0" borderId="0" applyFill="0" applyBorder="0" applyProtection="0"/>
    <xf numFmtId="191" fontId="141" fillId="0" borderId="0" applyFill="0" applyBorder="0" applyProtection="0"/>
    <xf numFmtId="38" fontId="143" fillId="0" borderId="0" applyNumberFormat="0" applyFill="0" applyBorder="0" applyProtection="0">
      <alignment horizontal="center"/>
    </xf>
    <xf numFmtId="38" fontId="144" fillId="0" borderId="0" applyNumberFormat="0" applyFill="0" applyBorder="0" applyProtection="0">
      <alignment horizontal="center"/>
    </xf>
    <xf numFmtId="38" fontId="142" fillId="0" borderId="0" applyNumberFormat="0" applyFill="0" applyBorder="0" applyProtection="0">
      <alignment horizontal="center"/>
    </xf>
    <xf numFmtId="236" fontId="141" fillId="0" borderId="34" applyNumberFormat="0" applyBorder="0">
      <alignment horizontal="center"/>
    </xf>
    <xf numFmtId="229" fontId="22" fillId="38" borderId="0" applyNumberFormat="0" applyFont="0" applyBorder="0" applyAlignment="0"/>
    <xf numFmtId="0" fontId="77" fillId="16" borderId="0"/>
    <xf numFmtId="0" fontId="145" fillId="0" borderId="0">
      <alignment vertical="center"/>
    </xf>
    <xf numFmtId="49" fontId="22" fillId="0" borderId="0" applyFill="0" applyBorder="0" applyAlignment="0"/>
    <xf numFmtId="237" fontId="78" fillId="0" borderId="0" applyFill="0" applyBorder="0" applyAlignment="0"/>
    <xf numFmtId="238" fontId="78" fillId="0" borderId="0" applyFill="0" applyBorder="0" applyAlignment="0"/>
    <xf numFmtId="0" fontId="5" fillId="0" borderId="0"/>
    <xf numFmtId="239" fontId="5" fillId="0" borderId="0" applyFont="0" applyFill="0" applyBorder="0" applyAlignment="0" applyProtection="0"/>
    <xf numFmtId="16" fontId="146" fillId="0" borderId="0" applyNumberFormat="0">
      <alignment horizontal="left" indent="1"/>
    </xf>
    <xf numFmtId="0" fontId="147" fillId="0" borderId="14"/>
    <xf numFmtId="0" fontId="147" fillId="0" borderId="14"/>
    <xf numFmtId="0" fontId="147" fillId="0" borderId="14">
      <alignment horizontal="center" wrapText="1"/>
    </xf>
    <xf numFmtId="0" fontId="147" fillId="0" borderId="14">
      <alignment horizontal="center" wrapText="1"/>
    </xf>
    <xf numFmtId="0" fontId="147" fillId="0" borderId="14">
      <alignment horizontal="center" wrapText="1"/>
    </xf>
    <xf numFmtId="0" fontId="148" fillId="2" borderId="0"/>
    <xf numFmtId="0" fontId="149" fillId="0" borderId="0">
      <alignment horizontal="left" vertical="center"/>
    </xf>
    <xf numFmtId="0" fontId="150" fillId="0" borderId="0">
      <alignment horizontal="left" vertical="center"/>
    </xf>
    <xf numFmtId="240" fontId="111" fillId="0" borderId="63">
      <protection locked="0"/>
    </xf>
    <xf numFmtId="240" fontId="111" fillId="0" borderId="63">
      <protection locked="0"/>
    </xf>
    <xf numFmtId="240" fontId="111" fillId="0" borderId="63">
      <protection locked="0"/>
    </xf>
    <xf numFmtId="10" fontId="98" fillId="0" borderId="14" applyNumberFormat="0" applyFont="0" applyFill="0" applyAlignment="0" applyProtection="0"/>
    <xf numFmtId="0" fontId="151" fillId="0" borderId="0">
      <alignment vertical="top"/>
    </xf>
    <xf numFmtId="229" fontId="22" fillId="6" borderId="0" applyNumberFormat="0" applyFont="0" applyBorder="0" applyAlignment="0">
      <protection locked="0"/>
    </xf>
    <xf numFmtId="42" fontId="5" fillId="0" borderId="0" applyFont="0" applyFill="0" applyBorder="0" applyAlignment="0" applyProtection="0"/>
    <xf numFmtId="44" fontId="5" fillId="0" borderId="0" applyFont="0" applyFill="0" applyBorder="0" applyAlignment="0" applyProtection="0"/>
    <xf numFmtId="236" fontId="98" fillId="0" borderId="0" applyFont="0" applyFill="0" applyBorder="0" applyAlignment="0" applyProtection="0"/>
    <xf numFmtId="0" fontId="101" fillId="0" borderId="0"/>
    <xf numFmtId="0" fontId="2" fillId="0" borderId="0"/>
    <xf numFmtId="0" fontId="1" fillId="0" borderId="0"/>
    <xf numFmtId="44" fontId="79" fillId="0" borderId="0" applyFont="0" applyFill="0" applyBorder="0" applyAlignment="0" applyProtection="0"/>
    <xf numFmtId="0" fontId="75" fillId="0" borderId="0"/>
  </cellStyleXfs>
  <cellXfs count="690">
    <xf numFmtId="0" fontId="0" fillId="0" borderId="0" xfId="0"/>
    <xf numFmtId="0" fontId="0" fillId="2" borderId="0" xfId="0" applyFill="1"/>
    <xf numFmtId="0" fontId="0" fillId="2" borderId="0" xfId="0" applyFill="1" applyAlignment="1">
      <alignment horizontal="left" indent="1"/>
    </xf>
    <xf numFmtId="0" fontId="0" fillId="2" borderId="0" xfId="0" applyFill="1" applyAlignment="1">
      <alignment horizontal="right"/>
    </xf>
    <xf numFmtId="0" fontId="0" fillId="2" borderId="1" xfId="0" applyFill="1" applyBorder="1"/>
    <xf numFmtId="0" fontId="7" fillId="2" borderId="0" xfId="0" applyFont="1" applyFill="1" applyAlignment="1">
      <alignment horizontal="left" vertical="center"/>
    </xf>
    <xf numFmtId="0" fontId="8" fillId="2" borderId="0" xfId="0" applyFont="1" applyFill="1" applyAlignment="1">
      <alignment horizontal="right"/>
    </xf>
    <xf numFmtId="0" fontId="6" fillId="0" borderId="0" xfId="0" applyFont="1"/>
    <xf numFmtId="0" fontId="0" fillId="2" borderId="2" xfId="0" applyFill="1" applyBorder="1"/>
    <xf numFmtId="0" fontId="0" fillId="2" borderId="2" xfId="0" applyFill="1" applyBorder="1" applyAlignment="1">
      <alignment horizontal="centerContinuous"/>
    </xf>
    <xf numFmtId="0" fontId="10" fillId="3" borderId="3" xfId="0" applyFont="1" applyFill="1" applyBorder="1" applyAlignment="1">
      <alignment horizontal="centerContinuous" vertical="center"/>
    </xf>
    <xf numFmtId="0" fontId="10" fillId="3" borderId="4" xfId="0" applyFont="1" applyFill="1" applyBorder="1" applyAlignment="1">
      <alignment horizontal="centerContinuous" vertical="center"/>
    </xf>
    <xf numFmtId="0" fontId="6" fillId="2" borderId="0" xfId="0" applyFont="1" applyFill="1" applyAlignment="1">
      <alignment horizontal="right"/>
    </xf>
    <xf numFmtId="0" fontId="15" fillId="0" borderId="0" xfId="0" applyFont="1" applyAlignment="1">
      <alignment vertical="top"/>
    </xf>
    <xf numFmtId="0" fontId="15" fillId="0" borderId="0" xfId="0" applyFont="1" applyAlignment="1">
      <alignment vertical="top" wrapText="1"/>
    </xf>
    <xf numFmtId="0" fontId="6" fillId="4" borderId="0" xfId="0" applyFont="1" applyFill="1"/>
    <xf numFmtId="0" fontId="0" fillId="4" borderId="0" xfId="0" applyFill="1"/>
    <xf numFmtId="0" fontId="0" fillId="2" borderId="0" xfId="0" applyFill="1" applyAlignment="1">
      <alignment horizontal="centerContinuous"/>
    </xf>
    <xf numFmtId="0" fontId="0" fillId="2" borderId="0" xfId="0" applyFill="1" applyAlignment="1">
      <alignment horizontal="left"/>
    </xf>
    <xf numFmtId="0" fontId="0" fillId="2" borderId="0" xfId="0" applyFill="1" applyAlignment="1">
      <alignment horizontal="center"/>
    </xf>
    <xf numFmtId="0" fontId="7" fillId="2" borderId="2" xfId="0" applyFont="1" applyFill="1" applyBorder="1" applyAlignment="1">
      <alignment horizontal="left" vertical="center"/>
    </xf>
    <xf numFmtId="0" fontId="19" fillId="2" borderId="0" xfId="0" applyFont="1" applyFill="1" applyAlignment="1">
      <alignment horizontal="left"/>
    </xf>
    <xf numFmtId="0" fontId="0" fillId="4" borderId="0" xfId="0" applyFill="1" applyAlignment="1">
      <alignment horizontal="left" indent="1"/>
    </xf>
    <xf numFmtId="1" fontId="14" fillId="2" borderId="6" xfId="0" applyNumberFormat="1" applyFont="1" applyFill="1" applyBorder="1" applyAlignment="1" applyProtection="1">
      <alignment horizontal="center"/>
      <protection locked="0"/>
    </xf>
    <xf numFmtId="0" fontId="21" fillId="2" borderId="2" xfId="0" applyFont="1" applyFill="1" applyBorder="1" applyAlignment="1">
      <alignment horizontal="centerContinuous"/>
    </xf>
    <xf numFmtId="0" fontId="0" fillId="0" borderId="0" xfId="0" applyAlignment="1">
      <alignment wrapText="1"/>
    </xf>
    <xf numFmtId="0" fontId="5" fillId="0" borderId="0" xfId="0" applyFont="1" applyAlignment="1">
      <alignment horizontal="center"/>
    </xf>
    <xf numFmtId="0" fontId="6" fillId="2" borderId="8" xfId="0" applyFont="1" applyFill="1" applyBorder="1" applyAlignment="1">
      <alignment horizontal="right"/>
    </xf>
    <xf numFmtId="0" fontId="0" fillId="4" borderId="0" xfId="0" applyFill="1" applyAlignment="1">
      <alignment wrapText="1"/>
    </xf>
    <xf numFmtId="0" fontId="8" fillId="5" borderId="13" xfId="0" applyFont="1" applyFill="1" applyBorder="1" applyAlignment="1">
      <alignment horizontal="center" vertical="center" wrapText="1"/>
    </xf>
    <xf numFmtId="164" fontId="0" fillId="0" borderId="0" xfId="0" applyNumberFormat="1" applyAlignment="1">
      <alignment horizontal="center" wrapText="1"/>
    </xf>
    <xf numFmtId="164" fontId="0" fillId="0" borderId="0" xfId="0" applyNumberFormat="1" applyAlignment="1">
      <alignment horizontal="center"/>
    </xf>
    <xf numFmtId="164" fontId="6" fillId="4" borderId="0" xfId="0" applyNumberFormat="1" applyFont="1" applyFill="1"/>
    <xf numFmtId="0" fontId="21" fillId="2" borderId="2" xfId="0" applyFont="1" applyFill="1" applyBorder="1" applyAlignment="1">
      <alignment horizontal="centerContinuous" wrapText="1"/>
    </xf>
    <xf numFmtId="0" fontId="21" fillId="2" borderId="2" xfId="0" applyFont="1" applyFill="1" applyBorder="1" applyAlignment="1">
      <alignment horizontal="center" wrapText="1"/>
    </xf>
    <xf numFmtId="0" fontId="25" fillId="2" borderId="2" xfId="0" applyFont="1" applyFill="1" applyBorder="1"/>
    <xf numFmtId="0" fontId="5" fillId="2" borderId="0" xfId="0" applyFont="1" applyFill="1" applyAlignment="1">
      <alignment horizontal="left"/>
    </xf>
    <xf numFmtId="0" fontId="23" fillId="3" borderId="15" xfId="0" applyFont="1" applyFill="1" applyBorder="1" applyAlignment="1">
      <alignment horizontal="left" vertical="center" indent="1"/>
    </xf>
    <xf numFmtId="0" fontId="11" fillId="0" borderId="0" xfId="0" applyFont="1"/>
    <xf numFmtId="0" fontId="13" fillId="0" borderId="13" xfId="0" applyFont="1" applyBorder="1" applyAlignment="1">
      <alignment horizontal="left" vertical="center" wrapText="1" indent="1"/>
    </xf>
    <xf numFmtId="1" fontId="14" fillId="2" borderId="17" xfId="0" applyNumberFormat="1" applyFont="1" applyFill="1" applyBorder="1" applyAlignment="1" applyProtection="1">
      <alignment horizontal="center"/>
      <protection locked="0"/>
    </xf>
    <xf numFmtId="0" fontId="27" fillId="2" borderId="0" xfId="0" applyFont="1" applyFill="1" applyAlignment="1">
      <alignment horizontal="left"/>
    </xf>
    <xf numFmtId="0" fontId="29" fillId="2" borderId="0" xfId="0" applyFont="1" applyFill="1" applyAlignment="1">
      <alignment horizontal="left"/>
    </xf>
    <xf numFmtId="0" fontId="30" fillId="2" borderId="0" xfId="0" applyFont="1" applyFill="1" applyAlignment="1">
      <alignment horizontal="right"/>
    </xf>
    <xf numFmtId="0" fontId="31" fillId="2" borderId="0" xfId="0" applyFont="1" applyFill="1" applyAlignment="1">
      <alignment horizontal="right"/>
    </xf>
    <xf numFmtId="0" fontId="32" fillId="2" borderId="0" xfId="0" applyFont="1" applyFill="1" applyAlignment="1">
      <alignment horizontal="left" vertical="center"/>
    </xf>
    <xf numFmtId="0" fontId="33" fillId="2" borderId="0" xfId="0" applyFont="1" applyFill="1" applyAlignment="1">
      <alignment horizontal="left"/>
    </xf>
    <xf numFmtId="0" fontId="33" fillId="2" borderId="0" xfId="0" applyFont="1" applyFill="1" applyAlignment="1">
      <alignment horizontal="right"/>
    </xf>
    <xf numFmtId="0" fontId="11" fillId="2" borderId="2" xfId="0" applyFont="1" applyFill="1" applyBorder="1" applyAlignment="1">
      <alignment horizontal="centerContinuous" vertical="center"/>
    </xf>
    <xf numFmtId="0" fontId="13" fillId="2" borderId="0" xfId="0" applyFont="1" applyFill="1" applyAlignment="1">
      <alignment horizontal="right" vertical="center"/>
    </xf>
    <xf numFmtId="0" fontId="0" fillId="2" borderId="0" xfId="0" applyFill="1" applyAlignment="1">
      <alignment horizontal="centerContinuous" vertical="center"/>
    </xf>
    <xf numFmtId="0" fontId="15" fillId="4" borderId="0" xfId="0" applyFont="1" applyFill="1" applyAlignment="1">
      <alignment vertical="top"/>
    </xf>
    <xf numFmtId="0" fontId="15" fillId="4" borderId="0" xfId="0" applyFont="1" applyFill="1" applyAlignment="1">
      <alignment vertical="top" wrapText="1"/>
    </xf>
    <xf numFmtId="0" fontId="24" fillId="4" borderId="0" xfId="0" applyFont="1" applyFill="1"/>
    <xf numFmtId="0" fontId="34" fillId="4" borderId="0" xfId="0" applyFont="1" applyFill="1"/>
    <xf numFmtId="0" fontId="35" fillId="0" borderId="0" xfId="0" applyFont="1"/>
    <xf numFmtId="0" fontId="35" fillId="0" borderId="0" xfId="0" applyFont="1" applyAlignment="1">
      <alignment horizontal="left"/>
    </xf>
    <xf numFmtId="0" fontId="6" fillId="4" borderId="0" xfId="0" applyFont="1" applyFill="1" applyAlignment="1">
      <alignment horizontal="center" wrapText="1"/>
    </xf>
    <xf numFmtId="0" fontId="38" fillId="2" borderId="0" xfId="0" applyFont="1" applyFill="1"/>
    <xf numFmtId="0" fontId="39" fillId="2" borderId="0" xfId="0" applyFont="1" applyFill="1" applyAlignment="1">
      <alignment horizontal="right"/>
    </xf>
    <xf numFmtId="0" fontId="35" fillId="0" borderId="0" xfId="0" applyFont="1" applyAlignment="1">
      <alignment horizontal="center"/>
    </xf>
    <xf numFmtId="7" fontId="13" fillId="0" borderId="13" xfId="2" applyNumberFormat="1" applyFont="1" applyBorder="1" applyAlignment="1">
      <alignment horizontal="right" vertical="center" wrapText="1" indent="1"/>
    </xf>
    <xf numFmtId="164" fontId="0" fillId="4" borderId="0" xfId="0" applyNumberFormat="1" applyFill="1" applyAlignment="1">
      <alignment horizontal="center" wrapText="1"/>
    </xf>
    <xf numFmtId="0" fontId="41" fillId="3" borderId="4" xfId="0" applyFont="1" applyFill="1" applyBorder="1" applyAlignment="1">
      <alignment horizontal="right" vertical="center" indent="2"/>
    </xf>
    <xf numFmtId="44" fontId="42" fillId="4" borderId="0" xfId="0" applyNumberFormat="1" applyFont="1" applyFill="1" applyAlignment="1">
      <alignment vertical="top"/>
    </xf>
    <xf numFmtId="43" fontId="24" fillId="4" borderId="0" xfId="1" applyFont="1" applyFill="1" applyProtection="1">
      <protection hidden="1"/>
    </xf>
    <xf numFmtId="0" fontId="36" fillId="0" borderId="0" xfId="0" applyFont="1"/>
    <xf numFmtId="49" fontId="6" fillId="0" borderId="0" xfId="0" applyNumberFormat="1" applyFont="1"/>
    <xf numFmtId="44" fontId="6" fillId="0" borderId="0" xfId="2" applyFont="1" applyFill="1"/>
    <xf numFmtId="0" fontId="14" fillId="2" borderId="17" xfId="0" applyFont="1" applyFill="1" applyBorder="1" applyAlignment="1" applyProtection="1">
      <alignment horizontal="center"/>
      <protection locked="0"/>
    </xf>
    <xf numFmtId="1" fontId="18" fillId="2" borderId="6" xfId="0" applyNumberFormat="1" applyFont="1" applyFill="1" applyBorder="1" applyAlignment="1" applyProtection="1">
      <alignment horizontal="center"/>
      <protection locked="0"/>
    </xf>
    <xf numFmtId="0" fontId="11" fillId="2" borderId="0" xfId="0" applyFont="1" applyFill="1" applyAlignment="1">
      <alignment horizontal="centerContinuous" vertical="center"/>
    </xf>
    <xf numFmtId="0" fontId="47" fillId="0" borderId="0" xfId="0" applyFont="1"/>
    <xf numFmtId="0" fontId="48" fillId="5" borderId="0" xfId="0" applyFont="1" applyFill="1" applyAlignment="1">
      <alignment horizontal="center" wrapText="1"/>
    </xf>
    <xf numFmtId="0" fontId="5" fillId="0" borderId="0" xfId="0" applyFont="1"/>
    <xf numFmtId="0" fontId="40" fillId="0" borderId="0" xfId="0" applyFont="1" applyAlignment="1">
      <alignment horizontal="right"/>
    </xf>
    <xf numFmtId="49" fontId="46" fillId="0" borderId="0" xfId="0" applyNumberFormat="1" applyFont="1"/>
    <xf numFmtId="49" fontId="36" fillId="0" borderId="0" xfId="0" applyNumberFormat="1" applyFont="1"/>
    <xf numFmtId="0" fontId="6" fillId="0" borderId="0" xfId="0" applyFont="1" applyAlignment="1">
      <alignment horizontal="left"/>
    </xf>
    <xf numFmtId="0" fontId="33" fillId="4" borderId="13" xfId="0" applyFont="1" applyFill="1" applyBorder="1" applyAlignment="1">
      <alignment horizontal="left" wrapText="1"/>
    </xf>
    <xf numFmtId="0" fontId="33" fillId="4" borderId="13" xfId="0" applyFont="1" applyFill="1" applyBorder="1"/>
    <xf numFmtId="0" fontId="33" fillId="4" borderId="13" xfId="0" applyFont="1" applyFill="1" applyBorder="1" applyAlignment="1">
      <alignment horizontal="center"/>
    </xf>
    <xf numFmtId="0" fontId="49" fillId="4" borderId="28" xfId="0" applyFont="1" applyFill="1" applyBorder="1"/>
    <xf numFmtId="0" fontId="49" fillId="4" borderId="29" xfId="0" applyFont="1" applyFill="1" applyBorder="1"/>
    <xf numFmtId="0" fontId="33" fillId="0" borderId="0" xfId="0" applyFont="1"/>
    <xf numFmtId="0" fontId="14" fillId="2" borderId="6" xfId="0" applyFont="1" applyFill="1" applyBorder="1" applyAlignment="1" applyProtection="1">
      <alignment horizontal="center"/>
      <protection locked="0"/>
    </xf>
    <xf numFmtId="0" fontId="20" fillId="4" borderId="0" xfId="0" applyFont="1" applyFill="1"/>
    <xf numFmtId="0" fontId="11" fillId="0" borderId="0" xfId="0" applyFont="1" applyProtection="1">
      <protection hidden="1"/>
    </xf>
    <xf numFmtId="0" fontId="51" fillId="2" borderId="0" xfId="0" applyFont="1" applyFill="1" applyAlignment="1">
      <alignment horizontal="right"/>
    </xf>
    <xf numFmtId="0" fontId="52" fillId="2" borderId="0" xfId="0" applyFont="1" applyFill="1" applyAlignment="1">
      <alignment horizontal="left" indent="1"/>
    </xf>
    <xf numFmtId="0" fontId="53" fillId="2" borderId="0" xfId="0" applyFont="1" applyFill="1" applyAlignment="1">
      <alignment horizontal="left" indent="1"/>
    </xf>
    <xf numFmtId="0" fontId="54" fillId="0" borderId="43" xfId="0" applyFont="1" applyBorder="1" applyAlignment="1">
      <alignment wrapText="1"/>
    </xf>
    <xf numFmtId="0" fontId="54" fillId="0" borderId="43" xfId="0" applyFont="1" applyBorder="1" applyAlignment="1">
      <alignment horizontal="center" wrapText="1"/>
    </xf>
    <xf numFmtId="0" fontId="5" fillId="0" borderId="0" xfId="0" applyFont="1" applyAlignment="1">
      <alignment wrapText="1"/>
    </xf>
    <xf numFmtId="164" fontId="54" fillId="0" borderId="43" xfId="0" applyNumberFormat="1" applyFont="1" applyBorder="1" applyAlignment="1">
      <alignment horizontal="center" wrapText="1"/>
    </xf>
    <xf numFmtId="0" fontId="5" fillId="2" borderId="0" xfId="0" applyFont="1" applyFill="1"/>
    <xf numFmtId="0" fontId="55" fillId="2" borderId="0" xfId="0" applyFont="1" applyFill="1" applyAlignment="1">
      <alignment horizontal="center" wrapText="1"/>
    </xf>
    <xf numFmtId="0" fontId="56" fillId="2" borderId="0" xfId="0" applyFont="1" applyFill="1"/>
    <xf numFmtId="0" fontId="56" fillId="2" borderId="0" xfId="0" applyFont="1" applyFill="1" applyAlignment="1">
      <alignment horizontal="centerContinuous"/>
    </xf>
    <xf numFmtId="0" fontId="57" fillId="2" borderId="0" xfId="0" applyFont="1" applyFill="1" applyAlignment="1">
      <alignment horizontal="left"/>
    </xf>
    <xf numFmtId="0" fontId="56" fillId="2" borderId="0" xfId="0" applyFont="1" applyFill="1" applyAlignment="1">
      <alignment horizontal="left" indent="1"/>
    </xf>
    <xf numFmtId="0" fontId="58" fillId="2" borderId="0" xfId="0" applyFont="1" applyFill="1" applyAlignment="1">
      <alignment horizontal="centerContinuous"/>
    </xf>
    <xf numFmtId="0" fontId="56" fillId="2" borderId="0" xfId="0" applyFont="1" applyFill="1" applyAlignment="1">
      <alignment horizontal="center"/>
    </xf>
    <xf numFmtId="0" fontId="55" fillId="4" borderId="0" xfId="0" applyFont="1" applyFill="1"/>
    <xf numFmtId="0" fontId="56" fillId="4" borderId="0" xfId="0" applyFont="1" applyFill="1"/>
    <xf numFmtId="0" fontId="56" fillId="0" borderId="0" xfId="0" applyFont="1"/>
    <xf numFmtId="0" fontId="59" fillId="2" borderId="0" xfId="0" applyFont="1" applyFill="1" applyAlignment="1">
      <alignment horizontal="centerContinuous"/>
    </xf>
    <xf numFmtId="0" fontId="60" fillId="2" borderId="0" xfId="0" applyFont="1" applyFill="1" applyAlignment="1">
      <alignment horizontal="left"/>
    </xf>
    <xf numFmtId="0" fontId="56" fillId="2" borderId="0" xfId="0" applyFont="1" applyFill="1" applyAlignment="1">
      <alignment horizontal="left"/>
    </xf>
    <xf numFmtId="0" fontId="55" fillId="2" borderId="0" xfId="0" applyFont="1" applyFill="1" applyAlignment="1">
      <alignment horizontal="centerContinuous"/>
    </xf>
    <xf numFmtId="0" fontId="61" fillId="2" borderId="0" xfId="0" applyFont="1" applyFill="1" applyAlignment="1" applyProtection="1">
      <alignment horizontal="right" indent="1"/>
      <protection hidden="1"/>
    </xf>
    <xf numFmtId="0" fontId="62" fillId="2" borderId="0" xfId="0" applyFont="1" applyFill="1" applyAlignment="1">
      <alignment horizontal="left"/>
    </xf>
    <xf numFmtId="0" fontId="56" fillId="0" borderId="0" xfId="0" applyFont="1" applyAlignment="1">
      <alignment horizontal="centerContinuous"/>
    </xf>
    <xf numFmtId="0" fontId="63" fillId="2" borderId="0" xfId="0" applyFont="1" applyFill="1" applyAlignment="1">
      <alignment horizontal="left"/>
    </xf>
    <xf numFmtId="0" fontId="62" fillId="2" borderId="0" xfId="0" applyFont="1" applyFill="1" applyAlignment="1">
      <alignment horizontal="left" indent="1"/>
    </xf>
    <xf numFmtId="0" fontId="57" fillId="2" borderId="0" xfId="0" applyFont="1" applyFill="1" applyAlignment="1">
      <alignment horizontal="left" indent="1"/>
    </xf>
    <xf numFmtId="0" fontId="67" fillId="0" borderId="0" xfId="4" applyFont="1"/>
    <xf numFmtId="0" fontId="66" fillId="0" borderId="46" xfId="5" applyFont="1" applyBorder="1" applyAlignment="1">
      <alignment vertical="center" wrapText="1"/>
    </xf>
    <xf numFmtId="0" fontId="66" fillId="0" borderId="0" xfId="4" applyFont="1" applyAlignment="1">
      <alignment wrapText="1"/>
    </xf>
    <xf numFmtId="0" fontId="67" fillId="12" borderId="0" xfId="4" applyFont="1" applyFill="1"/>
    <xf numFmtId="0" fontId="66" fillId="12" borderId="0" xfId="4" applyFont="1" applyFill="1" applyAlignment="1">
      <alignment wrapText="1"/>
    </xf>
    <xf numFmtId="0" fontId="66" fillId="0" borderId="0" xfId="4" applyFont="1"/>
    <xf numFmtId="0" fontId="66" fillId="12" borderId="0" xfId="4" applyFont="1" applyFill="1"/>
    <xf numFmtId="0" fontId="66" fillId="0" borderId="0" xfId="6" applyFont="1"/>
    <xf numFmtId="0" fontId="66" fillId="0" borderId="45" xfId="6" applyFont="1" applyBorder="1" applyAlignment="1">
      <alignment vertical="center"/>
    </xf>
    <xf numFmtId="164" fontId="66" fillId="0" borderId="45" xfId="6" applyNumberFormat="1" applyFont="1" applyBorder="1" applyAlignment="1">
      <alignment horizontal="center" vertical="center"/>
    </xf>
    <xf numFmtId="0" fontId="66" fillId="0" borderId="46" xfId="6" applyFont="1" applyBorder="1" applyAlignment="1">
      <alignment vertical="center"/>
    </xf>
    <xf numFmtId="0" fontId="66" fillId="0" borderId="46" xfId="6" applyFont="1" applyBorder="1" applyAlignment="1">
      <alignment vertical="center" wrapText="1"/>
    </xf>
    <xf numFmtId="164" fontId="66" fillId="0" borderId="46" xfId="6" applyNumberFormat="1" applyFont="1" applyBorder="1" applyAlignment="1">
      <alignment horizontal="center" vertical="center"/>
    </xf>
    <xf numFmtId="0" fontId="66" fillId="0" borderId="45" xfId="6" applyFont="1" applyBorder="1" applyAlignment="1">
      <alignment vertical="center" wrapText="1"/>
    </xf>
    <xf numFmtId="0" fontId="8" fillId="12" borderId="0" xfId="6" applyFont="1" applyFill="1" applyAlignment="1">
      <alignment horizontal="center" wrapText="1"/>
    </xf>
    <xf numFmtId="0" fontId="70" fillId="12" borderId="0" xfId="6" applyFont="1" applyFill="1" applyAlignment="1">
      <alignment horizontal="center" wrapText="1"/>
    </xf>
    <xf numFmtId="164" fontId="71" fillId="12" borderId="0" xfId="6" applyNumberFormat="1" applyFont="1" applyFill="1" applyAlignment="1">
      <alignment horizontal="center" vertical="center"/>
    </xf>
    <xf numFmtId="0" fontId="70" fillId="12" borderId="0" xfId="6" applyFont="1" applyFill="1" applyAlignment="1">
      <alignment horizontal="left" wrapText="1"/>
    </xf>
    <xf numFmtId="164" fontId="70" fillId="12" borderId="0" xfId="6" applyNumberFormat="1" applyFont="1" applyFill="1" applyAlignment="1">
      <alignment horizontal="center" vertical="center"/>
    </xf>
    <xf numFmtId="0" fontId="66" fillId="12" borderId="0" xfId="6" applyFont="1" applyFill="1"/>
    <xf numFmtId="0" fontId="13" fillId="0" borderId="0" xfId="0" applyFont="1" applyAlignment="1">
      <alignment horizontal="right"/>
    </xf>
    <xf numFmtId="1" fontId="14" fillId="2" borderId="6" xfId="0" applyNumberFormat="1" applyFont="1" applyFill="1" applyBorder="1" applyAlignment="1" applyProtection="1">
      <alignment horizontal="center"/>
      <protection hidden="1"/>
    </xf>
    <xf numFmtId="0" fontId="18" fillId="2" borderId="0" xfId="0" applyFont="1" applyFill="1" applyAlignment="1">
      <alignment horizontal="left"/>
    </xf>
    <xf numFmtId="0" fontId="18" fillId="2" borderId="0" xfId="0" applyFont="1" applyFill="1" applyAlignment="1">
      <alignment horizontal="center"/>
    </xf>
    <xf numFmtId="164" fontId="14" fillId="2" borderId="0" xfId="0" quotePrefix="1" applyNumberFormat="1" applyFont="1" applyFill="1" applyAlignment="1" applyProtection="1">
      <alignment horizontal="centerContinuous"/>
      <protection hidden="1"/>
    </xf>
    <xf numFmtId="164" fontId="14" fillId="2" borderId="0" xfId="0" quotePrefix="1" applyNumberFormat="1" applyFont="1" applyFill="1" applyAlignment="1">
      <alignment horizontal="centerContinuous"/>
    </xf>
    <xf numFmtId="0" fontId="18" fillId="2" borderId="0" xfId="0" applyFont="1" applyFill="1" applyAlignment="1" applyProtection="1">
      <alignment horizontal="left"/>
      <protection hidden="1"/>
    </xf>
    <xf numFmtId="0" fontId="18" fillId="2" borderId="0" xfId="0" applyFont="1" applyFill="1" applyAlignment="1" applyProtection="1">
      <alignment horizontal="center"/>
      <protection hidden="1"/>
    </xf>
    <xf numFmtId="0" fontId="153" fillId="2" borderId="0" xfId="0" applyFont="1" applyFill="1" applyAlignment="1">
      <alignment horizontal="left" indent="1"/>
    </xf>
    <xf numFmtId="0" fontId="60" fillId="2" borderId="0" xfId="0" applyFont="1" applyFill="1"/>
    <xf numFmtId="0" fontId="63" fillId="2" borderId="0" xfId="0" applyFont="1" applyFill="1" applyAlignment="1">
      <alignment horizontal="left" indent="1"/>
    </xf>
    <xf numFmtId="0" fontId="21" fillId="2" borderId="0" xfId="0" applyFont="1" applyFill="1"/>
    <xf numFmtId="0" fontId="6" fillId="0" borderId="0" xfId="0" applyFont="1" applyAlignment="1">
      <alignment horizontal="center"/>
    </xf>
    <xf numFmtId="164" fontId="6" fillId="0" borderId="0" xfId="0" applyNumberFormat="1" applyFont="1" applyAlignment="1">
      <alignment horizontal="center"/>
    </xf>
    <xf numFmtId="164" fontId="22" fillId="0" borderId="45" xfId="5" applyNumberFormat="1" applyFont="1" applyBorder="1" applyAlignment="1">
      <alignment horizontal="center" vertical="center"/>
    </xf>
    <xf numFmtId="164" fontId="22" fillId="0" borderId="46" xfId="5" applyNumberFormat="1" applyFont="1" applyBorder="1" applyAlignment="1">
      <alignment horizontal="center" vertical="center"/>
    </xf>
    <xf numFmtId="0" fontId="5" fillId="0" borderId="46" xfId="5" applyFont="1" applyBorder="1" applyAlignment="1">
      <alignment vertical="center" wrapText="1"/>
    </xf>
    <xf numFmtId="0" fontId="5" fillId="0" borderId="48" xfId="5" applyFont="1" applyBorder="1" applyAlignment="1">
      <alignment vertical="center" wrapText="1"/>
    </xf>
    <xf numFmtId="164" fontId="22" fillId="0" borderId="48" xfId="5" applyNumberFormat="1" applyFont="1" applyBorder="1" applyAlignment="1">
      <alignment horizontal="center" vertical="center"/>
    </xf>
    <xf numFmtId="0" fontId="5" fillId="0" borderId="45" xfId="5" applyFont="1" applyBorder="1" applyAlignment="1">
      <alignment vertical="center" wrapText="1"/>
    </xf>
    <xf numFmtId="0" fontId="22" fillId="0" borderId="45" xfId="5" applyFont="1" applyBorder="1" applyAlignment="1">
      <alignment vertical="center" wrapText="1"/>
    </xf>
    <xf numFmtId="0" fontId="22" fillId="0" borderId="46" xfId="5" applyFont="1" applyBorder="1" applyAlignment="1">
      <alignment vertical="center" wrapText="1"/>
    </xf>
    <xf numFmtId="0" fontId="22" fillId="0" borderId="48" xfId="5" applyFont="1" applyBorder="1" applyAlignment="1">
      <alignment vertical="center" wrapText="1"/>
    </xf>
    <xf numFmtId="0" fontId="22" fillId="0" borderId="46" xfId="5" applyFont="1" applyBorder="1" applyAlignment="1">
      <alignment vertical="center"/>
    </xf>
    <xf numFmtId="164" fontId="22" fillId="0" borderId="50" xfId="5" applyNumberFormat="1" applyFont="1" applyBorder="1" applyAlignment="1">
      <alignment horizontal="center" vertical="center"/>
    </xf>
    <xf numFmtId="164" fontId="22" fillId="0" borderId="49" xfId="5" applyNumberFormat="1" applyFont="1" applyBorder="1" applyAlignment="1">
      <alignment horizontal="center" vertical="center"/>
    </xf>
    <xf numFmtId="0" fontId="22" fillId="0" borderId="50" xfId="5" applyFont="1" applyBorder="1" applyAlignment="1">
      <alignment vertical="center" wrapText="1"/>
    </xf>
    <xf numFmtId="0" fontId="22" fillId="0" borderId="49" xfId="5" applyFont="1" applyBorder="1" applyAlignment="1">
      <alignment vertical="center" wrapText="1"/>
    </xf>
    <xf numFmtId="164" fontId="66" fillId="0" borderId="46" xfId="6" applyNumberFormat="1" applyFont="1" applyBorder="1" applyAlignment="1">
      <alignment horizontal="center" vertical="center" wrapText="1"/>
    </xf>
    <xf numFmtId="0" fontId="22" fillId="0" borderId="45" xfId="5" applyFont="1" applyBorder="1" applyAlignment="1">
      <alignment vertical="center"/>
    </xf>
    <xf numFmtId="164" fontId="22" fillId="0" borderId="47" xfId="5" applyNumberFormat="1" applyFont="1" applyBorder="1" applyAlignment="1">
      <alignment horizontal="center" vertical="center"/>
    </xf>
    <xf numFmtId="0" fontId="22" fillId="0" borderId="47" xfId="5" applyFont="1" applyBorder="1" applyAlignment="1">
      <alignment vertical="center" wrapText="1"/>
    </xf>
    <xf numFmtId="164" fontId="22" fillId="40" borderId="4" xfId="5" applyNumberFormat="1" applyFont="1" applyFill="1" applyBorder="1" applyAlignment="1">
      <alignment horizontal="center" vertical="center"/>
    </xf>
    <xf numFmtId="164" fontId="22" fillId="13" borderId="4" xfId="5" applyNumberFormat="1" applyFont="1" applyFill="1" applyBorder="1" applyAlignment="1">
      <alignment horizontal="center" vertical="center"/>
    </xf>
    <xf numFmtId="164" fontId="22" fillId="10" borderId="4" xfId="5" applyNumberFormat="1" applyFont="1" applyFill="1" applyBorder="1" applyAlignment="1">
      <alignment horizontal="center" vertical="center"/>
    </xf>
    <xf numFmtId="0" fontId="33" fillId="0" borderId="13" xfId="0" applyFont="1" applyBorder="1"/>
    <xf numFmtId="0" fontId="33" fillId="0" borderId="20" xfId="0" applyFont="1" applyBorder="1"/>
    <xf numFmtId="0" fontId="33" fillId="0" borderId="5" xfId="0" applyFont="1" applyBorder="1"/>
    <xf numFmtId="164" fontId="33" fillId="0" borderId="13" xfId="2" applyNumberFormat="1" applyFont="1" applyFill="1" applyBorder="1" applyAlignment="1">
      <alignment horizontal="center"/>
    </xf>
    <xf numFmtId="164" fontId="33" fillId="0" borderId="20" xfId="2" applyNumberFormat="1" applyFont="1" applyFill="1" applyBorder="1" applyAlignment="1">
      <alignment horizontal="center"/>
    </xf>
    <xf numFmtId="164" fontId="33" fillId="0" borderId="5" xfId="2" applyNumberFormat="1" applyFont="1" applyFill="1" applyBorder="1" applyAlignment="1">
      <alignment horizontal="center"/>
    </xf>
    <xf numFmtId="164" fontId="33" fillId="0" borderId="71" xfId="0" applyNumberFormat="1" applyFont="1" applyBorder="1" applyAlignment="1">
      <alignment horizontal="center"/>
    </xf>
    <xf numFmtId="164" fontId="33" fillId="0" borderId="32" xfId="0" applyNumberFormat="1" applyFont="1" applyBorder="1" applyAlignment="1">
      <alignment horizontal="center"/>
    </xf>
    <xf numFmtId="0" fontId="0" fillId="0" borderId="14" xfId="0" applyBorder="1"/>
    <xf numFmtId="164" fontId="0" fillId="0" borderId="14" xfId="0" applyNumberFormat="1" applyBorder="1" applyAlignment="1">
      <alignment horizontal="center"/>
    </xf>
    <xf numFmtId="0" fontId="0" fillId="0" borderId="14" xfId="0" applyBorder="1" applyAlignment="1">
      <alignment horizontal="left"/>
    </xf>
    <xf numFmtId="0" fontId="158" fillId="2" borderId="0" xfId="0" applyFont="1" applyFill="1"/>
    <xf numFmtId="0" fontId="56" fillId="2" borderId="0" xfId="0" applyFont="1" applyFill="1" applyAlignment="1">
      <alignment horizontal="centerContinuous" wrapText="1"/>
    </xf>
    <xf numFmtId="0" fontId="8" fillId="2" borderId="72" xfId="0" applyFont="1" applyFill="1" applyBorder="1" applyAlignment="1">
      <alignment horizontal="center"/>
    </xf>
    <xf numFmtId="0" fontId="154" fillId="2" borderId="0" xfId="0" applyFont="1" applyFill="1" applyAlignment="1">
      <alignment horizontal="center"/>
    </xf>
    <xf numFmtId="0" fontId="9" fillId="2" borderId="0" xfId="0" applyFont="1" applyFill="1" applyAlignment="1">
      <alignment horizontal="left"/>
    </xf>
    <xf numFmtId="0" fontId="8" fillId="2" borderId="0" xfId="0" applyFont="1" applyFill="1" applyAlignment="1">
      <alignment horizontal="center"/>
    </xf>
    <xf numFmtId="14" fontId="8" fillId="2" borderId="17" xfId="0" applyNumberFormat="1" applyFont="1" applyFill="1" applyBorder="1" applyAlignment="1" applyProtection="1">
      <alignment horizontal="center"/>
      <protection locked="0"/>
    </xf>
    <xf numFmtId="0" fontId="18" fillId="2" borderId="0" xfId="0" applyFont="1" applyFill="1" applyAlignment="1">
      <alignment horizontal="left" vertical="top" wrapText="1"/>
    </xf>
    <xf numFmtId="1" fontId="8" fillId="0" borderId="43" xfId="0" applyNumberFormat="1" applyFont="1" applyBorder="1" applyAlignment="1" applyProtection="1">
      <alignment horizontal="center"/>
      <protection locked="0"/>
    </xf>
    <xf numFmtId="0" fontId="33" fillId="0" borderId="74" xfId="0" applyFont="1" applyBorder="1"/>
    <xf numFmtId="164" fontId="12" fillId="5" borderId="12" xfId="0" applyNumberFormat="1" applyFont="1" applyFill="1" applyBorder="1" applyAlignment="1">
      <alignment horizontal="center" vertical="center" wrapText="1"/>
    </xf>
    <xf numFmtId="0" fontId="12" fillId="5" borderId="11" xfId="0" applyFont="1" applyFill="1" applyBorder="1" applyAlignment="1">
      <alignment horizontal="center" vertical="center"/>
    </xf>
    <xf numFmtId="0" fontId="12" fillId="5" borderId="10" xfId="0" applyFont="1" applyFill="1" applyBorder="1" applyAlignment="1">
      <alignment horizontal="center" vertical="center"/>
    </xf>
    <xf numFmtId="0" fontId="33" fillId="4" borderId="13" xfId="0" applyFont="1" applyFill="1" applyBorder="1" applyAlignment="1">
      <alignment horizontal="left" indent="1"/>
    </xf>
    <xf numFmtId="0" fontId="0" fillId="42" borderId="0" xfId="0" applyFill="1"/>
    <xf numFmtId="0" fontId="5" fillId="42" borderId="0" xfId="0" applyFont="1" applyFill="1" applyAlignment="1">
      <alignment horizontal="center"/>
    </xf>
    <xf numFmtId="0" fontId="33" fillId="0" borderId="7" xfId="0" applyFont="1" applyBorder="1"/>
    <xf numFmtId="164" fontId="33" fillId="0" borderId="7" xfId="2" applyNumberFormat="1" applyFont="1" applyFill="1" applyBorder="1" applyAlignment="1">
      <alignment horizontal="center"/>
    </xf>
    <xf numFmtId="0" fontId="66" fillId="0" borderId="77" xfId="0" applyFont="1" applyBorder="1" applyAlignment="1">
      <alignment vertical="center" wrapText="1"/>
    </xf>
    <xf numFmtId="0" fontId="5" fillId="2" borderId="0" xfId="0" applyFont="1" applyFill="1" applyAlignment="1">
      <alignment horizontal="right"/>
    </xf>
    <xf numFmtId="0" fontId="5" fillId="2" borderId="0" xfId="0" applyFont="1" applyFill="1" applyAlignment="1">
      <alignment horizontal="right" vertical="center"/>
    </xf>
    <xf numFmtId="2" fontId="14" fillId="2" borderId="17" xfId="0" applyNumberFormat="1" applyFont="1" applyFill="1" applyBorder="1" applyAlignment="1" applyProtection="1">
      <alignment horizontal="center"/>
      <protection locked="0"/>
    </xf>
    <xf numFmtId="2" fontId="14" fillId="2" borderId="17" xfId="0" applyNumberFormat="1" applyFont="1" applyFill="1" applyBorder="1" applyAlignment="1">
      <alignment horizontal="center"/>
    </xf>
    <xf numFmtId="1" fontId="18" fillId="2" borderId="6" xfId="0" applyNumberFormat="1" applyFont="1" applyFill="1" applyBorder="1" applyAlignment="1">
      <alignment horizontal="center"/>
    </xf>
    <xf numFmtId="0" fontId="33" fillId="2" borderId="0" xfId="0" applyFont="1" applyFill="1" applyAlignment="1">
      <alignment horizontal="center"/>
    </xf>
    <xf numFmtId="0" fontId="59" fillId="0" borderId="0" xfId="0" applyFont="1" applyAlignment="1">
      <alignment horizontal="centerContinuous"/>
    </xf>
    <xf numFmtId="0" fontId="0" fillId="2" borderId="0" xfId="0" applyFill="1" applyAlignment="1">
      <alignment vertical="center"/>
    </xf>
    <xf numFmtId="0" fontId="5" fillId="2" borderId="0" xfId="0" applyFont="1" applyFill="1" applyAlignment="1">
      <alignment horizontal="left" vertical="center"/>
    </xf>
    <xf numFmtId="0" fontId="21" fillId="2" borderId="0" xfId="0" applyFont="1" applyFill="1" applyAlignment="1">
      <alignment vertical="center"/>
    </xf>
    <xf numFmtId="0" fontId="0" fillId="2" borderId="43" xfId="0" applyFill="1" applyBorder="1" applyAlignment="1" applyProtection="1">
      <alignment horizontal="center" vertical="center"/>
      <protection locked="0"/>
    </xf>
    <xf numFmtId="0" fontId="50" fillId="2" borderId="0" xfId="0" applyFont="1" applyFill="1" applyAlignment="1">
      <alignment horizontal="left" vertical="center"/>
    </xf>
    <xf numFmtId="0" fontId="27" fillId="2" borderId="0" xfId="0" applyFont="1" applyFill="1" applyAlignment="1">
      <alignment horizontal="left" vertical="center"/>
    </xf>
    <xf numFmtId="0" fontId="19" fillId="2" borderId="0" xfId="0" applyFont="1" applyFill="1" applyAlignment="1">
      <alignment horizontal="left" vertical="center"/>
    </xf>
    <xf numFmtId="0" fontId="51" fillId="2" borderId="0" xfId="0" applyFont="1" applyFill="1" applyAlignment="1">
      <alignment horizontal="left" vertical="center"/>
    </xf>
    <xf numFmtId="0" fontId="51" fillId="2" borderId="0" xfId="0" applyFont="1" applyFill="1" applyAlignment="1">
      <alignment horizontal="right" vertical="center"/>
    </xf>
    <xf numFmtId="0" fontId="6" fillId="4" borderId="0" xfId="0" applyFont="1" applyFill="1" applyAlignment="1">
      <alignment vertical="center"/>
    </xf>
    <xf numFmtId="0" fontId="0" fillId="4" borderId="0" xfId="0" applyFill="1" applyAlignment="1">
      <alignment vertical="center"/>
    </xf>
    <xf numFmtId="0" fontId="0" fillId="0" borderId="0" xfId="0" applyAlignment="1">
      <alignment vertical="center"/>
    </xf>
    <xf numFmtId="0" fontId="0" fillId="2" borderId="0" xfId="0" applyFill="1" applyAlignment="1" applyProtection="1">
      <alignment horizontal="center" vertical="center"/>
      <protection locked="0"/>
    </xf>
    <xf numFmtId="0" fontId="159" fillId="10" borderId="51" xfId="6" applyFont="1" applyFill="1" applyBorder="1" applyAlignment="1" applyProtection="1">
      <alignment horizontal="center" vertical="center" wrapText="1"/>
      <protection locked="0"/>
    </xf>
    <xf numFmtId="0" fontId="69" fillId="9" borderId="25" xfId="6" applyFont="1" applyFill="1" applyBorder="1" applyAlignment="1">
      <alignment horizontal="center" vertical="center" wrapText="1"/>
    </xf>
    <xf numFmtId="0" fontId="22" fillId="0" borderId="79" xfId="0" applyFont="1" applyBorder="1" applyAlignment="1">
      <alignment vertical="center" wrapText="1"/>
    </xf>
    <xf numFmtId="0" fontId="22" fillId="0" borderId="80" xfId="0" applyFont="1" applyBorder="1" applyAlignment="1">
      <alignment vertical="center" wrapText="1"/>
    </xf>
    <xf numFmtId="0" fontId="22" fillId="0" borderId="81" xfId="0" applyFont="1" applyBorder="1" applyAlignment="1">
      <alignment vertical="center" wrapText="1"/>
    </xf>
    <xf numFmtId="0" fontId="22" fillId="0" borderId="77" xfId="0" applyFont="1" applyBorder="1" applyAlignment="1">
      <alignment vertical="center" wrapText="1"/>
    </xf>
    <xf numFmtId="0" fontId="22" fillId="0" borderId="78" xfId="0" applyFont="1" applyBorder="1" applyAlignment="1">
      <alignment vertical="center" wrapText="1"/>
    </xf>
    <xf numFmtId="0" fontId="22" fillId="0" borderId="82" xfId="0" applyFont="1" applyBorder="1" applyAlignment="1">
      <alignment vertical="center" wrapText="1"/>
    </xf>
    <xf numFmtId="0" fontId="68" fillId="10" borderId="26" xfId="5" applyFont="1" applyFill="1" applyBorder="1" applyAlignment="1">
      <alignment horizontal="center" vertical="center" wrapText="1"/>
    </xf>
    <xf numFmtId="0" fontId="159" fillId="10" borderId="51" xfId="5" applyFont="1" applyFill="1" applyBorder="1" applyAlignment="1">
      <alignment horizontal="center" vertical="center"/>
    </xf>
    <xf numFmtId="0" fontId="22" fillId="0" borderId="0" xfId="5" applyFont="1" applyAlignment="1">
      <alignment vertical="center" wrapText="1"/>
    </xf>
    <xf numFmtId="0" fontId="5" fillId="0" borderId="5" xfId="0" applyFont="1" applyBorder="1" applyAlignment="1">
      <alignment vertical="top" wrapText="1"/>
    </xf>
    <xf numFmtId="0" fontId="5" fillId="0" borderId="13" xfId="0" applyFont="1" applyBorder="1" applyAlignment="1">
      <alignment vertical="top" wrapText="1"/>
    </xf>
    <xf numFmtId="0" fontId="5" fillId="2" borderId="0" xfId="0" applyFont="1" applyFill="1" applyAlignment="1">
      <alignment vertical="top" wrapText="1"/>
    </xf>
    <xf numFmtId="0" fontId="11" fillId="2" borderId="0" xfId="0" applyFont="1" applyFill="1" applyAlignment="1">
      <alignment horizontal="center" vertical="top"/>
    </xf>
    <xf numFmtId="167" fontId="5" fillId="0" borderId="0" xfId="0" applyNumberFormat="1" applyFont="1" applyAlignment="1">
      <alignment horizontal="center" vertical="top"/>
    </xf>
    <xf numFmtId="0" fontId="5" fillId="0" borderId="0" xfId="0" applyFont="1" applyAlignment="1">
      <alignment horizontal="center" vertical="top"/>
    </xf>
    <xf numFmtId="0" fontId="5" fillId="2" borderId="0" xfId="0" applyFont="1" applyFill="1" applyAlignment="1">
      <alignment horizontal="center" vertical="top" wrapText="1"/>
    </xf>
    <xf numFmtId="0" fontId="17" fillId="5" borderId="13" xfId="0" applyFont="1" applyFill="1" applyBorder="1" applyAlignment="1">
      <alignment horizontal="center" vertical="top"/>
    </xf>
    <xf numFmtId="0" fontId="5" fillId="0" borderId="85" xfId="0" quotePrefix="1" applyFont="1" applyBorder="1" applyAlignment="1">
      <alignment horizontal="center" vertical="center" wrapText="1"/>
    </xf>
    <xf numFmtId="15" fontId="5" fillId="0" borderId="24" xfId="0" applyNumberFormat="1" applyFont="1" applyBorder="1" applyAlignment="1">
      <alignment horizontal="center" vertical="center" wrapText="1"/>
    </xf>
    <xf numFmtId="0" fontId="5" fillId="0" borderId="16" xfId="0" quotePrefix="1" applyFont="1" applyBorder="1" applyAlignment="1">
      <alignment horizontal="center" vertical="center" wrapText="1"/>
    </xf>
    <xf numFmtId="15" fontId="5" fillId="0" borderId="7" xfId="0" applyNumberFormat="1" applyFont="1" applyBorder="1" applyAlignment="1">
      <alignment horizontal="center" vertical="center" wrapText="1"/>
    </xf>
    <xf numFmtId="0" fontId="5" fillId="0" borderId="23" xfId="0" quotePrefix="1" applyFont="1" applyBorder="1" applyAlignment="1">
      <alignment horizontal="center" vertical="center" wrapText="1"/>
    </xf>
    <xf numFmtId="15" fontId="5" fillId="0" borderId="13" xfId="0" applyNumberFormat="1" applyFont="1" applyBorder="1" applyAlignment="1">
      <alignment horizontal="center" vertical="center" wrapText="1"/>
    </xf>
    <xf numFmtId="0" fontId="5" fillId="2" borderId="0" xfId="0" applyFont="1" applyFill="1" applyAlignment="1">
      <alignment vertical="center"/>
    </xf>
    <xf numFmtId="167" fontId="5" fillId="0" borderId="13" xfId="0" applyNumberFormat="1" applyFont="1" applyBorder="1" applyAlignment="1">
      <alignment horizontal="center" vertical="center"/>
    </xf>
    <xf numFmtId="0" fontId="5" fillId="0" borderId="13" xfId="0" applyFont="1" applyBorder="1" applyAlignment="1">
      <alignment horizontal="center" vertical="center"/>
    </xf>
    <xf numFmtId="0" fontId="33" fillId="0" borderId="13" xfId="0" applyFont="1" applyBorder="1" applyAlignment="1">
      <alignment vertical="center"/>
    </xf>
    <xf numFmtId="164" fontId="33" fillId="0" borderId="13" xfId="2" applyNumberFormat="1" applyFont="1" applyFill="1" applyBorder="1" applyAlignment="1">
      <alignment horizontal="center" vertical="center"/>
    </xf>
    <xf numFmtId="0" fontId="33" fillId="0" borderId="24" xfId="0" applyFont="1" applyBorder="1"/>
    <xf numFmtId="164" fontId="33" fillId="0" borderId="76" xfId="0" applyNumberFormat="1" applyFont="1" applyBorder="1" applyAlignment="1">
      <alignment horizontal="center"/>
    </xf>
    <xf numFmtId="164" fontId="33" fillId="0" borderId="83" xfId="0" applyNumberFormat="1" applyFont="1" applyBorder="1" applyAlignment="1">
      <alignment horizontal="center"/>
    </xf>
    <xf numFmtId="0" fontId="0" fillId="0" borderId="80" xfId="0" applyBorder="1"/>
    <xf numFmtId="0" fontId="8" fillId="0" borderId="80" xfId="0" applyFont="1" applyBorder="1" applyAlignment="1">
      <alignment vertical="center" wrapText="1"/>
    </xf>
    <xf numFmtId="164" fontId="0" fillId="0" borderId="80" xfId="0" applyNumberFormat="1" applyBorder="1" applyAlignment="1">
      <alignment horizontal="center"/>
    </xf>
    <xf numFmtId="2" fontId="0" fillId="0" borderId="0" xfId="0" applyNumberFormat="1"/>
    <xf numFmtId="0" fontId="105" fillId="0" borderId="0" xfId="785" applyFont="1" applyAlignment="1">
      <alignment horizontal="center"/>
    </xf>
    <xf numFmtId="0" fontId="105" fillId="0" borderId="0" xfId="785" applyFont="1" applyAlignment="1">
      <alignment horizontal="center" wrapText="1"/>
    </xf>
    <xf numFmtId="0" fontId="1" fillId="0" borderId="0" xfId="785"/>
    <xf numFmtId="0" fontId="79" fillId="0" borderId="0" xfId="785" applyFont="1" applyAlignment="1">
      <alignment horizontal="center" wrapText="1"/>
    </xf>
    <xf numFmtId="0" fontId="79" fillId="0" borderId="0" xfId="785" applyFont="1" applyAlignment="1">
      <alignment horizontal="center"/>
    </xf>
    <xf numFmtId="2" fontId="162" fillId="33" borderId="84" xfId="785" applyNumberFormat="1" applyFont="1" applyFill="1" applyBorder="1" applyAlignment="1">
      <alignment horizontal="center"/>
    </xf>
    <xf numFmtId="164" fontId="162" fillId="33" borderId="86" xfId="786" applyNumberFormat="1" applyFont="1" applyFill="1" applyBorder="1" applyAlignment="1">
      <alignment horizontal="center"/>
    </xf>
    <xf numFmtId="0" fontId="162" fillId="0" borderId="16" xfId="785" applyFont="1" applyBorder="1" applyAlignment="1">
      <alignment horizontal="center" wrapText="1"/>
    </xf>
    <xf numFmtId="164" fontId="162" fillId="0" borderId="87" xfId="785" applyNumberFormat="1" applyFont="1" applyBorder="1" applyAlignment="1">
      <alignment horizontal="center"/>
    </xf>
    <xf numFmtId="43" fontId="162" fillId="0" borderId="88" xfId="785" applyNumberFormat="1" applyFont="1" applyBorder="1" applyAlignment="1">
      <alignment horizontal="centerContinuous"/>
    </xf>
    <xf numFmtId="43" fontId="1" fillId="0" borderId="38" xfId="785" applyNumberFormat="1" applyBorder="1" applyAlignment="1">
      <alignment horizontal="centerContinuous"/>
    </xf>
    <xf numFmtId="0" fontId="105" fillId="0" borderId="0" xfId="785" applyFont="1"/>
    <xf numFmtId="44" fontId="105" fillId="0" borderId="0" xfId="785" applyNumberFormat="1" applyFont="1"/>
    <xf numFmtId="43" fontId="1" fillId="0" borderId="0" xfId="785" applyNumberFormat="1"/>
    <xf numFmtId="0" fontId="1" fillId="0" borderId="0" xfId="785" applyAlignment="1">
      <alignment wrapText="1"/>
    </xf>
    <xf numFmtId="0" fontId="1" fillId="0" borderId="13" xfId="785" applyBorder="1"/>
    <xf numFmtId="44" fontId="1" fillId="0" borderId="13" xfId="785" applyNumberFormat="1" applyBorder="1"/>
    <xf numFmtId="43" fontId="1" fillId="0" borderId="13" xfId="785" applyNumberFormat="1" applyBorder="1"/>
    <xf numFmtId="44" fontId="0" fillId="0" borderId="13" xfId="786" applyFont="1" applyBorder="1"/>
    <xf numFmtId="0" fontId="105" fillId="2" borderId="0" xfId="785" applyFont="1" applyFill="1"/>
    <xf numFmtId="44" fontId="1" fillId="0" borderId="0" xfId="785" applyNumberFormat="1"/>
    <xf numFmtId="0" fontId="162" fillId="0" borderId="0" xfId="785" applyFont="1"/>
    <xf numFmtId="1" fontId="162" fillId="0" borderId="0" xfId="785" applyNumberFormat="1" applyFont="1" applyAlignment="1">
      <alignment horizontal="center"/>
    </xf>
    <xf numFmtId="0" fontId="163" fillId="0" borderId="0" xfId="785" applyFont="1"/>
    <xf numFmtId="0" fontId="162" fillId="0" borderId="0" xfId="785" applyFont="1" applyAlignment="1">
      <alignment horizontal="center" wrapText="1"/>
    </xf>
    <xf numFmtId="43" fontId="162" fillId="0" borderId="0" xfId="785" applyNumberFormat="1" applyFont="1" applyAlignment="1">
      <alignment horizontal="centerContinuous"/>
    </xf>
    <xf numFmtId="0" fontId="164" fillId="0" borderId="89" xfId="787" applyFont="1" applyBorder="1" applyAlignment="1" applyProtection="1">
      <alignment vertical="top" wrapText="1"/>
      <protection locked="0"/>
    </xf>
    <xf numFmtId="0" fontId="164" fillId="0" borderId="90" xfId="787" applyFont="1" applyBorder="1" applyAlignment="1" applyProtection="1">
      <alignment vertical="top" wrapText="1"/>
      <protection locked="0"/>
    </xf>
    <xf numFmtId="0" fontId="164" fillId="0" borderId="91" xfId="787" applyFont="1" applyBorder="1" applyAlignment="1" applyProtection="1">
      <alignment vertical="top" wrapText="1"/>
      <protection locked="0"/>
    </xf>
    <xf numFmtId="0" fontId="164" fillId="0" borderId="92" xfId="787" applyFont="1" applyBorder="1" applyAlignment="1" applyProtection="1">
      <alignment vertical="top" wrapText="1"/>
      <protection locked="0"/>
    </xf>
    <xf numFmtId="0" fontId="164" fillId="0" borderId="94" xfId="787" applyFont="1" applyBorder="1" applyAlignment="1" applyProtection="1">
      <alignment vertical="top" wrapText="1"/>
      <protection locked="0"/>
    </xf>
    <xf numFmtId="0" fontId="164" fillId="0" borderId="95" xfId="787" applyFont="1" applyBorder="1" applyAlignment="1" applyProtection="1">
      <alignment vertical="top" wrapText="1"/>
      <protection locked="0"/>
    </xf>
    <xf numFmtId="44" fontId="0" fillId="0" borderId="13" xfId="786" applyFont="1" applyFill="1" applyBorder="1"/>
    <xf numFmtId="0" fontId="162" fillId="0" borderId="0" xfId="785" applyFont="1" applyAlignment="1">
      <alignment horizontal="left" wrapText="1"/>
    </xf>
    <xf numFmtId="0" fontId="161" fillId="43" borderId="13" xfId="785" applyFont="1" applyFill="1" applyBorder="1" applyAlignment="1">
      <alignment horizontal="center"/>
    </xf>
    <xf numFmtId="0" fontId="105" fillId="9" borderId="18" xfId="785" applyFont="1" applyFill="1" applyBorder="1" applyAlignment="1">
      <alignment horizontal="center" wrapText="1"/>
    </xf>
    <xf numFmtId="0" fontId="47" fillId="0" borderId="0" xfId="0" applyFont="1" applyAlignment="1">
      <alignment horizontal="left"/>
    </xf>
    <xf numFmtId="0" fontId="48" fillId="5" borderId="0" xfId="0" applyFont="1" applyFill="1" applyAlignment="1">
      <alignment horizontal="left" wrapText="1"/>
    </xf>
    <xf numFmtId="0" fontId="12" fillId="9" borderId="100" xfId="0" applyFont="1" applyFill="1" applyBorder="1" applyAlignment="1">
      <alignment horizontal="center" wrapText="1"/>
    </xf>
    <xf numFmtId="0" fontId="12" fillId="9" borderId="101" xfId="0" applyFont="1" applyFill="1" applyBorder="1" applyAlignment="1">
      <alignment horizontal="center" wrapText="1"/>
    </xf>
    <xf numFmtId="0" fontId="12" fillId="9" borderId="102" xfId="0" applyFont="1" applyFill="1" applyBorder="1" applyAlignment="1">
      <alignment horizontal="center" wrapText="1"/>
    </xf>
    <xf numFmtId="164" fontId="12" fillId="5" borderId="103" xfId="0" applyNumberFormat="1" applyFont="1" applyFill="1" applyBorder="1" applyAlignment="1">
      <alignment horizontal="center" vertical="center" wrapText="1"/>
    </xf>
    <xf numFmtId="0" fontId="12" fillId="9" borderId="99" xfId="0" applyFont="1" applyFill="1" applyBorder="1" applyAlignment="1">
      <alignment horizontal="centerContinuous" vertical="center"/>
    </xf>
    <xf numFmtId="0" fontId="12" fillId="9" borderId="102" xfId="0" applyFont="1" applyFill="1" applyBorder="1" applyAlignment="1">
      <alignment horizontal="centerContinuous" vertical="center"/>
    </xf>
    <xf numFmtId="0" fontId="33" fillId="0" borderId="5" xfId="0" applyFont="1" applyBorder="1" applyAlignment="1">
      <alignment horizontal="left"/>
    </xf>
    <xf numFmtId="164" fontId="8" fillId="2" borderId="0" xfId="0" applyNumberFormat="1" applyFont="1" applyFill="1"/>
    <xf numFmtId="1" fontId="14" fillId="2" borderId="6" xfId="0" applyNumberFormat="1" applyFont="1" applyFill="1" applyBorder="1" applyAlignment="1">
      <alignment horizontal="center"/>
    </xf>
    <xf numFmtId="0" fontId="11" fillId="0" borderId="0" xfId="0" applyFont="1" applyAlignment="1" applyProtection="1">
      <alignment vertical="center"/>
      <protection hidden="1"/>
    </xf>
    <xf numFmtId="0" fontId="165" fillId="0" borderId="0" xfId="0" applyFont="1"/>
    <xf numFmtId="0" fontId="165" fillId="0" borderId="0" xfId="0" applyFont="1" applyAlignment="1">
      <alignment horizontal="center"/>
    </xf>
    <xf numFmtId="0" fontId="165" fillId="0" borderId="0" xfId="0" applyFont="1" applyAlignment="1">
      <alignment vertical="center"/>
    </xf>
    <xf numFmtId="0" fontId="5" fillId="0" borderId="0" xfId="0" applyFont="1" applyAlignment="1">
      <alignment vertical="center"/>
    </xf>
    <xf numFmtId="0" fontId="5" fillId="0" borderId="0" xfId="0" applyFont="1" applyAlignment="1">
      <alignment horizontal="left"/>
    </xf>
    <xf numFmtId="0" fontId="5" fillId="0" borderId="0" xfId="0" quotePrefix="1" applyFont="1" applyAlignment="1">
      <alignment horizontal="left" indent="1"/>
    </xf>
    <xf numFmtId="0" fontId="165" fillId="0" borderId="0" xfId="2" applyNumberFormat="1" applyFont="1" applyFill="1"/>
    <xf numFmtId="0" fontId="5" fillId="0" borderId="0" xfId="2" applyNumberFormat="1" applyFont="1" applyFill="1"/>
    <xf numFmtId="0" fontId="166" fillId="0" borderId="0" xfId="0" applyFont="1" applyAlignment="1">
      <alignment horizontal="center"/>
    </xf>
    <xf numFmtId="0" fontId="167" fillId="0" borderId="0" xfId="2" applyNumberFormat="1" applyFont="1" applyFill="1" applyBorder="1"/>
    <xf numFmtId="0" fontId="166" fillId="0" borderId="0" xfId="0" applyFont="1" applyAlignment="1">
      <alignment horizontal="right"/>
    </xf>
    <xf numFmtId="0" fontId="166" fillId="0" borderId="0" xfId="2" applyNumberFormat="1" applyFont="1" applyFill="1" applyBorder="1"/>
    <xf numFmtId="0" fontId="8" fillId="0" borderId="0" xfId="0" applyFont="1"/>
    <xf numFmtId="0" fontId="5" fillId="0" borderId="0" xfId="0" applyFont="1" applyAlignment="1">
      <alignment vertical="top"/>
    </xf>
    <xf numFmtId="0" fontId="5" fillId="0" borderId="0" xfId="0" applyFont="1" applyAlignment="1">
      <alignment horizontal="right" indent="2"/>
    </xf>
    <xf numFmtId="0" fontId="165" fillId="0" borderId="0" xfId="2" applyNumberFormat="1" applyFont="1" applyFill="1" applyBorder="1"/>
    <xf numFmtId="0" fontId="5" fillId="0" borderId="0" xfId="2" applyNumberFormat="1" applyFont="1" applyFill="1" applyBorder="1"/>
    <xf numFmtId="0" fontId="5" fillId="0" borderId="0" xfId="0" applyFont="1" applyAlignment="1">
      <alignment horizontal="left" vertical="center"/>
    </xf>
    <xf numFmtId="0" fontId="5" fillId="0" borderId="0" xfId="0" applyFont="1" applyProtection="1">
      <protection hidden="1"/>
    </xf>
    <xf numFmtId="0" fontId="37" fillId="2" borderId="17" xfId="0" applyFont="1" applyFill="1" applyBorder="1" applyAlignment="1">
      <alignment horizontal="center"/>
    </xf>
    <xf numFmtId="0" fontId="8" fillId="2" borderId="0" xfId="0" applyFont="1" applyFill="1" applyAlignment="1" applyProtection="1">
      <alignment horizontal="center" vertical="center"/>
      <protection locked="0"/>
    </xf>
    <xf numFmtId="0" fontId="48" fillId="5" borderId="13" xfId="0" applyFont="1" applyFill="1" applyBorder="1" applyAlignment="1">
      <alignment horizontal="center" vertical="center" wrapText="1"/>
    </xf>
    <xf numFmtId="0" fontId="48" fillId="5" borderId="34" xfId="0" applyFont="1" applyFill="1" applyBorder="1" applyAlignment="1">
      <alignment horizontal="left" vertical="center" wrapText="1"/>
    </xf>
    <xf numFmtId="0" fontId="48" fillId="5" borderId="71" xfId="0" applyFont="1" applyFill="1" applyBorder="1" applyAlignment="1">
      <alignment horizontal="left" vertical="center" wrapText="1"/>
    </xf>
    <xf numFmtId="0" fontId="48" fillId="5" borderId="34" xfId="0" applyFont="1" applyFill="1" applyBorder="1" applyAlignment="1">
      <alignment horizontal="left" vertical="center"/>
    </xf>
    <xf numFmtId="0" fontId="168" fillId="6" borderId="30" xfId="0" applyFont="1" applyFill="1" applyBorder="1"/>
    <xf numFmtId="1" fontId="168" fillId="6" borderId="31" xfId="0" applyNumberFormat="1" applyFont="1" applyFill="1" applyBorder="1" applyAlignment="1">
      <alignment horizontal="center"/>
    </xf>
    <xf numFmtId="1" fontId="168" fillId="6" borderId="76" xfId="0" applyNumberFormat="1" applyFont="1" applyFill="1" applyBorder="1" applyAlignment="1">
      <alignment horizontal="center"/>
    </xf>
    <xf numFmtId="0" fontId="168" fillId="6" borderId="75" xfId="0" applyFont="1" applyFill="1" applyBorder="1"/>
    <xf numFmtId="1" fontId="168" fillId="6" borderId="32" xfId="0" applyNumberFormat="1" applyFont="1" applyFill="1" applyBorder="1" applyAlignment="1">
      <alignment horizontal="center"/>
    </xf>
    <xf numFmtId="0" fontId="6" fillId="6" borderId="0" xfId="0" applyFont="1" applyFill="1"/>
    <xf numFmtId="0" fontId="48" fillId="5" borderId="13" xfId="0" applyFont="1" applyFill="1" applyBorder="1" applyAlignment="1">
      <alignment horizontal="left" vertical="center" wrapText="1"/>
    </xf>
    <xf numFmtId="0" fontId="66" fillId="0" borderId="13" xfId="0" applyFont="1" applyBorder="1" applyAlignment="1">
      <alignment wrapText="1"/>
    </xf>
    <xf numFmtId="0" fontId="22" fillId="0" borderId="34" xfId="0" applyFont="1" applyBorder="1" applyAlignment="1">
      <alignment vertical="center" wrapText="1"/>
    </xf>
    <xf numFmtId="0" fontId="5" fillId="0" borderId="13" xfId="0" applyFont="1" applyBorder="1" applyAlignment="1">
      <alignment wrapText="1"/>
    </xf>
    <xf numFmtId="0" fontId="22" fillId="0" borderId="45" xfId="0" applyFont="1" applyBorder="1" applyAlignment="1">
      <alignment vertical="center" wrapText="1"/>
    </xf>
    <xf numFmtId="0" fontId="66" fillId="0" borderId="45" xfId="0" applyFont="1" applyBorder="1" applyAlignment="1">
      <alignment wrapText="1"/>
    </xf>
    <xf numFmtId="0" fontId="5" fillId="0" borderId="34" xfId="6" applyFont="1" applyBorder="1" applyAlignment="1">
      <alignment vertical="center" wrapText="1"/>
    </xf>
    <xf numFmtId="0" fontId="5" fillId="0" borderId="104" xfId="6" applyFont="1" applyBorder="1" applyAlignment="1">
      <alignment vertical="center" wrapText="1"/>
    </xf>
    <xf numFmtId="0" fontId="5" fillId="0" borderId="93" xfId="0" applyFont="1" applyBorder="1" applyAlignment="1">
      <alignment vertical="center" wrapText="1"/>
    </xf>
    <xf numFmtId="0" fontId="0" fillId="0" borderId="93" xfId="0" applyBorder="1" applyAlignment="1">
      <alignment vertical="center" wrapText="1"/>
    </xf>
    <xf numFmtId="0" fontId="158" fillId="2" borderId="0" xfId="0" applyFont="1" applyFill="1" applyAlignment="1">
      <alignment horizontal="centerContinuous"/>
    </xf>
    <xf numFmtId="0" fontId="39" fillId="2" borderId="0" xfId="0" applyFont="1" applyFill="1" applyAlignment="1">
      <alignment horizontal="centerContinuous"/>
    </xf>
    <xf numFmtId="0" fontId="5" fillId="2" borderId="0" xfId="0" applyFont="1" applyFill="1" applyAlignment="1">
      <alignment horizontal="centerContinuous"/>
    </xf>
    <xf numFmtId="0" fontId="5" fillId="0" borderId="0" xfId="0" quotePrefix="1" applyFont="1" applyAlignment="1">
      <alignment vertical="center" wrapText="1"/>
    </xf>
    <xf numFmtId="0" fontId="12" fillId="42" borderId="13" xfId="0" quotePrefix="1" applyFont="1" applyFill="1" applyBorder="1" applyAlignment="1">
      <alignment horizontal="center" vertical="center" wrapText="1"/>
    </xf>
    <xf numFmtId="0" fontId="8" fillId="42" borderId="13" xfId="0" applyFont="1" applyFill="1" applyBorder="1" applyAlignment="1">
      <alignment vertical="top" wrapText="1"/>
    </xf>
    <xf numFmtId="0" fontId="5" fillId="0" borderId="5" xfId="0" quotePrefix="1" applyFont="1" applyBorder="1" applyAlignment="1">
      <alignment vertical="top" wrapText="1"/>
    </xf>
    <xf numFmtId="15" fontId="5" fillId="0" borderId="105" xfId="0" applyNumberFormat="1" applyFont="1" applyBorder="1" applyAlignment="1">
      <alignment horizontal="center" vertical="center" wrapText="1"/>
    </xf>
    <xf numFmtId="0" fontId="33" fillId="6" borderId="33" xfId="0" applyFont="1" applyFill="1" applyBorder="1" applyAlignment="1">
      <alignment vertical="top"/>
    </xf>
    <xf numFmtId="0" fontId="33" fillId="6" borderId="33" xfId="0" applyFont="1" applyFill="1" applyBorder="1" applyAlignment="1">
      <alignment horizontal="right"/>
    </xf>
    <xf numFmtId="0" fontId="33" fillId="6" borderId="33" xfId="0" applyFont="1" applyFill="1" applyBorder="1" applyAlignment="1">
      <alignment horizontal="left" vertical="center" wrapText="1" indent="1"/>
    </xf>
    <xf numFmtId="7" fontId="33" fillId="6" borderId="33" xfId="2" applyNumberFormat="1" applyFont="1" applyFill="1" applyBorder="1" applyAlignment="1">
      <alignment horizontal="right" vertical="center" wrapText="1" indent="1"/>
    </xf>
    <xf numFmtId="0" fontId="33" fillId="6" borderId="33" xfId="0" applyFont="1" applyFill="1" applyBorder="1" applyAlignment="1">
      <alignment wrapText="1"/>
    </xf>
    <xf numFmtId="0" fontId="33" fillId="6" borderId="33" xfId="0" applyFont="1" applyFill="1" applyBorder="1" applyAlignment="1">
      <alignment horizontal="left" wrapText="1"/>
    </xf>
    <xf numFmtId="0" fontId="33" fillId="6" borderId="33" xfId="0" applyFont="1" applyFill="1" applyBorder="1"/>
    <xf numFmtId="0" fontId="33" fillId="6" borderId="33" xfId="0" applyFont="1" applyFill="1" applyBorder="1" applyAlignment="1">
      <alignment horizontal="left"/>
    </xf>
    <xf numFmtId="0" fontId="33" fillId="10" borderId="33" xfId="0" applyFont="1" applyFill="1" applyBorder="1" applyAlignment="1">
      <alignment horizontal="left" wrapText="1"/>
    </xf>
    <xf numFmtId="0" fontId="33" fillId="6" borderId="79" xfId="0" applyFont="1" applyFill="1" applyBorder="1"/>
    <xf numFmtId="0" fontId="33" fillId="6" borderId="79" xfId="0" applyFont="1" applyFill="1" applyBorder="1" applyAlignment="1">
      <alignment vertical="top"/>
    </xf>
    <xf numFmtId="0" fontId="33" fillId="6" borderId="79" xfId="0" applyFont="1" applyFill="1" applyBorder="1" applyAlignment="1">
      <alignment horizontal="right"/>
    </xf>
    <xf numFmtId="0" fontId="0" fillId="2" borderId="0" xfId="0" applyFill="1" applyAlignment="1">
      <alignment horizontal="center" vertical="center"/>
    </xf>
    <xf numFmtId="0" fontId="58" fillId="2" borderId="0" xfId="0" applyFont="1" applyFill="1" applyAlignment="1">
      <alignment horizontal="center"/>
    </xf>
    <xf numFmtId="164" fontId="14" fillId="2" borderId="108" xfId="0" quotePrefix="1" applyNumberFormat="1" applyFont="1" applyFill="1" applyBorder="1" applyAlignment="1" applyProtection="1">
      <alignment horizontal="centerContinuous"/>
      <protection hidden="1"/>
    </xf>
    <xf numFmtId="0" fontId="0" fillId="0" borderId="109" xfId="0" applyBorder="1" applyAlignment="1">
      <alignment horizontal="centerContinuous"/>
    </xf>
    <xf numFmtId="164" fontId="14" fillId="2" borderId="106" xfId="0" quotePrefix="1" applyNumberFormat="1" applyFont="1" applyFill="1" applyBorder="1" applyAlignment="1">
      <alignment horizontal="centerContinuous"/>
    </xf>
    <xf numFmtId="0" fontId="0" fillId="0" borderId="107" xfId="0" applyBorder="1" applyAlignment="1">
      <alignment horizontal="centerContinuous"/>
    </xf>
    <xf numFmtId="164" fontId="14" fillId="2" borderId="108" xfId="0" applyNumberFormat="1" applyFont="1" applyFill="1" applyBorder="1" applyAlignment="1">
      <alignment horizontal="centerContinuous"/>
    </xf>
    <xf numFmtId="164" fontId="14" fillId="2" borderId="108" xfId="0" applyNumberFormat="1" applyFont="1" applyFill="1" applyBorder="1" applyAlignment="1" applyProtection="1">
      <alignment horizontal="centerContinuous"/>
      <protection hidden="1"/>
    </xf>
    <xf numFmtId="164" fontId="6" fillId="0" borderId="0" xfId="0" applyNumberFormat="1" applyFont="1"/>
    <xf numFmtId="0" fontId="12" fillId="5" borderId="114" xfId="0" applyFont="1" applyFill="1" applyBorder="1" applyAlignment="1">
      <alignment horizontal="center" vertical="center"/>
    </xf>
    <xf numFmtId="0" fontId="0" fillId="0" borderId="0" xfId="0" applyAlignment="1">
      <alignment horizontal="left"/>
    </xf>
    <xf numFmtId="0" fontId="8" fillId="45" borderId="25" xfId="0" applyFont="1" applyFill="1" applyBorder="1" applyAlignment="1">
      <alignment vertical="center" wrapText="1"/>
    </xf>
    <xf numFmtId="0" fontId="8" fillId="45" borderId="93" xfId="0" applyFont="1" applyFill="1" applyBorder="1" applyAlignment="1">
      <alignment vertical="center" wrapText="1"/>
    </xf>
    <xf numFmtId="0" fontId="33" fillId="0" borderId="117" xfId="0" applyFont="1" applyBorder="1"/>
    <xf numFmtId="164" fontId="33" fillId="0" borderId="118" xfId="0" applyNumberFormat="1" applyFont="1" applyBorder="1" applyAlignment="1">
      <alignment horizontal="center"/>
    </xf>
    <xf numFmtId="164" fontId="33" fillId="0" borderId="119" xfId="0" applyNumberFormat="1" applyFont="1" applyBorder="1" applyAlignment="1">
      <alignment horizontal="center" vertical="center"/>
    </xf>
    <xf numFmtId="0" fontId="5" fillId="0" borderId="119" xfId="0" applyFont="1" applyBorder="1" applyAlignment="1">
      <alignment vertical="center" wrapText="1"/>
    </xf>
    <xf numFmtId="0" fontId="23" fillId="3" borderId="3" xfId="0" applyFont="1" applyFill="1" applyBorder="1" applyAlignment="1">
      <alignment horizontal="left" vertical="center"/>
    </xf>
    <xf numFmtId="0" fontId="55" fillId="2" borderId="0" xfId="0" applyFont="1" applyFill="1" applyAlignment="1">
      <alignment horizontal="centerContinuous" wrapText="1"/>
    </xf>
    <xf numFmtId="0" fontId="61" fillId="2" borderId="0" xfId="0" applyFont="1" applyFill="1" applyAlignment="1" applyProtection="1">
      <alignment horizontal="centerContinuous"/>
      <protection hidden="1"/>
    </xf>
    <xf numFmtId="0" fontId="48" fillId="5" borderId="93" xfId="0" applyFont="1" applyFill="1" applyBorder="1" applyAlignment="1">
      <alignment horizontal="left" vertical="center"/>
    </xf>
    <xf numFmtId="0" fontId="49" fillId="4" borderId="125" xfId="0" applyFont="1" applyFill="1" applyBorder="1"/>
    <xf numFmtId="0" fontId="33" fillId="6" borderId="33" xfId="0" quotePrefix="1" applyFont="1" applyFill="1" applyBorder="1" applyAlignment="1">
      <alignment horizontal="left"/>
    </xf>
    <xf numFmtId="164" fontId="33" fillId="0" borderId="117" xfId="2" applyNumberFormat="1" applyFont="1" applyFill="1" applyBorder="1" applyAlignment="1">
      <alignment horizontal="center"/>
    </xf>
    <xf numFmtId="0" fontId="33" fillId="0" borderId="13" xfId="0" applyFont="1" applyBorder="1" applyAlignment="1">
      <alignment horizontal="left"/>
    </xf>
    <xf numFmtId="0" fontId="33" fillId="0" borderId="117" xfId="0" applyFont="1" applyBorder="1" applyAlignment="1">
      <alignment horizontal="left"/>
    </xf>
    <xf numFmtId="0" fontId="33" fillId="0" borderId="20" xfId="0" applyFont="1" applyBorder="1" applyAlignment="1">
      <alignment horizontal="left"/>
    </xf>
    <xf numFmtId="0" fontId="33" fillId="0" borderId="7" xfId="0" applyFont="1" applyBorder="1" applyAlignment="1">
      <alignment horizontal="left"/>
    </xf>
    <xf numFmtId="0" fontId="33" fillId="0" borderId="13" xfId="0" applyFont="1" applyBorder="1" applyAlignment="1">
      <alignment horizontal="left" vertical="center"/>
    </xf>
    <xf numFmtId="0" fontId="10" fillId="3" borderId="3" xfId="0" applyFont="1" applyFill="1" applyBorder="1" applyAlignment="1">
      <alignment horizontal="left" vertical="center"/>
    </xf>
    <xf numFmtId="0" fontId="48" fillId="0" borderId="13" xfId="0" applyFont="1" applyBorder="1" applyAlignment="1">
      <alignment horizontal="left"/>
    </xf>
    <xf numFmtId="0" fontId="48" fillId="0" borderId="13" xfId="0" applyFont="1" applyBorder="1"/>
    <xf numFmtId="164" fontId="14" fillId="2" borderId="108" xfId="0" quotePrefix="1" applyNumberFormat="1" applyFont="1" applyFill="1" applyBorder="1" applyAlignment="1" applyProtection="1">
      <alignment horizontal="center"/>
      <protection hidden="1"/>
    </xf>
    <xf numFmtId="0" fontId="0" fillId="0" borderId="109" xfId="0" applyBorder="1" applyAlignment="1">
      <alignment horizontal="center"/>
    </xf>
    <xf numFmtId="0" fontId="18" fillId="2" borderId="122" xfId="0" applyFont="1" applyFill="1" applyBorder="1" applyAlignment="1" applyProtection="1">
      <alignment horizontal="left"/>
      <protection hidden="1"/>
    </xf>
    <xf numFmtId="0" fontId="18" fillId="2" borderId="123" xfId="0" applyFont="1" applyFill="1" applyBorder="1" applyAlignment="1" applyProtection="1">
      <alignment horizontal="left"/>
      <protection hidden="1"/>
    </xf>
    <xf numFmtId="0" fontId="18" fillId="2" borderId="124" xfId="0" applyFont="1" applyFill="1" applyBorder="1" applyAlignment="1" applyProtection="1">
      <alignment horizontal="left"/>
      <protection hidden="1"/>
    </xf>
    <xf numFmtId="0" fontId="18" fillId="2" borderId="122" xfId="0" applyFont="1" applyFill="1" applyBorder="1" applyAlignment="1" applyProtection="1">
      <alignment horizontal="center"/>
      <protection hidden="1"/>
    </xf>
    <xf numFmtId="0" fontId="18" fillId="2" borderId="123" xfId="0" applyFont="1" applyFill="1" applyBorder="1" applyAlignment="1" applyProtection="1">
      <alignment horizontal="center"/>
      <protection hidden="1"/>
    </xf>
    <xf numFmtId="0" fontId="18" fillId="2" borderId="124" xfId="0" applyFont="1" applyFill="1" applyBorder="1" applyAlignment="1" applyProtection="1">
      <alignment horizontal="center"/>
      <protection hidden="1"/>
    </xf>
    <xf numFmtId="0" fontId="14" fillId="0" borderId="122" xfId="0" applyFont="1" applyBorder="1" applyAlignment="1">
      <alignment horizontal="left" wrapText="1"/>
    </xf>
    <xf numFmtId="0" fontId="14" fillId="0" borderId="123" xfId="0" applyFont="1" applyBorder="1" applyAlignment="1">
      <alignment horizontal="left"/>
    </xf>
    <xf numFmtId="0" fontId="14" fillId="0" borderId="124" xfId="0" applyFont="1" applyBorder="1" applyAlignment="1">
      <alignment horizontal="left"/>
    </xf>
    <xf numFmtId="0" fontId="14" fillId="0" borderId="123" xfId="0" applyFont="1" applyBorder="1" applyAlignment="1">
      <alignment horizontal="left" wrapText="1"/>
    </xf>
    <xf numFmtId="0" fontId="14" fillId="0" borderId="124" xfId="0" applyFont="1" applyBorder="1" applyAlignment="1">
      <alignment horizontal="left" wrapText="1"/>
    </xf>
    <xf numFmtId="164" fontId="14" fillId="2" borderId="112" xfId="0" quotePrefix="1" applyNumberFormat="1" applyFont="1" applyFill="1" applyBorder="1" applyAlignment="1">
      <alignment horizontal="center" vertical="center"/>
    </xf>
    <xf numFmtId="0" fontId="0" fillId="0" borderId="113" xfId="0" applyBorder="1" applyAlignment="1">
      <alignment horizontal="center" vertical="center"/>
    </xf>
    <xf numFmtId="164" fontId="14" fillId="2" borderId="113" xfId="0" quotePrefix="1" applyNumberFormat="1" applyFont="1" applyFill="1" applyBorder="1" applyAlignment="1">
      <alignment horizontal="center" vertical="center"/>
    </xf>
    <xf numFmtId="0" fontId="14" fillId="0" borderId="122" xfId="0" applyFont="1" applyBorder="1" applyAlignment="1">
      <alignment horizontal="left"/>
    </xf>
    <xf numFmtId="0" fontId="14" fillId="2" borderId="6" xfId="0" applyFont="1" applyFill="1" applyBorder="1" applyAlignment="1" applyProtection="1">
      <alignment horizontal="left"/>
      <protection locked="0"/>
    </xf>
    <xf numFmtId="0" fontId="14" fillId="2" borderId="22" xfId="0" applyFont="1" applyFill="1" applyBorder="1" applyAlignment="1" applyProtection="1">
      <alignment horizontal="left"/>
      <protection locked="0"/>
    </xf>
    <xf numFmtId="0" fontId="14" fillId="2" borderId="9" xfId="0" applyFont="1" applyFill="1" applyBorder="1" applyAlignment="1" applyProtection="1">
      <alignment horizontal="left"/>
      <protection locked="0"/>
    </xf>
    <xf numFmtId="164" fontId="14" fillId="2" borderId="122" xfId="0" quotePrefix="1" applyNumberFormat="1" applyFont="1" applyFill="1" applyBorder="1" applyAlignment="1" applyProtection="1">
      <alignment horizontal="center"/>
      <protection hidden="1"/>
    </xf>
    <xf numFmtId="164" fontId="14" fillId="2" borderId="124" xfId="0" quotePrefix="1" applyNumberFormat="1" applyFont="1" applyFill="1" applyBorder="1" applyAlignment="1" applyProtection="1">
      <alignment horizontal="center"/>
      <protection hidden="1"/>
    </xf>
    <xf numFmtId="0" fontId="14" fillId="2" borderId="6" xfId="0" applyFont="1" applyFill="1" applyBorder="1" applyAlignment="1" applyProtection="1">
      <alignment horizontal="center"/>
      <protection locked="0"/>
    </xf>
    <xf numFmtId="0" fontId="14" fillId="2" borderId="9" xfId="0" applyFont="1" applyFill="1" applyBorder="1" applyAlignment="1" applyProtection="1">
      <alignment horizontal="center"/>
      <protection locked="0"/>
    </xf>
    <xf numFmtId="0" fontId="14" fillId="2" borderId="6" xfId="0" applyFont="1" applyFill="1" applyBorder="1" applyAlignment="1" applyProtection="1">
      <alignment horizontal="left" wrapText="1"/>
      <protection locked="0"/>
    </xf>
    <xf numFmtId="0" fontId="14" fillId="2" borderId="22" xfId="0" applyFont="1" applyFill="1" applyBorder="1" applyAlignment="1" applyProtection="1">
      <alignment horizontal="left" wrapText="1"/>
      <protection locked="0"/>
    </xf>
    <xf numFmtId="0" fontId="14" fillId="0" borderId="6" xfId="0" applyFont="1" applyBorder="1" applyAlignment="1" applyProtection="1">
      <alignment horizontal="center"/>
      <protection locked="0"/>
    </xf>
    <xf numFmtId="0" fontId="14" fillId="0" borderId="22" xfId="0" applyFont="1" applyBorder="1" applyAlignment="1" applyProtection="1">
      <alignment horizontal="center"/>
      <protection locked="0"/>
    </xf>
    <xf numFmtId="0" fontId="14" fillId="0" borderId="9" xfId="0" applyFont="1" applyBorder="1" applyAlignment="1" applyProtection="1">
      <alignment horizontal="center"/>
      <protection locked="0"/>
    </xf>
    <xf numFmtId="0" fontId="29" fillId="2" borderId="0" xfId="0" applyFont="1" applyFill="1" applyAlignment="1">
      <alignment horizontal="right"/>
    </xf>
    <xf numFmtId="0" fontId="14" fillId="2" borderId="96" xfId="0" applyFont="1" applyFill="1" applyBorder="1" applyAlignment="1" applyProtection="1">
      <alignment horizontal="left"/>
      <protection locked="0"/>
    </xf>
    <xf numFmtId="0" fontId="14" fillId="2" borderId="97" xfId="0" applyFont="1" applyFill="1" applyBorder="1" applyAlignment="1" applyProtection="1">
      <alignment horizontal="left"/>
      <protection locked="0"/>
    </xf>
    <xf numFmtId="0" fontId="14" fillId="2" borderId="98" xfId="0" applyFont="1" applyFill="1" applyBorder="1" applyAlignment="1" applyProtection="1">
      <alignment horizontal="left"/>
      <protection locked="0"/>
    </xf>
    <xf numFmtId="0" fontId="171" fillId="2" borderId="25" xfId="0" applyFont="1" applyFill="1" applyBorder="1" applyAlignment="1">
      <alignment horizontal="center" vertical="center"/>
    </xf>
    <xf numFmtId="0" fontId="165" fillId="0" borderId="25" xfId="0" applyFont="1" applyBorder="1" applyAlignment="1">
      <alignment vertical="center"/>
    </xf>
    <xf numFmtId="164" fontId="37" fillId="2" borderId="21" xfId="0" quotePrefix="1" applyNumberFormat="1" applyFont="1" applyFill="1" applyBorder="1" applyAlignment="1">
      <alignment horizontal="center" vertical="center"/>
    </xf>
    <xf numFmtId="0" fontId="0" fillId="0" borderId="19" xfId="0" applyBorder="1" applyAlignment="1">
      <alignment horizontal="center" vertical="center"/>
    </xf>
    <xf numFmtId="164" fontId="14" fillId="2" borderId="110" xfId="0" quotePrefix="1" applyNumberFormat="1" applyFont="1" applyFill="1" applyBorder="1" applyAlignment="1">
      <alignment horizontal="center" vertical="center"/>
    </xf>
    <xf numFmtId="0" fontId="0" fillId="0" borderId="111" xfId="0" applyBorder="1" applyAlignment="1">
      <alignment horizontal="center" vertical="center"/>
    </xf>
    <xf numFmtId="0" fontId="14" fillId="2" borderId="6" xfId="0" applyFont="1" applyFill="1" applyBorder="1" applyAlignment="1">
      <alignment horizontal="left"/>
    </xf>
    <xf numFmtId="0" fontId="0" fillId="0" borderId="22" xfId="0" applyBorder="1" applyAlignment="1">
      <alignment horizontal="left"/>
    </xf>
    <xf numFmtId="0" fontId="14" fillId="2" borderId="96" xfId="0" applyFont="1" applyFill="1" applyBorder="1" applyAlignment="1">
      <alignment horizontal="left"/>
    </xf>
    <xf numFmtId="0" fontId="14" fillId="2" borderId="97" xfId="0" applyFont="1" applyFill="1" applyBorder="1" applyAlignment="1">
      <alignment horizontal="left"/>
    </xf>
    <xf numFmtId="0" fontId="14" fillId="2" borderId="98" xfId="0" applyFont="1" applyFill="1" applyBorder="1" applyAlignment="1">
      <alignment horizontal="left"/>
    </xf>
    <xf numFmtId="0" fontId="154" fillId="2" borderId="64" xfId="0" applyFont="1" applyFill="1" applyBorder="1" applyAlignment="1" applyProtection="1">
      <alignment horizontal="center"/>
      <protection locked="0"/>
    </xf>
    <xf numFmtId="0" fontId="154" fillId="2" borderId="66" xfId="0" applyFont="1" applyFill="1" applyBorder="1" applyAlignment="1" applyProtection="1">
      <alignment horizontal="center"/>
      <protection locked="0"/>
    </xf>
    <xf numFmtId="0" fontId="154" fillId="2" borderId="65" xfId="0" applyFont="1" applyFill="1" applyBorder="1" applyAlignment="1" applyProtection="1">
      <alignment horizontal="center"/>
      <protection locked="0"/>
    </xf>
    <xf numFmtId="0" fontId="0" fillId="0" borderId="22" xfId="0" applyBorder="1" applyAlignment="1" applyProtection="1">
      <alignment horizontal="left"/>
      <protection locked="0"/>
    </xf>
    <xf numFmtId="0" fontId="0" fillId="0" borderId="9" xfId="0" applyBorder="1" applyAlignment="1" applyProtection="1">
      <alignment horizontal="left"/>
      <protection locked="0"/>
    </xf>
    <xf numFmtId="0" fontId="54" fillId="2" borderId="40" xfId="0" applyFont="1" applyFill="1" applyBorder="1" applyProtection="1">
      <protection locked="0"/>
    </xf>
    <xf numFmtId="0" fontId="54" fillId="2" borderId="41" xfId="0" applyFont="1" applyFill="1" applyBorder="1" applyProtection="1">
      <protection locked="0"/>
    </xf>
    <xf numFmtId="0" fontId="54" fillId="2" borderId="42" xfId="0" applyFont="1" applyFill="1" applyBorder="1" applyProtection="1">
      <protection locked="0"/>
    </xf>
    <xf numFmtId="0" fontId="9" fillId="2" borderId="6" xfId="0" applyFont="1" applyFill="1" applyBorder="1" applyAlignment="1" applyProtection="1">
      <alignment horizontal="center"/>
      <protection locked="0"/>
    </xf>
    <xf numFmtId="0" fontId="9" fillId="2" borderId="22" xfId="0" applyFont="1" applyFill="1" applyBorder="1" applyAlignment="1" applyProtection="1">
      <alignment horizontal="center"/>
      <protection locked="0"/>
    </xf>
    <xf numFmtId="0" fontId="9" fillId="2" borderId="9" xfId="0" applyFont="1" applyFill="1" applyBorder="1" applyAlignment="1" applyProtection="1">
      <alignment horizontal="center"/>
      <protection locked="0"/>
    </xf>
    <xf numFmtId="0" fontId="8" fillId="2" borderId="0" xfId="0" applyFont="1" applyFill="1" applyAlignment="1">
      <alignment horizontal="right"/>
    </xf>
    <xf numFmtId="0" fontId="8" fillId="2" borderId="0" xfId="0" applyFont="1" applyFill="1" applyAlignment="1">
      <alignment horizontal="center" vertical="center"/>
    </xf>
    <xf numFmtId="0" fontId="0" fillId="0" borderId="9" xfId="0" applyBorder="1" applyAlignment="1">
      <alignment horizontal="left"/>
    </xf>
    <xf numFmtId="0" fontId="33" fillId="2" borderId="6" xfId="0" quotePrefix="1" applyFont="1" applyFill="1" applyBorder="1" applyAlignment="1">
      <alignment horizontal="left" vertical="top" wrapText="1"/>
    </xf>
    <xf numFmtId="0" fontId="33" fillId="2" borderId="22" xfId="0" quotePrefix="1" applyFont="1" applyFill="1" applyBorder="1" applyAlignment="1">
      <alignment horizontal="left" vertical="top" wrapText="1"/>
    </xf>
    <xf numFmtId="0" fontId="33" fillId="2" borderId="9" xfId="0" quotePrefix="1" applyFont="1" applyFill="1" applyBorder="1" applyAlignment="1">
      <alignment horizontal="left" vertical="top" wrapText="1"/>
    </xf>
    <xf numFmtId="166" fontId="9" fillId="2" borderId="40" xfId="0" applyNumberFormat="1" applyFont="1" applyFill="1" applyBorder="1" applyAlignment="1" applyProtection="1">
      <alignment horizontal="center"/>
      <protection locked="0"/>
    </xf>
    <xf numFmtId="166" fontId="9" fillId="2" borderId="42" xfId="0" applyNumberFormat="1" applyFont="1" applyFill="1" applyBorder="1" applyAlignment="1" applyProtection="1">
      <alignment horizontal="center"/>
      <protection locked="0"/>
    </xf>
    <xf numFmtId="0" fontId="9" fillId="2" borderId="6" xfId="0" applyFont="1" applyFill="1" applyBorder="1" applyAlignment="1" applyProtection="1">
      <alignment horizontal="left"/>
      <protection locked="0"/>
    </xf>
    <xf numFmtId="0" fontId="0" fillId="0" borderId="22" xfId="0" applyBorder="1" applyProtection="1">
      <protection locked="0"/>
    </xf>
    <xf numFmtId="0" fontId="0" fillId="0" borderId="9" xfId="0" applyBorder="1" applyProtection="1">
      <protection locked="0"/>
    </xf>
    <xf numFmtId="0" fontId="9" fillId="2" borderId="40" xfId="0" applyFont="1" applyFill="1" applyBorder="1" applyAlignment="1" applyProtection="1">
      <alignment horizontal="center"/>
      <protection locked="0"/>
    </xf>
    <xf numFmtId="0" fontId="9" fillId="2" borderId="42" xfId="0" applyFont="1" applyFill="1" applyBorder="1" applyAlignment="1" applyProtection="1">
      <alignment horizontal="center"/>
      <protection locked="0"/>
    </xf>
    <xf numFmtId="0" fontId="9" fillId="2" borderId="41" xfId="0" applyFont="1" applyFill="1" applyBorder="1" applyAlignment="1" applyProtection="1">
      <alignment horizontal="center"/>
      <protection locked="0"/>
    </xf>
    <xf numFmtId="0" fontId="54" fillId="0" borderId="40" xfId="0" applyFont="1" applyBorder="1" applyProtection="1">
      <protection locked="0"/>
    </xf>
    <xf numFmtId="0" fontId="54" fillId="0" borderId="41" xfId="0" applyFont="1" applyBorder="1" applyProtection="1">
      <protection locked="0"/>
    </xf>
    <xf numFmtId="0" fontId="54" fillId="0" borderId="42" xfId="0" applyFont="1" applyBorder="1" applyProtection="1">
      <protection locked="0"/>
    </xf>
    <xf numFmtId="0" fontId="16" fillId="2" borderId="6" xfId="3" applyFill="1" applyBorder="1" applyAlignment="1" applyProtection="1">
      <alignment horizontal="center"/>
      <protection locked="0"/>
    </xf>
    <xf numFmtId="0" fontId="16" fillId="2" borderId="22" xfId="3" applyFill="1" applyBorder="1" applyAlignment="1" applyProtection="1">
      <alignment horizontal="center"/>
      <protection locked="0"/>
    </xf>
    <xf numFmtId="0" fontId="16" fillId="2" borderId="9" xfId="3" applyFill="1" applyBorder="1" applyAlignment="1" applyProtection="1">
      <alignment horizontal="center"/>
      <protection locked="0"/>
    </xf>
    <xf numFmtId="0" fontId="14" fillId="2" borderId="96" xfId="0" applyFont="1" applyFill="1" applyBorder="1" applyProtection="1">
      <protection locked="0"/>
    </xf>
    <xf numFmtId="0" fontId="14" fillId="2" borderId="97" xfId="0" applyFont="1" applyFill="1" applyBorder="1" applyProtection="1">
      <protection locked="0"/>
    </xf>
    <xf numFmtId="0" fontId="14" fillId="2" borderId="98" xfId="0" applyFont="1" applyFill="1" applyBorder="1" applyProtection="1">
      <protection locked="0"/>
    </xf>
    <xf numFmtId="0" fontId="14" fillId="2" borderId="22" xfId="0" applyFont="1" applyFill="1" applyBorder="1" applyAlignment="1">
      <alignment horizontal="left"/>
    </xf>
    <xf numFmtId="0" fontId="14" fillId="2" borderId="9" xfId="0" applyFont="1" applyFill="1" applyBorder="1" applyAlignment="1">
      <alignment horizontal="left"/>
    </xf>
    <xf numFmtId="0" fontId="28" fillId="2" borderId="25" xfId="0" applyFont="1" applyFill="1" applyBorder="1" applyAlignment="1">
      <alignment horizontal="right"/>
    </xf>
    <xf numFmtId="0" fontId="14" fillId="2" borderId="6" xfId="0" applyFont="1" applyFill="1" applyBorder="1" applyAlignment="1" applyProtection="1">
      <alignment horizontal="left" vertical="top" wrapText="1"/>
      <protection locked="0"/>
    </xf>
    <xf numFmtId="0" fontId="14" fillId="2" borderId="22" xfId="0" applyFont="1" applyFill="1" applyBorder="1" applyAlignment="1" applyProtection="1">
      <alignment horizontal="left" vertical="top" wrapText="1"/>
      <protection locked="0"/>
    </xf>
    <xf numFmtId="0" fontId="14" fillId="2" borderId="9" xfId="0" applyFont="1" applyFill="1" applyBorder="1" applyAlignment="1" applyProtection="1">
      <alignment horizontal="left" vertical="top" wrapText="1"/>
      <protection locked="0"/>
    </xf>
    <xf numFmtId="0" fontId="5" fillId="2" borderId="67" xfId="0" applyFont="1" applyFill="1" applyBorder="1" applyAlignment="1">
      <alignment horizontal="center"/>
    </xf>
    <xf numFmtId="0" fontId="5" fillId="2" borderId="0" xfId="0" applyFont="1" applyFill="1" applyAlignment="1">
      <alignment horizontal="center"/>
    </xf>
    <xf numFmtId="0" fontId="5" fillId="0" borderId="67" xfId="0" applyFont="1" applyBorder="1" applyAlignment="1">
      <alignment horizontal="center"/>
    </xf>
    <xf numFmtId="0" fontId="5" fillId="0" borderId="0" xfId="0" applyFont="1" applyAlignment="1">
      <alignment horizontal="center"/>
    </xf>
    <xf numFmtId="0" fontId="14" fillId="2" borderId="122" xfId="0" applyFont="1" applyFill="1" applyBorder="1" applyAlignment="1">
      <alignment horizontal="left"/>
    </xf>
    <xf numFmtId="0" fontId="14" fillId="2" borderId="123" xfId="0" applyFont="1" applyFill="1" applyBorder="1" applyAlignment="1">
      <alignment horizontal="left"/>
    </xf>
    <xf numFmtId="0" fontId="14" fillId="2" borderId="124" xfId="0" applyFont="1" applyFill="1" applyBorder="1" applyAlignment="1">
      <alignment horizontal="left"/>
    </xf>
    <xf numFmtId="0" fontId="9" fillId="2" borderId="96" xfId="0" applyFont="1" applyFill="1" applyBorder="1" applyAlignment="1" applyProtection="1">
      <alignment horizontal="center"/>
      <protection locked="0"/>
    </xf>
    <xf numFmtId="0" fontId="9" fillId="2" borderId="97" xfId="0" applyFont="1" applyFill="1" applyBorder="1" applyAlignment="1" applyProtection="1">
      <alignment horizontal="center"/>
      <protection locked="0"/>
    </xf>
    <xf numFmtId="0" fontId="9" fillId="2" borderId="98" xfId="0" applyFont="1" applyFill="1" applyBorder="1" applyAlignment="1" applyProtection="1">
      <alignment horizontal="center"/>
      <protection locked="0"/>
    </xf>
    <xf numFmtId="0" fontId="5" fillId="2" borderId="0" xfId="0" applyFont="1" applyFill="1" applyAlignment="1">
      <alignment horizontal="right"/>
    </xf>
    <xf numFmtId="0" fontId="0" fillId="2" borderId="0" xfId="0" applyFill="1" applyAlignment="1">
      <alignment horizontal="right"/>
    </xf>
    <xf numFmtId="0" fontId="16" fillId="2" borderId="96" xfId="3" applyFill="1" applyBorder="1" applyAlignment="1" applyProtection="1">
      <alignment horizontal="center" wrapText="1"/>
      <protection locked="0"/>
    </xf>
    <xf numFmtId="0" fontId="16" fillId="2" borderId="97" xfId="3" applyFill="1" applyBorder="1" applyAlignment="1" applyProtection="1">
      <alignment horizontal="center"/>
      <protection locked="0"/>
    </xf>
    <xf numFmtId="0" fontId="16" fillId="2" borderId="98" xfId="3" applyFill="1" applyBorder="1" applyAlignment="1" applyProtection="1">
      <alignment horizontal="center"/>
      <protection locked="0"/>
    </xf>
    <xf numFmtId="0" fontId="5" fillId="2" borderId="73" xfId="0" applyFont="1" applyFill="1" applyBorder="1" applyAlignment="1">
      <alignment horizontal="right"/>
    </xf>
    <xf numFmtId="0" fontId="5" fillId="2" borderId="39" xfId="0" applyFont="1" applyFill="1" applyBorder="1" applyAlignment="1">
      <alignment horizontal="right"/>
    </xf>
    <xf numFmtId="0" fontId="16" fillId="2" borderId="96" xfId="3" applyFill="1" applyBorder="1" applyAlignment="1" applyProtection="1">
      <alignment horizontal="center"/>
      <protection locked="0"/>
    </xf>
    <xf numFmtId="0" fontId="18" fillId="2" borderId="6" xfId="0" applyFont="1" applyFill="1" applyBorder="1" applyAlignment="1" applyProtection="1">
      <alignment horizontal="left"/>
      <protection hidden="1"/>
    </xf>
    <xf numFmtId="0" fontId="18" fillId="2" borderId="22" xfId="0" applyFont="1" applyFill="1" applyBorder="1" applyAlignment="1" applyProtection="1">
      <alignment horizontal="left"/>
      <protection hidden="1"/>
    </xf>
    <xf numFmtId="0" fontId="18" fillId="2" borderId="9" xfId="0" applyFont="1" applyFill="1" applyBorder="1" applyAlignment="1" applyProtection="1">
      <alignment horizontal="left"/>
      <protection hidden="1"/>
    </xf>
    <xf numFmtId="0" fontId="18" fillId="2" borderId="6" xfId="0" applyFont="1" applyFill="1" applyBorder="1" applyAlignment="1" applyProtection="1">
      <alignment horizontal="center"/>
      <protection hidden="1"/>
    </xf>
    <xf numFmtId="0" fontId="18" fillId="2" borderId="22" xfId="0" applyFont="1" applyFill="1" applyBorder="1" applyAlignment="1" applyProtection="1">
      <alignment horizontal="center"/>
      <protection hidden="1"/>
    </xf>
    <xf numFmtId="0" fontId="18" fillId="2" borderId="9" xfId="0" applyFont="1" applyFill="1" applyBorder="1" applyAlignment="1" applyProtection="1">
      <alignment horizontal="center"/>
      <protection hidden="1"/>
    </xf>
    <xf numFmtId="0" fontId="14" fillId="2" borderId="96" xfId="0" applyFont="1" applyFill="1" applyBorder="1" applyAlignment="1" applyProtection="1">
      <alignment horizontal="left" wrapText="1"/>
      <protection locked="0"/>
    </xf>
    <xf numFmtId="0" fontId="14" fillId="2" borderId="97" xfId="0" applyFont="1" applyFill="1" applyBorder="1" applyAlignment="1" applyProtection="1">
      <alignment horizontal="left" wrapText="1"/>
      <protection locked="0"/>
    </xf>
    <xf numFmtId="0" fontId="50" fillId="2" borderId="0" xfId="0" applyFont="1" applyFill="1" applyAlignment="1">
      <alignment horizontal="right"/>
    </xf>
    <xf numFmtId="0" fontId="18" fillId="2" borderId="96" xfId="0" applyFont="1" applyFill="1" applyBorder="1" applyAlignment="1" applyProtection="1">
      <alignment horizontal="left"/>
      <protection hidden="1"/>
    </xf>
    <xf numFmtId="0" fontId="18" fillId="2" borderId="97" xfId="0" applyFont="1" applyFill="1" applyBorder="1" applyAlignment="1" applyProtection="1">
      <alignment horizontal="left"/>
      <protection hidden="1"/>
    </xf>
    <xf numFmtId="0" fontId="18" fillId="2" borderId="98" xfId="0" applyFont="1" applyFill="1" applyBorder="1" applyAlignment="1" applyProtection="1">
      <alignment horizontal="left"/>
      <protection hidden="1"/>
    </xf>
    <xf numFmtId="0" fontId="18" fillId="2" borderId="96" xfId="0" applyFont="1" applyFill="1" applyBorder="1" applyAlignment="1" applyProtection="1">
      <alignment horizontal="center"/>
      <protection hidden="1"/>
    </xf>
    <xf numFmtId="0" fontId="18" fillId="2" borderId="97" xfId="0" applyFont="1" applyFill="1" applyBorder="1" applyAlignment="1" applyProtection="1">
      <alignment horizontal="center"/>
      <protection hidden="1"/>
    </xf>
    <xf numFmtId="0" fontId="18" fillId="2" borderId="98" xfId="0" applyFont="1" applyFill="1" applyBorder="1" applyAlignment="1" applyProtection="1">
      <alignment horizontal="center"/>
      <protection hidden="1"/>
    </xf>
    <xf numFmtId="0" fontId="14" fillId="2" borderId="122" xfId="0" applyFont="1" applyFill="1" applyBorder="1" applyAlignment="1" applyProtection="1">
      <alignment horizontal="left"/>
      <protection locked="0"/>
    </xf>
    <xf numFmtId="0" fontId="14" fillId="2" borderId="123" xfId="0" applyFont="1" applyFill="1" applyBorder="1" applyAlignment="1" applyProtection="1">
      <alignment horizontal="left"/>
      <protection locked="0"/>
    </xf>
    <xf numFmtId="0" fontId="14" fillId="2" borderId="122" xfId="0" applyFont="1" applyFill="1" applyBorder="1" applyProtection="1">
      <protection locked="0"/>
    </xf>
    <xf numFmtId="0" fontId="14" fillId="2" borderId="123" xfId="0" applyFont="1" applyFill="1" applyBorder="1" applyProtection="1">
      <protection locked="0"/>
    </xf>
    <xf numFmtId="0" fontId="14" fillId="2" borderId="124" xfId="0" applyFont="1" applyFill="1" applyBorder="1" applyProtection="1">
      <protection locked="0"/>
    </xf>
    <xf numFmtId="0" fontId="14" fillId="2" borderId="9" xfId="0" applyFont="1" applyFill="1" applyBorder="1" applyAlignment="1" applyProtection="1">
      <alignment horizontal="left" wrapText="1"/>
      <protection locked="0"/>
    </xf>
    <xf numFmtId="0" fontId="45" fillId="2" borderId="6" xfId="0" applyFont="1" applyFill="1" applyBorder="1" applyAlignment="1" applyProtection="1">
      <alignment horizontal="left" wrapText="1"/>
      <protection locked="0"/>
    </xf>
    <xf numFmtId="0" fontId="45" fillId="2" borderId="22" xfId="0" applyFont="1" applyFill="1" applyBorder="1" applyAlignment="1" applyProtection="1">
      <alignment horizontal="left" wrapText="1"/>
      <protection locked="0"/>
    </xf>
    <xf numFmtId="0" fontId="45" fillId="2" borderId="9" xfId="0" applyFont="1" applyFill="1" applyBorder="1" applyAlignment="1" applyProtection="1">
      <alignment horizontal="left" wrapText="1"/>
      <protection locked="0"/>
    </xf>
    <xf numFmtId="0" fontId="14" fillId="2" borderId="22" xfId="0" applyFont="1" applyFill="1" applyBorder="1" applyAlignment="1" applyProtection="1">
      <alignment horizontal="center"/>
      <protection locked="0"/>
    </xf>
    <xf numFmtId="0" fontId="44" fillId="0" borderId="6" xfId="0" applyFont="1" applyBorder="1" applyAlignment="1" applyProtection="1">
      <alignment horizontal="center" wrapText="1"/>
      <protection hidden="1"/>
    </xf>
    <xf numFmtId="0" fontId="44" fillId="0" borderId="9" xfId="0" applyFont="1" applyBorder="1" applyAlignment="1" applyProtection="1">
      <alignment horizontal="center" wrapText="1"/>
      <protection hidden="1"/>
    </xf>
    <xf numFmtId="0" fontId="14" fillId="2" borderId="6" xfId="0" applyFont="1" applyFill="1" applyBorder="1" applyAlignment="1" applyProtection="1">
      <alignment horizontal="center"/>
      <protection hidden="1"/>
    </xf>
    <xf numFmtId="0" fontId="14" fillId="2" borderId="22" xfId="0" applyFont="1" applyFill="1" applyBorder="1" applyAlignment="1" applyProtection="1">
      <alignment horizontal="center"/>
      <protection hidden="1"/>
    </xf>
    <xf numFmtId="0" fontId="14" fillId="2" borderId="9" xfId="0" applyFont="1" applyFill="1" applyBorder="1" applyAlignment="1" applyProtection="1">
      <alignment horizontal="center"/>
      <protection hidden="1"/>
    </xf>
    <xf numFmtId="0" fontId="14" fillId="2" borderId="96" xfId="0" applyFont="1" applyFill="1" applyBorder="1" applyAlignment="1" applyProtection="1">
      <alignment horizontal="center"/>
      <protection locked="0"/>
    </xf>
    <xf numFmtId="0" fontId="14" fillId="2" borderId="98" xfId="0" applyFont="1" applyFill="1" applyBorder="1" applyAlignment="1" applyProtection="1">
      <alignment horizontal="center"/>
      <protection locked="0"/>
    </xf>
    <xf numFmtId="0" fontId="14" fillId="2" borderId="98" xfId="0" applyFont="1" applyFill="1" applyBorder="1" applyAlignment="1" applyProtection="1">
      <alignment horizontal="left" wrapText="1"/>
      <protection locked="0"/>
    </xf>
    <xf numFmtId="0" fontId="44" fillId="2" borderId="6" xfId="0" applyFont="1" applyFill="1" applyBorder="1" applyAlignment="1" applyProtection="1">
      <alignment horizontal="center" wrapText="1"/>
      <protection locked="0"/>
    </xf>
    <xf numFmtId="0" fontId="44" fillId="2" borderId="9" xfId="0" applyFont="1" applyFill="1" applyBorder="1" applyAlignment="1" applyProtection="1">
      <alignment horizontal="center" wrapText="1"/>
      <protection locked="0"/>
    </xf>
    <xf numFmtId="0" fontId="45" fillId="2" borderId="22" xfId="0" applyFont="1" applyFill="1" applyBorder="1" applyAlignment="1" applyProtection="1">
      <alignment horizontal="center" wrapText="1"/>
      <protection hidden="1"/>
    </xf>
    <xf numFmtId="0" fontId="45" fillId="2" borderId="9" xfId="0" applyFont="1" applyFill="1" applyBorder="1" applyAlignment="1" applyProtection="1">
      <alignment horizontal="center" wrapText="1"/>
      <protection hidden="1"/>
    </xf>
    <xf numFmtId="0" fontId="45" fillId="0" borderId="22" xfId="0" applyFont="1" applyBorder="1" applyAlignment="1" applyProtection="1">
      <alignment horizontal="center" wrapText="1"/>
      <protection hidden="1"/>
    </xf>
    <xf numFmtId="0" fontId="45" fillId="0" borderId="9" xfId="0" applyFont="1" applyBorder="1" applyAlignment="1" applyProtection="1">
      <alignment horizontal="center" wrapText="1"/>
      <protection hidden="1"/>
    </xf>
    <xf numFmtId="0" fontId="45" fillId="0" borderId="6" xfId="0" applyFont="1" applyBorder="1" applyAlignment="1" applyProtection="1">
      <alignment horizontal="center" wrapText="1"/>
      <protection hidden="1"/>
    </xf>
    <xf numFmtId="0" fontId="44" fillId="2" borderId="22" xfId="0" applyFont="1" applyFill="1" applyBorder="1" applyAlignment="1" applyProtection="1">
      <alignment horizontal="center" wrapText="1"/>
      <protection hidden="1"/>
    </xf>
    <xf numFmtId="0" fontId="44" fillId="2" borderId="9" xfId="0" applyFont="1" applyFill="1" applyBorder="1" applyAlignment="1" applyProtection="1">
      <alignment horizontal="center" wrapText="1"/>
      <protection hidden="1"/>
    </xf>
    <xf numFmtId="0" fontId="44" fillId="2" borderId="6" xfId="0" applyFont="1" applyFill="1" applyBorder="1" applyAlignment="1" applyProtection="1">
      <alignment horizontal="left" wrapText="1"/>
      <protection locked="0"/>
    </xf>
    <xf numFmtId="0" fontId="44" fillId="2" borderId="22" xfId="0" applyFont="1" applyFill="1" applyBorder="1" applyAlignment="1" applyProtection="1">
      <alignment horizontal="left" wrapText="1"/>
      <protection locked="0"/>
    </xf>
    <xf numFmtId="0" fontId="44" fillId="2" borderId="9" xfId="0" applyFont="1" applyFill="1" applyBorder="1" applyAlignment="1" applyProtection="1">
      <alignment horizontal="left" wrapText="1"/>
      <protection locked="0"/>
    </xf>
    <xf numFmtId="0" fontId="45" fillId="2" borderId="96" xfId="0" applyFont="1" applyFill="1" applyBorder="1" applyAlignment="1" applyProtection="1">
      <alignment horizontal="center" wrapText="1"/>
      <protection hidden="1"/>
    </xf>
    <xf numFmtId="0" fontId="45" fillId="2" borderId="97" xfId="0" applyFont="1" applyFill="1" applyBorder="1" applyAlignment="1" applyProtection="1">
      <alignment horizontal="center" wrapText="1"/>
      <protection hidden="1"/>
    </xf>
    <xf numFmtId="0" fontId="45" fillId="2" borderId="98" xfId="0" applyFont="1" applyFill="1" applyBorder="1" applyAlignment="1" applyProtection="1">
      <alignment horizontal="center" wrapText="1"/>
      <protection hidden="1"/>
    </xf>
    <xf numFmtId="0" fontId="45" fillId="0" borderId="96" xfId="0" applyFont="1" applyBorder="1" applyAlignment="1" applyProtection="1">
      <alignment horizontal="center" wrapText="1"/>
      <protection hidden="1"/>
    </xf>
    <xf numFmtId="0" fontId="45" fillId="0" borderId="98" xfId="0" applyFont="1" applyBorder="1" applyAlignment="1" applyProtection="1">
      <alignment horizontal="center" wrapText="1"/>
      <protection hidden="1"/>
    </xf>
    <xf numFmtId="0" fontId="44" fillId="0" borderId="22" xfId="0" applyFont="1" applyBorder="1" applyAlignment="1" applyProtection="1">
      <alignment horizontal="center" wrapText="1"/>
      <protection hidden="1"/>
    </xf>
    <xf numFmtId="0" fontId="37" fillId="2" borderId="6" xfId="0" applyFont="1" applyFill="1" applyBorder="1" applyAlignment="1">
      <alignment horizontal="left"/>
    </xf>
    <xf numFmtId="0" fontId="37" fillId="2" borderId="22" xfId="0" applyFont="1" applyFill="1" applyBorder="1" applyAlignment="1">
      <alignment horizontal="left"/>
    </xf>
    <xf numFmtId="0" fontId="37" fillId="2" borderId="9" xfId="0" applyFont="1" applyFill="1" applyBorder="1" applyAlignment="1">
      <alignment horizontal="left"/>
    </xf>
    <xf numFmtId="0" fontId="14" fillId="2" borderId="6" xfId="0" applyFont="1" applyFill="1" applyBorder="1" applyAlignment="1">
      <alignment horizontal="left" wrapText="1"/>
    </xf>
    <xf numFmtId="0" fontId="14" fillId="2" borderId="22" xfId="0" applyFont="1" applyFill="1" applyBorder="1" applyAlignment="1">
      <alignment horizontal="left" wrapText="1"/>
    </xf>
    <xf numFmtId="0" fontId="14" fillId="2" borderId="9" xfId="0" applyFont="1" applyFill="1" applyBorder="1" applyAlignment="1">
      <alignment horizontal="left" wrapText="1"/>
    </xf>
    <xf numFmtId="0" fontId="14" fillId="0" borderId="96" xfId="0" applyFont="1" applyBorder="1" applyAlignment="1" applyProtection="1">
      <alignment horizontal="center"/>
      <protection locked="0"/>
    </xf>
    <xf numFmtId="0" fontId="14" fillId="0" borderId="97" xfId="0" applyFont="1" applyBorder="1" applyAlignment="1" applyProtection="1">
      <alignment horizontal="center"/>
      <protection locked="0"/>
    </xf>
    <xf numFmtId="0" fontId="14" fillId="0" borderId="98" xfId="0" applyFont="1" applyBorder="1" applyAlignment="1" applyProtection="1">
      <alignment horizontal="center"/>
      <protection locked="0"/>
    </xf>
    <xf numFmtId="0" fontId="14" fillId="2" borderId="124" xfId="0" applyFont="1" applyFill="1" applyBorder="1" applyAlignment="1" applyProtection="1">
      <alignment horizontal="left"/>
      <protection locked="0"/>
    </xf>
    <xf numFmtId="0" fontId="1" fillId="0" borderId="34" xfId="785" applyBorder="1" applyAlignment="1">
      <alignment wrapText="1"/>
    </xf>
    <xf numFmtId="0" fontId="1" fillId="0" borderId="93" xfId="785" applyBorder="1" applyAlignment="1">
      <alignment wrapText="1"/>
    </xf>
    <xf numFmtId="0" fontId="1" fillId="0" borderId="71" xfId="785" applyBorder="1" applyAlignment="1">
      <alignment wrapText="1"/>
    </xf>
    <xf numFmtId="0" fontId="161" fillId="43" borderId="13" xfId="785" applyFont="1" applyFill="1" applyBorder="1" applyAlignment="1">
      <alignment horizontal="center"/>
    </xf>
    <xf numFmtId="0" fontId="105" fillId="0" borderId="93" xfId="785" applyFont="1" applyBorder="1"/>
    <xf numFmtId="0" fontId="105" fillId="2" borderId="93" xfId="785" applyFont="1" applyFill="1" applyBorder="1"/>
    <xf numFmtId="0" fontId="152" fillId="14" borderId="26" xfId="6" applyFont="1" applyFill="1" applyBorder="1" applyAlignment="1">
      <alignment horizontal="center" vertical="center" wrapText="1"/>
    </xf>
    <xf numFmtId="0" fontId="152" fillId="14" borderId="38" xfId="6" applyFont="1" applyFill="1" applyBorder="1" applyAlignment="1">
      <alignment horizontal="center" vertical="center" wrapText="1"/>
    </xf>
    <xf numFmtId="0" fontId="68" fillId="9" borderId="50" xfId="6" applyFont="1" applyFill="1" applyBorder="1" applyAlignment="1" applyProtection="1">
      <alignment horizontal="center" vertical="center" wrapText="1"/>
      <protection locked="0"/>
    </xf>
    <xf numFmtId="0" fontId="68" fillId="9" borderId="44" xfId="6" applyFont="1" applyFill="1" applyBorder="1" applyAlignment="1" applyProtection="1">
      <alignment horizontal="center" vertical="center" wrapText="1"/>
      <protection locked="0"/>
    </xf>
    <xf numFmtId="0" fontId="68" fillId="9" borderId="50" xfId="6" applyFont="1" applyFill="1" applyBorder="1" applyAlignment="1" applyProtection="1">
      <alignment horizontal="center" vertical="center"/>
      <protection locked="0"/>
    </xf>
    <xf numFmtId="0" fontId="68" fillId="9" borderId="44" xfId="6" applyFont="1" applyFill="1" applyBorder="1" applyAlignment="1" applyProtection="1">
      <alignment horizontal="center" vertical="center"/>
      <protection locked="0"/>
    </xf>
    <xf numFmtId="0" fontId="68" fillId="13" borderId="50" xfId="5" applyFont="1" applyFill="1" applyBorder="1" applyAlignment="1">
      <alignment horizontal="center" vertical="center" textRotation="90" wrapText="1"/>
    </xf>
    <xf numFmtId="0" fontId="68" fillId="13" borderId="51" xfId="5" applyFont="1" applyFill="1" applyBorder="1" applyAlignment="1">
      <alignment horizontal="center" vertical="center" textRotation="90" wrapText="1"/>
    </xf>
    <xf numFmtId="0" fontId="68" fillId="13" borderId="44" xfId="5" applyFont="1" applyFill="1" applyBorder="1" applyAlignment="1">
      <alignment horizontal="center" vertical="center" textRotation="90" wrapText="1"/>
    </xf>
    <xf numFmtId="0" fontId="70" fillId="13" borderId="68" xfId="5" applyFont="1" applyFill="1" applyBorder="1" applyAlignment="1">
      <alignment horizontal="left" vertical="center" wrapText="1"/>
    </xf>
    <xf numFmtId="0" fontId="70" fillId="13" borderId="25" xfId="5" applyFont="1" applyFill="1" applyBorder="1" applyAlignment="1">
      <alignment horizontal="left" vertical="center" wrapText="1"/>
    </xf>
    <xf numFmtId="0" fontId="70" fillId="13" borderId="69" xfId="5" applyFont="1" applyFill="1" applyBorder="1" applyAlignment="1">
      <alignment horizontal="left" vertical="center" wrapText="1"/>
    </xf>
    <xf numFmtId="0" fontId="68" fillId="40" borderId="18" xfId="5" applyFont="1" applyFill="1" applyBorder="1" applyAlignment="1">
      <alignment horizontal="center" vertical="center" textRotation="90" wrapText="1"/>
    </xf>
    <xf numFmtId="0" fontId="8" fillId="40" borderId="15" xfId="5" applyFont="1" applyFill="1" applyBorder="1" applyAlignment="1">
      <alignment horizontal="left"/>
    </xf>
    <xf numFmtId="0" fontId="8" fillId="40" borderId="3" xfId="5" applyFont="1" applyFill="1" applyBorder="1" applyAlignment="1">
      <alignment horizontal="left"/>
    </xf>
    <xf numFmtId="0" fontId="8" fillId="40" borderId="4" xfId="5" applyFont="1" applyFill="1" applyBorder="1" applyAlignment="1">
      <alignment horizontal="left"/>
    </xf>
    <xf numFmtId="0" fontId="70" fillId="10" borderId="68" xfId="5" applyFont="1" applyFill="1" applyBorder="1" applyAlignment="1">
      <alignment horizontal="left" vertical="center" wrapText="1"/>
    </xf>
    <xf numFmtId="0" fontId="70" fillId="10" borderId="25" xfId="5" applyFont="1" applyFill="1" applyBorder="1" applyAlignment="1">
      <alignment horizontal="left" vertical="center" wrapText="1"/>
    </xf>
    <xf numFmtId="0" fontId="70" fillId="10" borderId="69" xfId="5" applyFont="1" applyFill="1" applyBorder="1" applyAlignment="1">
      <alignment horizontal="left" vertical="center" wrapText="1"/>
    </xf>
    <xf numFmtId="0" fontId="70" fillId="40" borderId="68" xfId="5" applyFont="1" applyFill="1" applyBorder="1" applyAlignment="1">
      <alignment horizontal="left" vertical="center" wrapText="1"/>
    </xf>
    <xf numFmtId="0" fontId="70" fillId="40" borderId="25" xfId="5" applyFont="1" applyFill="1" applyBorder="1" applyAlignment="1">
      <alignment horizontal="left" vertical="center" wrapText="1"/>
    </xf>
    <xf numFmtId="0" fontId="70" fillId="40" borderId="69" xfId="5" applyFont="1" applyFill="1" applyBorder="1" applyAlignment="1">
      <alignment horizontal="left" vertical="center" wrapText="1"/>
    </xf>
    <xf numFmtId="0" fontId="70" fillId="13" borderId="68" xfId="5" applyFont="1" applyFill="1" applyBorder="1"/>
    <xf numFmtId="0" fontId="70" fillId="13" borderId="25" xfId="5" applyFont="1" applyFill="1" applyBorder="1"/>
    <xf numFmtId="0" fontId="70" fillId="13" borderId="69" xfId="5" applyFont="1" applyFill="1" applyBorder="1"/>
    <xf numFmtId="0" fontId="8" fillId="40" borderId="68" xfId="5" applyFont="1" applyFill="1" applyBorder="1"/>
    <xf numFmtId="0" fontId="8" fillId="40" borderId="25" xfId="5" applyFont="1" applyFill="1" applyBorder="1"/>
    <xf numFmtId="0" fontId="8" fillId="40" borderId="69" xfId="5" applyFont="1" applyFill="1" applyBorder="1"/>
    <xf numFmtId="0" fontId="68" fillId="40" borderId="50" xfId="5" applyFont="1" applyFill="1" applyBorder="1" applyAlignment="1">
      <alignment horizontal="center" vertical="center" textRotation="90" wrapText="1"/>
    </xf>
    <xf numFmtId="0" fontId="68" fillId="40" borderId="51" xfId="5" applyFont="1" applyFill="1" applyBorder="1" applyAlignment="1">
      <alignment horizontal="center" vertical="center" textRotation="90" wrapText="1"/>
    </xf>
    <xf numFmtId="0" fontId="68" fillId="40" borderId="44" xfId="5" applyFont="1" applyFill="1" applyBorder="1" applyAlignment="1">
      <alignment horizontal="center" vertical="center" textRotation="90" wrapText="1"/>
    </xf>
    <xf numFmtId="0" fontId="70" fillId="11" borderId="15" xfId="6" applyFont="1" applyFill="1" applyBorder="1"/>
    <xf numFmtId="0" fontId="70" fillId="11" borderId="3" xfId="6" applyFont="1" applyFill="1" applyBorder="1"/>
    <xf numFmtId="0" fontId="70" fillId="11" borderId="4" xfId="6" applyFont="1" applyFill="1" applyBorder="1"/>
    <xf numFmtId="0" fontId="70" fillId="11" borderId="68" xfId="5" applyFont="1" applyFill="1" applyBorder="1" applyAlignment="1">
      <alignment horizontal="left" vertical="center" wrapText="1"/>
    </xf>
    <xf numFmtId="0" fontId="70" fillId="11" borderId="25" xfId="5" applyFont="1" applyFill="1" applyBorder="1" applyAlignment="1">
      <alignment horizontal="left" vertical="center" wrapText="1"/>
    </xf>
    <xf numFmtId="0" fontId="70" fillId="11" borderId="69" xfId="5" applyFont="1" applyFill="1" applyBorder="1" applyAlignment="1">
      <alignment horizontal="left" vertical="center" wrapText="1"/>
    </xf>
    <xf numFmtId="0" fontId="68" fillId="10" borderId="50" xfId="5" applyFont="1" applyFill="1" applyBorder="1" applyAlignment="1">
      <alignment horizontal="center" vertical="center" textRotation="90" wrapText="1"/>
    </xf>
    <xf numFmtId="0" fontId="68" fillId="10" borderId="51" xfId="5" applyFont="1" applyFill="1" applyBorder="1" applyAlignment="1">
      <alignment horizontal="center" vertical="center" textRotation="90" wrapText="1"/>
    </xf>
    <xf numFmtId="0" fontId="68" fillId="10" borderId="44" xfId="5" applyFont="1" applyFill="1" applyBorder="1" applyAlignment="1">
      <alignment horizontal="center" vertical="center" textRotation="90" wrapText="1"/>
    </xf>
    <xf numFmtId="0" fontId="69" fillId="11" borderId="18" xfId="5" applyFont="1" applyFill="1" applyBorder="1" applyAlignment="1">
      <alignment horizontal="center" vertical="center" textRotation="90" wrapText="1"/>
    </xf>
    <xf numFmtId="0" fontId="69" fillId="10" borderId="50" xfId="6" applyFont="1" applyFill="1" applyBorder="1" applyAlignment="1" applyProtection="1">
      <alignment horizontal="center" vertical="center" textRotation="90" wrapText="1"/>
      <protection locked="0"/>
    </xf>
    <xf numFmtId="0" fontId="69" fillId="10" borderId="51" xfId="6" applyFont="1" applyFill="1" applyBorder="1" applyAlignment="1" applyProtection="1">
      <alignment horizontal="center" vertical="center" textRotation="90" wrapText="1"/>
      <protection locked="0"/>
    </xf>
    <xf numFmtId="0" fontId="69" fillId="10" borderId="44" xfId="6" applyFont="1" applyFill="1" applyBorder="1" applyAlignment="1" applyProtection="1">
      <alignment horizontal="center" vertical="center" textRotation="90" wrapText="1"/>
      <protection locked="0"/>
    </xf>
    <xf numFmtId="0" fontId="69" fillId="9" borderId="3" xfId="6" applyFont="1" applyFill="1" applyBorder="1" applyAlignment="1">
      <alignment horizontal="center" vertical="center" wrapText="1"/>
    </xf>
    <xf numFmtId="0" fontId="69" fillId="9" borderId="4" xfId="6" applyFont="1" applyFill="1" applyBorder="1" applyAlignment="1">
      <alignment horizontal="center" vertical="center" wrapText="1"/>
    </xf>
    <xf numFmtId="0" fontId="69" fillId="11" borderId="50" xfId="5" applyFont="1" applyFill="1" applyBorder="1" applyAlignment="1">
      <alignment horizontal="center" vertical="center" textRotation="90" wrapText="1"/>
    </xf>
    <xf numFmtId="0" fontId="69" fillId="11" borderId="51" xfId="5" applyFont="1" applyFill="1" applyBorder="1" applyAlignment="1">
      <alignment horizontal="center" vertical="center" textRotation="90" wrapText="1"/>
    </xf>
    <xf numFmtId="0" fontId="69" fillId="11" borderId="44" xfId="5" applyFont="1" applyFill="1" applyBorder="1" applyAlignment="1">
      <alignment horizontal="center" vertical="center" textRotation="90" wrapText="1"/>
    </xf>
    <xf numFmtId="0" fontId="70" fillId="10" borderId="18" xfId="5" applyFont="1" applyFill="1" applyBorder="1"/>
    <xf numFmtId="0" fontId="70" fillId="10" borderId="15" xfId="5" applyFont="1" applyFill="1" applyBorder="1"/>
    <xf numFmtId="0" fontId="68" fillId="10" borderId="18" xfId="5" applyFont="1" applyFill="1" applyBorder="1" applyAlignment="1">
      <alignment horizontal="center" vertical="center" textRotation="90" wrapText="1"/>
    </xf>
    <xf numFmtId="0" fontId="69" fillId="10" borderId="50" xfId="0" applyFont="1" applyFill="1" applyBorder="1" applyAlignment="1">
      <alignment horizontal="center" vertical="center" textRotation="90" wrapText="1"/>
    </xf>
    <xf numFmtId="0" fontId="69" fillId="10" borderId="51" xfId="0" applyFont="1" applyFill="1" applyBorder="1" applyAlignment="1">
      <alignment horizontal="center" vertical="center" textRotation="90" wrapText="1"/>
    </xf>
    <xf numFmtId="0" fontId="69" fillId="10" borderId="44" xfId="0" applyFont="1" applyFill="1" applyBorder="1" applyAlignment="1">
      <alignment horizontal="center" vertical="center" textRotation="90" wrapText="1"/>
    </xf>
    <xf numFmtId="0" fontId="68" fillId="13" borderId="50" xfId="5" applyFont="1" applyFill="1" applyBorder="1" applyAlignment="1">
      <alignment horizontal="center" vertical="center" textRotation="90"/>
    </xf>
    <xf numFmtId="0" fontId="68" fillId="13" borderId="51" xfId="5" applyFont="1" applyFill="1" applyBorder="1" applyAlignment="1">
      <alignment horizontal="center" vertical="center" textRotation="90"/>
    </xf>
    <xf numFmtId="0" fontId="68" fillId="13" borderId="44" xfId="5" applyFont="1" applyFill="1" applyBorder="1" applyAlignment="1">
      <alignment horizontal="center" vertical="center" textRotation="90"/>
    </xf>
    <xf numFmtId="0" fontId="70" fillId="13" borderId="18" xfId="5" applyFont="1" applyFill="1" applyBorder="1"/>
    <xf numFmtId="0" fontId="70" fillId="13" borderId="15" xfId="5" applyFont="1" applyFill="1" applyBorder="1"/>
    <xf numFmtId="0" fontId="68" fillId="9" borderId="50" xfId="5" applyFont="1" applyFill="1" applyBorder="1" applyAlignment="1">
      <alignment horizontal="center" vertical="center" wrapText="1"/>
    </xf>
    <xf numFmtId="0" fontId="68" fillId="9" borderId="44" xfId="5" applyFont="1" applyFill="1" applyBorder="1" applyAlignment="1">
      <alignment horizontal="center" vertical="center" wrapText="1"/>
    </xf>
    <xf numFmtId="0" fontId="68" fillId="9" borderId="50" xfId="5" applyFont="1" applyFill="1" applyBorder="1" applyAlignment="1">
      <alignment horizontal="center" vertical="center"/>
    </xf>
    <xf numFmtId="0" fontId="68" fillId="9" borderId="44" xfId="5" applyFont="1" applyFill="1" applyBorder="1" applyAlignment="1">
      <alignment horizontal="center" vertical="center"/>
    </xf>
    <xf numFmtId="0" fontId="68" fillId="9" borderId="70" xfId="5" applyFont="1" applyFill="1" applyBorder="1" applyAlignment="1">
      <alignment horizontal="center" vertical="center" wrapText="1"/>
    </xf>
    <xf numFmtId="0" fontId="68" fillId="9" borderId="38" xfId="5" applyFont="1" applyFill="1" applyBorder="1" applyAlignment="1">
      <alignment horizontal="center" vertical="center" wrapText="1"/>
    </xf>
    <xf numFmtId="0" fontId="152" fillId="14" borderId="50" xfId="4" applyFont="1" applyFill="1" applyBorder="1" applyAlignment="1">
      <alignment horizontal="center" vertical="center" wrapText="1"/>
    </xf>
    <xf numFmtId="0" fontId="6" fillId="14" borderId="44" xfId="0" applyFont="1" applyFill="1" applyBorder="1" applyAlignment="1">
      <alignment horizontal="center" vertical="center" wrapText="1"/>
    </xf>
    <xf numFmtId="0" fontId="68" fillId="40" borderId="18" xfId="5" applyFont="1" applyFill="1" applyBorder="1" applyAlignment="1">
      <alignment horizontal="center" vertical="center" textRotation="90"/>
    </xf>
    <xf numFmtId="0" fontId="70" fillId="40" borderId="18" xfId="5" applyFont="1" applyFill="1" applyBorder="1"/>
    <xf numFmtId="0" fontId="70" fillId="40" borderId="15" xfId="5" applyFont="1" applyFill="1" applyBorder="1"/>
    <xf numFmtId="0" fontId="33" fillId="0" borderId="24" xfId="0" applyFont="1" applyBorder="1"/>
    <xf numFmtId="0" fontId="119" fillId="13" borderId="35" xfId="552" applyFont="1" applyFill="1" applyBorder="1" applyAlignment="1">
      <alignment horizontal="center" vertical="center" textRotation="90" wrapText="1"/>
    </xf>
    <xf numFmtId="0" fontId="119" fillId="13" borderId="36" xfId="552" applyFont="1" applyFill="1" applyBorder="1" applyAlignment="1">
      <alignment horizontal="center" vertical="center" textRotation="90" wrapText="1"/>
    </xf>
    <xf numFmtId="0" fontId="119" fillId="13" borderId="37" xfId="552" applyFont="1" applyFill="1" applyBorder="1" applyAlignment="1">
      <alignment horizontal="center" vertical="center" textRotation="90" wrapText="1"/>
    </xf>
    <xf numFmtId="0" fontId="119" fillId="10" borderId="116" xfId="0" applyFont="1" applyFill="1" applyBorder="1"/>
    <xf numFmtId="0" fontId="119" fillId="10" borderId="80" xfId="0" applyFont="1" applyFill="1" applyBorder="1"/>
    <xf numFmtId="0" fontId="119" fillId="10" borderId="83" xfId="0" applyFont="1" applyFill="1" applyBorder="1"/>
    <xf numFmtId="0" fontId="119" fillId="10" borderId="35" xfId="552" applyFont="1" applyFill="1" applyBorder="1" applyAlignment="1">
      <alignment horizontal="center" vertical="center" textRotation="90" wrapText="1"/>
    </xf>
    <xf numFmtId="0" fontId="119" fillId="10" borderId="36" xfId="552" applyFont="1" applyFill="1" applyBorder="1" applyAlignment="1">
      <alignment horizontal="center" vertical="center" textRotation="90" wrapText="1"/>
    </xf>
    <xf numFmtId="0" fontId="119" fillId="10" borderId="37" xfId="552" applyFont="1" applyFill="1" applyBorder="1" applyAlignment="1">
      <alignment horizontal="center" vertical="center" textRotation="90" wrapText="1"/>
    </xf>
    <xf numFmtId="0" fontId="119" fillId="13" borderId="116" xfId="0" applyFont="1" applyFill="1" applyBorder="1" applyAlignment="1">
      <alignment vertical="center"/>
    </xf>
    <xf numFmtId="0" fontId="119" fillId="13" borderId="80" xfId="0" applyFont="1" applyFill="1" applyBorder="1" applyAlignment="1">
      <alignment vertical="center"/>
    </xf>
    <xf numFmtId="0" fontId="119" fillId="13" borderId="83" xfId="0" applyFont="1" applyFill="1" applyBorder="1" applyAlignment="1">
      <alignment vertical="center"/>
    </xf>
    <xf numFmtId="0" fontId="119" fillId="11" borderId="116" xfId="0" applyFont="1" applyFill="1" applyBorder="1" applyAlignment="1">
      <alignment vertical="center"/>
    </xf>
    <xf numFmtId="0" fontId="119" fillId="11" borderId="80" xfId="0" applyFont="1" applyFill="1" applyBorder="1" applyAlignment="1">
      <alignment vertical="center"/>
    </xf>
    <xf numFmtId="0" fontId="119" fillId="11" borderId="83" xfId="0" applyFont="1" applyFill="1" applyBorder="1" applyAlignment="1">
      <alignment vertical="center"/>
    </xf>
    <xf numFmtId="0" fontId="119" fillId="41" borderId="116" xfId="0" applyFont="1" applyFill="1" applyBorder="1"/>
    <xf numFmtId="0" fontId="119" fillId="41" borderId="80" xfId="0" applyFont="1" applyFill="1" applyBorder="1"/>
    <xf numFmtId="0" fontId="119" fillId="41" borderId="83" xfId="0" applyFont="1" applyFill="1" applyBorder="1"/>
    <xf numFmtId="0" fontId="119" fillId="40" borderId="116" xfId="0" applyFont="1" applyFill="1" applyBorder="1"/>
    <xf numFmtId="0" fontId="119" fillId="40" borderId="80" xfId="0" applyFont="1" applyFill="1" applyBorder="1"/>
    <xf numFmtId="0" fontId="119" fillId="40" borderId="83" xfId="0" applyFont="1" applyFill="1" applyBorder="1"/>
    <xf numFmtId="0" fontId="119" fillId="6" borderId="35" xfId="552" applyFont="1" applyFill="1" applyBorder="1" applyAlignment="1">
      <alignment horizontal="center" vertical="center" textRotation="90" wrapText="1"/>
    </xf>
    <xf numFmtId="0" fontId="119" fillId="6" borderId="36" xfId="552" applyFont="1" applyFill="1" applyBorder="1" applyAlignment="1">
      <alignment horizontal="center" vertical="center" textRotation="90" wrapText="1"/>
    </xf>
    <xf numFmtId="0" fontId="119" fillId="7" borderId="35" xfId="552" applyFont="1" applyFill="1" applyBorder="1" applyAlignment="1">
      <alignment horizontal="center" vertical="center" textRotation="90" wrapText="1"/>
    </xf>
    <xf numFmtId="0" fontId="119" fillId="7" borderId="36" xfId="552" applyFont="1" applyFill="1" applyBorder="1" applyAlignment="1">
      <alignment horizontal="center" vertical="center" textRotation="90" wrapText="1"/>
    </xf>
    <xf numFmtId="0" fontId="119" fillId="7" borderId="37" xfId="552" applyFont="1" applyFill="1" applyBorder="1" applyAlignment="1">
      <alignment horizontal="center" vertical="center" textRotation="90" wrapText="1"/>
    </xf>
    <xf numFmtId="0" fontId="119" fillId="41" borderId="35" xfId="552" applyFont="1" applyFill="1" applyBorder="1" applyAlignment="1">
      <alignment horizontal="center" vertical="center" textRotation="90" wrapText="1"/>
    </xf>
    <xf numFmtId="0" fontId="119" fillId="41" borderId="36" xfId="552" applyFont="1" applyFill="1" applyBorder="1" applyAlignment="1">
      <alignment horizontal="center" vertical="center" textRotation="90" wrapText="1"/>
    </xf>
    <xf numFmtId="0" fontId="119" fillId="41" borderId="37" xfId="552" applyFont="1" applyFill="1" applyBorder="1" applyAlignment="1">
      <alignment horizontal="center" vertical="center" textRotation="90" wrapText="1"/>
    </xf>
    <xf numFmtId="0" fontId="119" fillId="8" borderId="35" xfId="552" applyFont="1" applyFill="1" applyBorder="1" applyAlignment="1">
      <alignment horizontal="center" vertical="center" textRotation="90" wrapText="1"/>
    </xf>
    <xf numFmtId="0" fontId="119" fillId="8" borderId="36" xfId="552" applyFont="1" applyFill="1" applyBorder="1" applyAlignment="1">
      <alignment horizontal="center" vertical="center" textRotation="90" wrapText="1"/>
    </xf>
    <xf numFmtId="0" fontId="119" fillId="8" borderId="37" xfId="552" applyFont="1" applyFill="1" applyBorder="1" applyAlignment="1">
      <alignment horizontal="center" vertical="center" textRotation="90" wrapText="1"/>
    </xf>
    <xf numFmtId="0" fontId="8" fillId="0" borderId="115" xfId="0" applyFont="1" applyBorder="1" applyAlignment="1">
      <alignment vertical="center" wrapText="1"/>
    </xf>
    <xf numFmtId="0" fontId="8" fillId="44" borderId="102" xfId="0" applyFont="1" applyFill="1" applyBorder="1" applyAlignment="1">
      <alignment vertical="center" wrapText="1"/>
    </xf>
    <xf numFmtId="0" fontId="8" fillId="44" borderId="119" xfId="0" applyFont="1" applyFill="1" applyBorder="1" applyAlignment="1">
      <alignment vertical="center" wrapText="1"/>
    </xf>
    <xf numFmtId="0" fontId="119" fillId="44" borderId="120" xfId="0" applyFont="1" applyFill="1" applyBorder="1" applyAlignment="1">
      <alignment horizontal="center" vertical="center" textRotation="90" wrapText="1"/>
    </xf>
    <xf numFmtId="0" fontId="119" fillId="44" borderId="121" xfId="0" applyFont="1" applyFill="1" applyBorder="1" applyAlignment="1">
      <alignment horizontal="center" vertical="center" textRotation="90" wrapText="1"/>
    </xf>
    <xf numFmtId="0" fontId="12" fillId="5" borderId="114" xfId="0" applyFont="1" applyFill="1" applyBorder="1" applyAlignment="1">
      <alignment horizontal="center" vertical="center"/>
    </xf>
    <xf numFmtId="0" fontId="12" fillId="5" borderId="119" xfId="0" applyFont="1" applyFill="1" applyBorder="1" applyAlignment="1">
      <alignment horizontal="center" vertical="center"/>
    </xf>
    <xf numFmtId="0" fontId="12" fillId="5" borderId="102" xfId="0" applyFont="1" applyFill="1" applyBorder="1" applyAlignment="1">
      <alignment horizontal="center" vertical="center"/>
    </xf>
    <xf numFmtId="0" fontId="12" fillId="5" borderId="101" xfId="0" applyFont="1" applyFill="1" applyBorder="1" applyAlignment="1">
      <alignment horizontal="center" vertical="center"/>
    </xf>
    <xf numFmtId="0" fontId="119" fillId="6" borderId="37" xfId="552" applyFont="1" applyFill="1" applyBorder="1" applyAlignment="1">
      <alignment horizontal="center" vertical="center" textRotation="90" wrapText="1"/>
    </xf>
    <xf numFmtId="0" fontId="8" fillId="45" borderId="116" xfId="0" applyFont="1" applyFill="1" applyBorder="1" applyAlignment="1">
      <alignment vertical="center" wrapText="1"/>
    </xf>
    <xf numFmtId="0" fontId="8" fillId="45" borderId="80" xfId="0" applyFont="1" applyFill="1" applyBorder="1" applyAlignment="1">
      <alignment vertical="center" wrapText="1"/>
    </xf>
    <xf numFmtId="0" fontId="8" fillId="45" borderId="83" xfId="0" applyFont="1" applyFill="1" applyBorder="1" applyAlignment="1">
      <alignment vertical="center" wrapText="1"/>
    </xf>
    <xf numFmtId="0" fontId="119" fillId="45" borderId="35" xfId="552" applyFont="1" applyFill="1" applyBorder="1" applyAlignment="1">
      <alignment horizontal="center" vertical="center" textRotation="90" wrapText="1"/>
    </xf>
    <xf numFmtId="0" fontId="119" fillId="45" borderId="36" xfId="552" applyFont="1" applyFill="1" applyBorder="1" applyAlignment="1">
      <alignment horizontal="center" vertical="center" textRotation="90" wrapText="1"/>
    </xf>
    <xf numFmtId="0" fontId="8" fillId="45" borderId="34" xfId="0" applyFont="1" applyFill="1" applyBorder="1" applyAlignment="1">
      <alignment vertical="center" wrapText="1"/>
    </xf>
    <xf numFmtId="0" fontId="8" fillId="45" borderId="93" xfId="0" applyFont="1" applyFill="1" applyBorder="1" applyAlignment="1">
      <alignment vertical="center" wrapText="1"/>
    </xf>
    <xf numFmtId="0" fontId="8" fillId="45" borderId="71" xfId="0" applyFont="1" applyFill="1" applyBorder="1" applyAlignment="1">
      <alignment vertical="center" wrapText="1"/>
    </xf>
  </cellXfs>
  <cellStyles count="788">
    <cellStyle name="$0dec(,)" xfId="7" xr:uid="{00000000-0005-0000-0000-000000000000}"/>
    <cellStyle name="$1dec(,)" xfId="8" xr:uid="{00000000-0005-0000-0000-000001000000}"/>
    <cellStyle name="$2dec(,)" xfId="9" xr:uid="{00000000-0005-0000-0000-000002000000}"/>
    <cellStyle name="%" xfId="10" xr:uid="{00000000-0005-0000-0000-000003000000}"/>
    <cellStyle name="%0dec(,)" xfId="11" xr:uid="{00000000-0005-0000-0000-000004000000}"/>
    <cellStyle name="%1dec(,)" xfId="12" xr:uid="{00000000-0005-0000-0000-000005000000}"/>
    <cellStyle name="%2dec(,)" xfId="13" xr:uid="{00000000-0005-0000-0000-000006000000}"/>
    <cellStyle name="_1411_package" xfId="14" xr:uid="{00000000-0005-0000-0000-000007000000}"/>
    <cellStyle name="_AAFB Global Hawk Site Survey" xfId="15" xr:uid="{00000000-0005-0000-0000-000008000000}"/>
    <cellStyle name="_aiews 1411_package" xfId="16" xr:uid="{00000000-0005-0000-0000-000009000000}"/>
    <cellStyle name="_NETCENTS 16118 Lackland AFB Template to Shared Tech" xfId="17" xr:uid="{00000000-0005-0000-0000-00000A000000}"/>
    <cellStyle name="_NETCENTS RFQ# 13237 - JUAS COE KMS - Pricing Template to SRA" xfId="18" xr:uid="{00000000-0005-0000-0000-00000B000000}"/>
    <cellStyle name="_NETCENTS RFQ# 13237 - JUAS COE KMS - Pricing Template to SRA (2)" xfId="19" xr:uid="{00000000-0005-0000-0000-00000C000000}"/>
    <cellStyle name="_Pricing AD02-07448 (NETCENTS 7048 AFMC GCCS Logical Follow-on)_R1" xfId="20" xr:uid="{00000000-0005-0000-0000-00000D000000}"/>
    <cellStyle name="_Pricing AD02-07634 (NETCENTS 15680 CITS EMC ELA LOM)" xfId="21" xr:uid="{00000000-0005-0000-0000-00000E000000}"/>
    <cellStyle name="_Pricing AD02-07663 (NETCENTS 4157 AFIOH IT)" xfId="22" xr:uid="{00000000-0005-0000-0000-00000F000000}"/>
    <cellStyle name="_Pricing AE07-08397 (DoS DSTC - Alutiiq) Rev 1" xfId="23" xr:uid="{00000000-0005-0000-0000-000010000000}"/>
    <cellStyle name="_Pricing Summary Sheet" xfId="24" xr:uid="{00000000-0005-0000-0000-000011000000}"/>
    <cellStyle name="_Pricing Summary Sheet_Volt CLINS WA and ND Sites" xfId="25" xr:uid="{00000000-0005-0000-0000-000012000000}"/>
    <cellStyle name="_Profit AE07-08397 (DoS DSTC - Alutiiq) Rev 2" xfId="26" xr:uid="{00000000-0005-0000-0000-000013000000}"/>
    <cellStyle name="_Profitability AA02-07457 (TEIS 7070 IA Support)" xfId="27" xr:uid="{00000000-0005-0000-0000-000014000000}"/>
    <cellStyle name="_Restriction" xfId="28" xr:uid="{00000000-0005-0000-0000-000015000000}"/>
    <cellStyle name="_RFQ_004793_USAFE ESN_Rev 1" xfId="29" xr:uid="{00000000-0005-0000-0000-000016000000}"/>
    <cellStyle name="_SRA ROM PRICE_JUAS COE KMS 081007" xfId="30" xr:uid="{00000000-0005-0000-0000-000017000000}"/>
    <cellStyle name="’Ê‰Ý [0.00]_laroux" xfId="31" xr:uid="{00000000-0005-0000-0000-000018000000}"/>
    <cellStyle name="’Ê‰Ý_laroux" xfId="32" xr:uid="{00000000-0005-0000-0000-000019000000}"/>
    <cellStyle name="£ 0.0m" xfId="33" xr:uid="{00000000-0005-0000-0000-00001A000000}"/>
    <cellStyle name="£ k" xfId="34" xr:uid="{00000000-0005-0000-0000-00001B000000}"/>
    <cellStyle name="£ m" xfId="35" xr:uid="{00000000-0005-0000-0000-00001C000000}"/>
    <cellStyle name="=C:\WINDOWS\SYSTEM32\COMMAND.COM" xfId="36" xr:uid="{00000000-0005-0000-0000-00001D000000}"/>
    <cellStyle name="=C:\WINNT35\SYSTEM32\COMMAND.COM" xfId="37" xr:uid="{00000000-0005-0000-0000-00001E000000}"/>
    <cellStyle name="•W€_laroux" xfId="38" xr:uid="{00000000-0005-0000-0000-00001F000000}"/>
    <cellStyle name="•W_laroux" xfId="39" xr:uid="{00000000-0005-0000-0000-000020000000}"/>
    <cellStyle name="0,0_x000d__x000a_NA_x000d__x000a_" xfId="40" xr:uid="{00000000-0005-0000-0000-000021000000}"/>
    <cellStyle name="0dec(,)" xfId="41" xr:uid="{00000000-0005-0000-0000-000022000000}"/>
    <cellStyle name="0dec(,)for%fmt" xfId="42" xr:uid="{00000000-0005-0000-0000-000023000000}"/>
    <cellStyle name="1dec(,)" xfId="43" xr:uid="{00000000-0005-0000-0000-000024000000}"/>
    <cellStyle name="1dec(,)for%fmt" xfId="44" xr:uid="{00000000-0005-0000-0000-000025000000}"/>
    <cellStyle name="2dec(,)" xfId="45" xr:uid="{00000000-0005-0000-0000-000026000000}"/>
    <cellStyle name="2dec(,)for%fmt" xfId="46" xr:uid="{00000000-0005-0000-0000-000027000000}"/>
    <cellStyle name="5" xfId="47" xr:uid="{00000000-0005-0000-0000-000028000000}"/>
    <cellStyle name="5_0" xfId="48" xr:uid="{00000000-0005-0000-0000-000029000000}"/>
    <cellStyle name="5_1" xfId="49" xr:uid="{00000000-0005-0000-0000-00002A000000}"/>
    <cellStyle name="5_1R" xfId="50" xr:uid="{00000000-0005-0000-0000-00002B000000}"/>
    <cellStyle name="5_2" xfId="51" xr:uid="{00000000-0005-0000-0000-00002C000000}"/>
    <cellStyle name="5_2R" xfId="52" xr:uid="{00000000-0005-0000-0000-00002D000000}"/>
    <cellStyle name="5_3" xfId="53" xr:uid="{00000000-0005-0000-0000-00002E000000}"/>
    <cellStyle name="5_3R" xfId="54" xr:uid="{00000000-0005-0000-0000-00002F000000}"/>
    <cellStyle name="5_Burdens" xfId="55" xr:uid="{00000000-0005-0000-0000-000030000000}"/>
    <cellStyle name="5_Escalation" xfId="56" xr:uid="{00000000-0005-0000-0000-000031000000}"/>
    <cellStyle name="5_Hours" xfId="57" xr:uid="{00000000-0005-0000-0000-000032000000}"/>
    <cellStyle name="5_Indirects" xfId="58" xr:uid="{00000000-0005-0000-0000-000033000000}"/>
    <cellStyle name="5_Lookup" xfId="59" xr:uid="{00000000-0005-0000-0000-000034000000}"/>
    <cellStyle name="5_Map" xfId="60" xr:uid="{00000000-0005-0000-0000-000035000000}"/>
    <cellStyle name="5_ODC" xfId="61" xr:uid="{00000000-0005-0000-0000-000036000000}"/>
    <cellStyle name="5_PCO" xfId="62" xr:uid="{00000000-0005-0000-0000-000037000000}"/>
    <cellStyle name="5_Salary" xfId="63" xr:uid="{00000000-0005-0000-0000-000038000000}"/>
    <cellStyle name="5_Staff" xfId="64" xr:uid="{00000000-0005-0000-0000-000039000000}"/>
    <cellStyle name="5_Summary" xfId="65" xr:uid="{00000000-0005-0000-0000-00003A000000}"/>
    <cellStyle name="6mal" xfId="66" xr:uid="{00000000-0005-0000-0000-00003B000000}"/>
    <cellStyle name="Accent1 - 20%" xfId="67" xr:uid="{00000000-0005-0000-0000-00003C000000}"/>
    <cellStyle name="Accent1 - 40%" xfId="68" xr:uid="{00000000-0005-0000-0000-00003D000000}"/>
    <cellStyle name="Accent1 - 60%" xfId="69" xr:uid="{00000000-0005-0000-0000-00003E000000}"/>
    <cellStyle name="Accent2 - 20%" xfId="70" xr:uid="{00000000-0005-0000-0000-00003F000000}"/>
    <cellStyle name="Accent2 - 40%" xfId="71" xr:uid="{00000000-0005-0000-0000-000040000000}"/>
    <cellStyle name="Accent2 - 60%" xfId="72" xr:uid="{00000000-0005-0000-0000-000041000000}"/>
    <cellStyle name="Accent3 - 20%" xfId="73" xr:uid="{00000000-0005-0000-0000-000042000000}"/>
    <cellStyle name="Accent3 - 40%" xfId="74" xr:uid="{00000000-0005-0000-0000-000043000000}"/>
    <cellStyle name="Accent3 - 60%" xfId="75" xr:uid="{00000000-0005-0000-0000-000044000000}"/>
    <cellStyle name="Accent4 - 20%" xfId="76" xr:uid="{00000000-0005-0000-0000-000045000000}"/>
    <cellStyle name="Accent4 - 40%" xfId="77" xr:uid="{00000000-0005-0000-0000-000046000000}"/>
    <cellStyle name="Accent4 - 60%" xfId="78" xr:uid="{00000000-0005-0000-0000-000047000000}"/>
    <cellStyle name="Accent5 - 20%" xfId="79" xr:uid="{00000000-0005-0000-0000-000048000000}"/>
    <cellStyle name="Accent5 - 40%" xfId="80" xr:uid="{00000000-0005-0000-0000-000049000000}"/>
    <cellStyle name="Accent5 - 60%" xfId="81" xr:uid="{00000000-0005-0000-0000-00004A000000}"/>
    <cellStyle name="Accent6 - 20%" xfId="82" xr:uid="{00000000-0005-0000-0000-00004B000000}"/>
    <cellStyle name="Accent6 - 40%" xfId="83" xr:uid="{00000000-0005-0000-0000-00004C000000}"/>
    <cellStyle name="Accent6 - 60%" xfId="84" xr:uid="{00000000-0005-0000-0000-00004D000000}"/>
    <cellStyle name="acct" xfId="85" xr:uid="{00000000-0005-0000-0000-00004E000000}"/>
    <cellStyle name="active" xfId="86" xr:uid="{00000000-0005-0000-0000-00004F000000}"/>
    <cellStyle name="Announced" xfId="87" xr:uid="{00000000-0005-0000-0000-000050000000}"/>
    <cellStyle name="aPrice" xfId="88" xr:uid="{00000000-0005-0000-0000-000051000000}"/>
    <cellStyle name="args.style" xfId="89" xr:uid="{00000000-0005-0000-0000-000052000000}"/>
    <cellStyle name="arial12" xfId="90" xr:uid="{00000000-0005-0000-0000-000053000000}"/>
    <cellStyle name="arial14" xfId="91" xr:uid="{00000000-0005-0000-0000-000054000000}"/>
    <cellStyle name="Ariel" xfId="92" xr:uid="{00000000-0005-0000-0000-000055000000}"/>
    <cellStyle name="B&amp;P" xfId="93" xr:uid="{00000000-0005-0000-0000-000056000000}"/>
    <cellStyle name="BlankLine" xfId="94" xr:uid="{00000000-0005-0000-0000-000057000000}"/>
    <cellStyle name="Bld-Ln - Style3" xfId="95" xr:uid="{00000000-0005-0000-0000-000058000000}"/>
    <cellStyle name="Body" xfId="96" xr:uid="{00000000-0005-0000-0000-000059000000}"/>
    <cellStyle name="Border" xfId="97" xr:uid="{00000000-0005-0000-0000-00005A000000}"/>
    <cellStyle name="BoxLabel" xfId="98" xr:uid="{00000000-0005-0000-0000-00005B000000}"/>
    <cellStyle name="BoxLabelRT" xfId="99" xr:uid="{00000000-0005-0000-0000-00005C000000}"/>
    <cellStyle name="Budget" xfId="100" xr:uid="{00000000-0005-0000-0000-00005D000000}"/>
    <cellStyle name="c2" xfId="101" xr:uid="{00000000-0005-0000-0000-00005E000000}"/>
    <cellStyle name="c60" xfId="102" xr:uid="{00000000-0005-0000-0000-00005F000000}"/>
    <cellStyle name="Calc Currency (0)" xfId="103" xr:uid="{00000000-0005-0000-0000-000060000000}"/>
    <cellStyle name="Calc Currency (2)" xfId="104" xr:uid="{00000000-0005-0000-0000-000061000000}"/>
    <cellStyle name="Calc Percent (0)" xfId="105" xr:uid="{00000000-0005-0000-0000-000062000000}"/>
    <cellStyle name="Calc Percent (1)" xfId="106" xr:uid="{00000000-0005-0000-0000-000063000000}"/>
    <cellStyle name="Calc Percent (2)" xfId="107" xr:uid="{00000000-0005-0000-0000-000064000000}"/>
    <cellStyle name="Calc Units (0)" xfId="108" xr:uid="{00000000-0005-0000-0000-000065000000}"/>
    <cellStyle name="Calc Units (1)" xfId="109" xr:uid="{00000000-0005-0000-0000-000066000000}"/>
    <cellStyle name="Calc Units (2)" xfId="110" xr:uid="{00000000-0005-0000-0000-000067000000}"/>
    <cellStyle name="Calcul" xfId="111" xr:uid="{00000000-0005-0000-0000-000068000000}"/>
    <cellStyle name="CatA" xfId="112" xr:uid="{00000000-0005-0000-0000-000069000000}"/>
    <cellStyle name="CatB" xfId="113" xr:uid="{00000000-0005-0000-0000-00006A000000}"/>
    <cellStyle name="CatC" xfId="114" xr:uid="{00000000-0005-0000-0000-00006B000000}"/>
    <cellStyle name="category" xfId="115" xr:uid="{00000000-0005-0000-0000-00006C000000}"/>
    <cellStyle name="CatSppt" xfId="116" xr:uid="{00000000-0005-0000-0000-00006D000000}"/>
    <cellStyle name="CfgLabel" xfId="117" xr:uid="{00000000-0005-0000-0000-00006E000000}"/>
    <cellStyle name="CheckBox" xfId="118" xr:uid="{00000000-0005-0000-0000-00006F000000}"/>
    <cellStyle name="COLUMNS" xfId="119" xr:uid="{00000000-0005-0000-0000-000070000000}"/>
    <cellStyle name="Comma" xfId="1" builtinId="3"/>
    <cellStyle name="Comma  - Style1" xfId="120" xr:uid="{00000000-0005-0000-0000-000072000000}"/>
    <cellStyle name="Comma  - Style1 10" xfId="121" xr:uid="{00000000-0005-0000-0000-000073000000}"/>
    <cellStyle name="Comma  - Style1 11" xfId="122" xr:uid="{00000000-0005-0000-0000-000074000000}"/>
    <cellStyle name="Comma  - Style1 12" xfId="123" xr:uid="{00000000-0005-0000-0000-000075000000}"/>
    <cellStyle name="Comma  - Style1 13" xfId="124" xr:uid="{00000000-0005-0000-0000-000076000000}"/>
    <cellStyle name="Comma  - Style1 14" xfId="125" xr:uid="{00000000-0005-0000-0000-000077000000}"/>
    <cellStyle name="Comma  - Style1 15" xfId="126" xr:uid="{00000000-0005-0000-0000-000078000000}"/>
    <cellStyle name="Comma  - Style1 16" xfId="127" xr:uid="{00000000-0005-0000-0000-000079000000}"/>
    <cellStyle name="Comma  - Style1 17" xfId="128" xr:uid="{00000000-0005-0000-0000-00007A000000}"/>
    <cellStyle name="Comma  - Style1 18" xfId="129" xr:uid="{00000000-0005-0000-0000-00007B000000}"/>
    <cellStyle name="Comma  - Style1 19" xfId="130" xr:uid="{00000000-0005-0000-0000-00007C000000}"/>
    <cellStyle name="Comma  - Style1 2" xfId="131" xr:uid="{00000000-0005-0000-0000-00007D000000}"/>
    <cellStyle name="Comma  - Style1 20" xfId="132" xr:uid="{00000000-0005-0000-0000-00007E000000}"/>
    <cellStyle name="Comma  - Style1 21" xfId="133" xr:uid="{00000000-0005-0000-0000-00007F000000}"/>
    <cellStyle name="Comma  - Style1 22" xfId="134" xr:uid="{00000000-0005-0000-0000-000080000000}"/>
    <cellStyle name="Comma  - Style1 23" xfId="135" xr:uid="{00000000-0005-0000-0000-000081000000}"/>
    <cellStyle name="Comma  - Style1 24" xfId="136" xr:uid="{00000000-0005-0000-0000-000082000000}"/>
    <cellStyle name="Comma  - Style1 25" xfId="137" xr:uid="{00000000-0005-0000-0000-000083000000}"/>
    <cellStyle name="Comma  - Style1 26" xfId="138" xr:uid="{00000000-0005-0000-0000-000084000000}"/>
    <cellStyle name="Comma  - Style1 27" xfId="139" xr:uid="{00000000-0005-0000-0000-000085000000}"/>
    <cellStyle name="Comma  - Style1 3" xfId="140" xr:uid="{00000000-0005-0000-0000-000086000000}"/>
    <cellStyle name="Comma  - Style1 4" xfId="141" xr:uid="{00000000-0005-0000-0000-000087000000}"/>
    <cellStyle name="Comma  - Style1 5" xfId="142" xr:uid="{00000000-0005-0000-0000-000088000000}"/>
    <cellStyle name="Comma  - Style1 6" xfId="143" xr:uid="{00000000-0005-0000-0000-000089000000}"/>
    <cellStyle name="Comma  - Style1 7" xfId="144" xr:uid="{00000000-0005-0000-0000-00008A000000}"/>
    <cellStyle name="Comma  - Style1 8" xfId="145" xr:uid="{00000000-0005-0000-0000-00008B000000}"/>
    <cellStyle name="Comma  - Style1 9" xfId="146" xr:uid="{00000000-0005-0000-0000-00008C000000}"/>
    <cellStyle name="Comma  - Style2" xfId="147" xr:uid="{00000000-0005-0000-0000-00008D000000}"/>
    <cellStyle name="Comma  - Style2 10" xfId="148" xr:uid="{00000000-0005-0000-0000-00008E000000}"/>
    <cellStyle name="Comma  - Style2 11" xfId="149" xr:uid="{00000000-0005-0000-0000-00008F000000}"/>
    <cellStyle name="Comma  - Style2 12" xfId="150" xr:uid="{00000000-0005-0000-0000-000090000000}"/>
    <cellStyle name="Comma  - Style2 13" xfId="151" xr:uid="{00000000-0005-0000-0000-000091000000}"/>
    <cellStyle name="Comma  - Style2 14" xfId="152" xr:uid="{00000000-0005-0000-0000-000092000000}"/>
    <cellStyle name="Comma  - Style2 15" xfId="153" xr:uid="{00000000-0005-0000-0000-000093000000}"/>
    <cellStyle name="Comma  - Style2 16" xfId="154" xr:uid="{00000000-0005-0000-0000-000094000000}"/>
    <cellStyle name="Comma  - Style2 17" xfId="155" xr:uid="{00000000-0005-0000-0000-000095000000}"/>
    <cellStyle name="Comma  - Style2 18" xfId="156" xr:uid="{00000000-0005-0000-0000-000096000000}"/>
    <cellStyle name="Comma  - Style2 19" xfId="157" xr:uid="{00000000-0005-0000-0000-000097000000}"/>
    <cellStyle name="Comma  - Style2 2" xfId="158" xr:uid="{00000000-0005-0000-0000-000098000000}"/>
    <cellStyle name="Comma  - Style2 20" xfId="159" xr:uid="{00000000-0005-0000-0000-000099000000}"/>
    <cellStyle name="Comma  - Style2 21" xfId="160" xr:uid="{00000000-0005-0000-0000-00009A000000}"/>
    <cellStyle name="Comma  - Style2 22" xfId="161" xr:uid="{00000000-0005-0000-0000-00009B000000}"/>
    <cellStyle name="Comma  - Style2 23" xfId="162" xr:uid="{00000000-0005-0000-0000-00009C000000}"/>
    <cellStyle name="Comma  - Style2 24" xfId="163" xr:uid="{00000000-0005-0000-0000-00009D000000}"/>
    <cellStyle name="Comma  - Style2 25" xfId="164" xr:uid="{00000000-0005-0000-0000-00009E000000}"/>
    <cellStyle name="Comma  - Style2 26" xfId="165" xr:uid="{00000000-0005-0000-0000-00009F000000}"/>
    <cellStyle name="Comma  - Style2 27" xfId="166" xr:uid="{00000000-0005-0000-0000-0000A0000000}"/>
    <cellStyle name="Comma  - Style2 3" xfId="167" xr:uid="{00000000-0005-0000-0000-0000A1000000}"/>
    <cellStyle name="Comma  - Style2 4" xfId="168" xr:uid="{00000000-0005-0000-0000-0000A2000000}"/>
    <cellStyle name="Comma  - Style2 5" xfId="169" xr:uid="{00000000-0005-0000-0000-0000A3000000}"/>
    <cellStyle name="Comma  - Style2 6" xfId="170" xr:uid="{00000000-0005-0000-0000-0000A4000000}"/>
    <cellStyle name="Comma  - Style2 7" xfId="171" xr:uid="{00000000-0005-0000-0000-0000A5000000}"/>
    <cellStyle name="Comma  - Style2 8" xfId="172" xr:uid="{00000000-0005-0000-0000-0000A6000000}"/>
    <cellStyle name="Comma  - Style2 9" xfId="173" xr:uid="{00000000-0005-0000-0000-0000A7000000}"/>
    <cellStyle name="Comma  - Style3" xfId="174" xr:uid="{00000000-0005-0000-0000-0000A8000000}"/>
    <cellStyle name="Comma  - Style3 10" xfId="175" xr:uid="{00000000-0005-0000-0000-0000A9000000}"/>
    <cellStyle name="Comma  - Style3 11" xfId="176" xr:uid="{00000000-0005-0000-0000-0000AA000000}"/>
    <cellStyle name="Comma  - Style3 12" xfId="177" xr:uid="{00000000-0005-0000-0000-0000AB000000}"/>
    <cellStyle name="Comma  - Style3 13" xfId="178" xr:uid="{00000000-0005-0000-0000-0000AC000000}"/>
    <cellStyle name="Comma  - Style3 14" xfId="179" xr:uid="{00000000-0005-0000-0000-0000AD000000}"/>
    <cellStyle name="Comma  - Style3 15" xfId="180" xr:uid="{00000000-0005-0000-0000-0000AE000000}"/>
    <cellStyle name="Comma  - Style3 16" xfId="181" xr:uid="{00000000-0005-0000-0000-0000AF000000}"/>
    <cellStyle name="Comma  - Style3 17" xfId="182" xr:uid="{00000000-0005-0000-0000-0000B0000000}"/>
    <cellStyle name="Comma  - Style3 18" xfId="183" xr:uid="{00000000-0005-0000-0000-0000B1000000}"/>
    <cellStyle name="Comma  - Style3 19" xfId="184" xr:uid="{00000000-0005-0000-0000-0000B2000000}"/>
    <cellStyle name="Comma  - Style3 2" xfId="185" xr:uid="{00000000-0005-0000-0000-0000B3000000}"/>
    <cellStyle name="Comma  - Style3 20" xfId="186" xr:uid="{00000000-0005-0000-0000-0000B4000000}"/>
    <cellStyle name="Comma  - Style3 21" xfId="187" xr:uid="{00000000-0005-0000-0000-0000B5000000}"/>
    <cellStyle name="Comma  - Style3 22" xfId="188" xr:uid="{00000000-0005-0000-0000-0000B6000000}"/>
    <cellStyle name="Comma  - Style3 23" xfId="189" xr:uid="{00000000-0005-0000-0000-0000B7000000}"/>
    <cellStyle name="Comma  - Style3 24" xfId="190" xr:uid="{00000000-0005-0000-0000-0000B8000000}"/>
    <cellStyle name="Comma  - Style3 25" xfId="191" xr:uid="{00000000-0005-0000-0000-0000B9000000}"/>
    <cellStyle name="Comma  - Style3 26" xfId="192" xr:uid="{00000000-0005-0000-0000-0000BA000000}"/>
    <cellStyle name="Comma  - Style3 27" xfId="193" xr:uid="{00000000-0005-0000-0000-0000BB000000}"/>
    <cellStyle name="Comma  - Style3 3" xfId="194" xr:uid="{00000000-0005-0000-0000-0000BC000000}"/>
    <cellStyle name="Comma  - Style3 4" xfId="195" xr:uid="{00000000-0005-0000-0000-0000BD000000}"/>
    <cellStyle name="Comma  - Style3 5" xfId="196" xr:uid="{00000000-0005-0000-0000-0000BE000000}"/>
    <cellStyle name="Comma  - Style3 6" xfId="197" xr:uid="{00000000-0005-0000-0000-0000BF000000}"/>
    <cellStyle name="Comma  - Style3 7" xfId="198" xr:uid="{00000000-0005-0000-0000-0000C0000000}"/>
    <cellStyle name="Comma  - Style3 8" xfId="199" xr:uid="{00000000-0005-0000-0000-0000C1000000}"/>
    <cellStyle name="Comma  - Style3 9" xfId="200" xr:uid="{00000000-0005-0000-0000-0000C2000000}"/>
    <cellStyle name="Comma  - Style4" xfId="201" xr:uid="{00000000-0005-0000-0000-0000C3000000}"/>
    <cellStyle name="Comma  - Style4 10" xfId="202" xr:uid="{00000000-0005-0000-0000-0000C4000000}"/>
    <cellStyle name="Comma  - Style4 11" xfId="203" xr:uid="{00000000-0005-0000-0000-0000C5000000}"/>
    <cellStyle name="Comma  - Style4 12" xfId="204" xr:uid="{00000000-0005-0000-0000-0000C6000000}"/>
    <cellStyle name="Comma  - Style4 13" xfId="205" xr:uid="{00000000-0005-0000-0000-0000C7000000}"/>
    <cellStyle name="Comma  - Style4 14" xfId="206" xr:uid="{00000000-0005-0000-0000-0000C8000000}"/>
    <cellStyle name="Comma  - Style4 15" xfId="207" xr:uid="{00000000-0005-0000-0000-0000C9000000}"/>
    <cellStyle name="Comma  - Style4 16" xfId="208" xr:uid="{00000000-0005-0000-0000-0000CA000000}"/>
    <cellStyle name="Comma  - Style4 17" xfId="209" xr:uid="{00000000-0005-0000-0000-0000CB000000}"/>
    <cellStyle name="Comma  - Style4 18" xfId="210" xr:uid="{00000000-0005-0000-0000-0000CC000000}"/>
    <cellStyle name="Comma  - Style4 19" xfId="211" xr:uid="{00000000-0005-0000-0000-0000CD000000}"/>
    <cellStyle name="Comma  - Style4 2" xfId="212" xr:uid="{00000000-0005-0000-0000-0000CE000000}"/>
    <cellStyle name="Comma  - Style4 20" xfId="213" xr:uid="{00000000-0005-0000-0000-0000CF000000}"/>
    <cellStyle name="Comma  - Style4 21" xfId="214" xr:uid="{00000000-0005-0000-0000-0000D0000000}"/>
    <cellStyle name="Comma  - Style4 22" xfId="215" xr:uid="{00000000-0005-0000-0000-0000D1000000}"/>
    <cellStyle name="Comma  - Style4 23" xfId="216" xr:uid="{00000000-0005-0000-0000-0000D2000000}"/>
    <cellStyle name="Comma  - Style4 24" xfId="217" xr:uid="{00000000-0005-0000-0000-0000D3000000}"/>
    <cellStyle name="Comma  - Style4 25" xfId="218" xr:uid="{00000000-0005-0000-0000-0000D4000000}"/>
    <cellStyle name="Comma  - Style4 26" xfId="219" xr:uid="{00000000-0005-0000-0000-0000D5000000}"/>
    <cellStyle name="Comma  - Style4 27" xfId="220" xr:uid="{00000000-0005-0000-0000-0000D6000000}"/>
    <cellStyle name="Comma  - Style4 3" xfId="221" xr:uid="{00000000-0005-0000-0000-0000D7000000}"/>
    <cellStyle name="Comma  - Style4 4" xfId="222" xr:uid="{00000000-0005-0000-0000-0000D8000000}"/>
    <cellStyle name="Comma  - Style4 5" xfId="223" xr:uid="{00000000-0005-0000-0000-0000D9000000}"/>
    <cellStyle name="Comma  - Style4 6" xfId="224" xr:uid="{00000000-0005-0000-0000-0000DA000000}"/>
    <cellStyle name="Comma  - Style4 7" xfId="225" xr:uid="{00000000-0005-0000-0000-0000DB000000}"/>
    <cellStyle name="Comma  - Style4 8" xfId="226" xr:uid="{00000000-0005-0000-0000-0000DC000000}"/>
    <cellStyle name="Comma  - Style4 9" xfId="227" xr:uid="{00000000-0005-0000-0000-0000DD000000}"/>
    <cellStyle name="Comma  - Style5" xfId="228" xr:uid="{00000000-0005-0000-0000-0000DE000000}"/>
    <cellStyle name="Comma  - Style5 10" xfId="229" xr:uid="{00000000-0005-0000-0000-0000DF000000}"/>
    <cellStyle name="Comma  - Style5 11" xfId="230" xr:uid="{00000000-0005-0000-0000-0000E0000000}"/>
    <cellStyle name="Comma  - Style5 12" xfId="231" xr:uid="{00000000-0005-0000-0000-0000E1000000}"/>
    <cellStyle name="Comma  - Style5 13" xfId="232" xr:uid="{00000000-0005-0000-0000-0000E2000000}"/>
    <cellStyle name="Comma  - Style5 14" xfId="233" xr:uid="{00000000-0005-0000-0000-0000E3000000}"/>
    <cellStyle name="Comma  - Style5 15" xfId="234" xr:uid="{00000000-0005-0000-0000-0000E4000000}"/>
    <cellStyle name="Comma  - Style5 16" xfId="235" xr:uid="{00000000-0005-0000-0000-0000E5000000}"/>
    <cellStyle name="Comma  - Style5 17" xfId="236" xr:uid="{00000000-0005-0000-0000-0000E6000000}"/>
    <cellStyle name="Comma  - Style5 18" xfId="237" xr:uid="{00000000-0005-0000-0000-0000E7000000}"/>
    <cellStyle name="Comma  - Style5 19" xfId="238" xr:uid="{00000000-0005-0000-0000-0000E8000000}"/>
    <cellStyle name="Comma  - Style5 2" xfId="239" xr:uid="{00000000-0005-0000-0000-0000E9000000}"/>
    <cellStyle name="Comma  - Style5 20" xfId="240" xr:uid="{00000000-0005-0000-0000-0000EA000000}"/>
    <cellStyle name="Comma  - Style5 21" xfId="241" xr:uid="{00000000-0005-0000-0000-0000EB000000}"/>
    <cellStyle name="Comma  - Style5 22" xfId="242" xr:uid="{00000000-0005-0000-0000-0000EC000000}"/>
    <cellStyle name="Comma  - Style5 23" xfId="243" xr:uid="{00000000-0005-0000-0000-0000ED000000}"/>
    <cellStyle name="Comma  - Style5 24" xfId="244" xr:uid="{00000000-0005-0000-0000-0000EE000000}"/>
    <cellStyle name="Comma  - Style5 25" xfId="245" xr:uid="{00000000-0005-0000-0000-0000EF000000}"/>
    <cellStyle name="Comma  - Style5 26" xfId="246" xr:uid="{00000000-0005-0000-0000-0000F0000000}"/>
    <cellStyle name="Comma  - Style5 27" xfId="247" xr:uid="{00000000-0005-0000-0000-0000F1000000}"/>
    <cellStyle name="Comma  - Style5 3" xfId="248" xr:uid="{00000000-0005-0000-0000-0000F2000000}"/>
    <cellStyle name="Comma  - Style5 4" xfId="249" xr:uid="{00000000-0005-0000-0000-0000F3000000}"/>
    <cellStyle name="Comma  - Style5 5" xfId="250" xr:uid="{00000000-0005-0000-0000-0000F4000000}"/>
    <cellStyle name="Comma  - Style5 6" xfId="251" xr:uid="{00000000-0005-0000-0000-0000F5000000}"/>
    <cellStyle name="Comma  - Style5 7" xfId="252" xr:uid="{00000000-0005-0000-0000-0000F6000000}"/>
    <cellStyle name="Comma  - Style5 8" xfId="253" xr:uid="{00000000-0005-0000-0000-0000F7000000}"/>
    <cellStyle name="Comma  - Style5 9" xfId="254" xr:uid="{00000000-0005-0000-0000-0000F8000000}"/>
    <cellStyle name="Comma  - Style6" xfId="255" xr:uid="{00000000-0005-0000-0000-0000F9000000}"/>
    <cellStyle name="Comma  - Style6 10" xfId="256" xr:uid="{00000000-0005-0000-0000-0000FA000000}"/>
    <cellStyle name="Comma  - Style6 11" xfId="257" xr:uid="{00000000-0005-0000-0000-0000FB000000}"/>
    <cellStyle name="Comma  - Style6 12" xfId="258" xr:uid="{00000000-0005-0000-0000-0000FC000000}"/>
    <cellStyle name="Comma  - Style6 13" xfId="259" xr:uid="{00000000-0005-0000-0000-0000FD000000}"/>
    <cellStyle name="Comma  - Style6 14" xfId="260" xr:uid="{00000000-0005-0000-0000-0000FE000000}"/>
    <cellStyle name="Comma  - Style6 15" xfId="261" xr:uid="{00000000-0005-0000-0000-0000FF000000}"/>
    <cellStyle name="Comma  - Style6 16" xfId="262" xr:uid="{00000000-0005-0000-0000-000000010000}"/>
    <cellStyle name="Comma  - Style6 17" xfId="263" xr:uid="{00000000-0005-0000-0000-000001010000}"/>
    <cellStyle name="Comma  - Style6 18" xfId="264" xr:uid="{00000000-0005-0000-0000-000002010000}"/>
    <cellStyle name="Comma  - Style6 19" xfId="265" xr:uid="{00000000-0005-0000-0000-000003010000}"/>
    <cellStyle name="Comma  - Style6 2" xfId="266" xr:uid="{00000000-0005-0000-0000-000004010000}"/>
    <cellStyle name="Comma  - Style6 20" xfId="267" xr:uid="{00000000-0005-0000-0000-000005010000}"/>
    <cellStyle name="Comma  - Style6 21" xfId="268" xr:uid="{00000000-0005-0000-0000-000006010000}"/>
    <cellStyle name="Comma  - Style6 22" xfId="269" xr:uid="{00000000-0005-0000-0000-000007010000}"/>
    <cellStyle name="Comma  - Style6 23" xfId="270" xr:uid="{00000000-0005-0000-0000-000008010000}"/>
    <cellStyle name="Comma  - Style6 24" xfId="271" xr:uid="{00000000-0005-0000-0000-000009010000}"/>
    <cellStyle name="Comma  - Style6 25" xfId="272" xr:uid="{00000000-0005-0000-0000-00000A010000}"/>
    <cellStyle name="Comma  - Style6 26" xfId="273" xr:uid="{00000000-0005-0000-0000-00000B010000}"/>
    <cellStyle name="Comma  - Style6 27" xfId="274" xr:uid="{00000000-0005-0000-0000-00000C010000}"/>
    <cellStyle name="Comma  - Style6 3" xfId="275" xr:uid="{00000000-0005-0000-0000-00000D010000}"/>
    <cellStyle name="Comma  - Style6 4" xfId="276" xr:uid="{00000000-0005-0000-0000-00000E010000}"/>
    <cellStyle name="Comma  - Style6 5" xfId="277" xr:uid="{00000000-0005-0000-0000-00000F010000}"/>
    <cellStyle name="Comma  - Style6 6" xfId="278" xr:uid="{00000000-0005-0000-0000-000010010000}"/>
    <cellStyle name="Comma  - Style6 7" xfId="279" xr:uid="{00000000-0005-0000-0000-000011010000}"/>
    <cellStyle name="Comma  - Style6 8" xfId="280" xr:uid="{00000000-0005-0000-0000-000012010000}"/>
    <cellStyle name="Comma  - Style6 9" xfId="281" xr:uid="{00000000-0005-0000-0000-000013010000}"/>
    <cellStyle name="Comma  - Style7" xfId="282" xr:uid="{00000000-0005-0000-0000-000014010000}"/>
    <cellStyle name="Comma  - Style7 10" xfId="283" xr:uid="{00000000-0005-0000-0000-000015010000}"/>
    <cellStyle name="Comma  - Style7 11" xfId="284" xr:uid="{00000000-0005-0000-0000-000016010000}"/>
    <cellStyle name="Comma  - Style7 12" xfId="285" xr:uid="{00000000-0005-0000-0000-000017010000}"/>
    <cellStyle name="Comma  - Style7 13" xfId="286" xr:uid="{00000000-0005-0000-0000-000018010000}"/>
    <cellStyle name="Comma  - Style7 14" xfId="287" xr:uid="{00000000-0005-0000-0000-000019010000}"/>
    <cellStyle name="Comma  - Style7 15" xfId="288" xr:uid="{00000000-0005-0000-0000-00001A010000}"/>
    <cellStyle name="Comma  - Style7 16" xfId="289" xr:uid="{00000000-0005-0000-0000-00001B010000}"/>
    <cellStyle name="Comma  - Style7 17" xfId="290" xr:uid="{00000000-0005-0000-0000-00001C010000}"/>
    <cellStyle name="Comma  - Style7 18" xfId="291" xr:uid="{00000000-0005-0000-0000-00001D010000}"/>
    <cellStyle name="Comma  - Style7 19" xfId="292" xr:uid="{00000000-0005-0000-0000-00001E010000}"/>
    <cellStyle name="Comma  - Style7 2" xfId="293" xr:uid="{00000000-0005-0000-0000-00001F010000}"/>
    <cellStyle name="Comma  - Style7 20" xfId="294" xr:uid="{00000000-0005-0000-0000-000020010000}"/>
    <cellStyle name="Comma  - Style7 21" xfId="295" xr:uid="{00000000-0005-0000-0000-000021010000}"/>
    <cellStyle name="Comma  - Style7 22" xfId="296" xr:uid="{00000000-0005-0000-0000-000022010000}"/>
    <cellStyle name="Comma  - Style7 23" xfId="297" xr:uid="{00000000-0005-0000-0000-000023010000}"/>
    <cellStyle name="Comma  - Style7 24" xfId="298" xr:uid="{00000000-0005-0000-0000-000024010000}"/>
    <cellStyle name="Comma  - Style7 25" xfId="299" xr:uid="{00000000-0005-0000-0000-000025010000}"/>
    <cellStyle name="Comma  - Style7 26" xfId="300" xr:uid="{00000000-0005-0000-0000-000026010000}"/>
    <cellStyle name="Comma  - Style7 27" xfId="301" xr:uid="{00000000-0005-0000-0000-000027010000}"/>
    <cellStyle name="Comma  - Style7 3" xfId="302" xr:uid="{00000000-0005-0000-0000-000028010000}"/>
    <cellStyle name="Comma  - Style7 4" xfId="303" xr:uid="{00000000-0005-0000-0000-000029010000}"/>
    <cellStyle name="Comma  - Style7 5" xfId="304" xr:uid="{00000000-0005-0000-0000-00002A010000}"/>
    <cellStyle name="Comma  - Style7 6" xfId="305" xr:uid="{00000000-0005-0000-0000-00002B010000}"/>
    <cellStyle name="Comma  - Style7 7" xfId="306" xr:uid="{00000000-0005-0000-0000-00002C010000}"/>
    <cellStyle name="Comma  - Style7 8" xfId="307" xr:uid="{00000000-0005-0000-0000-00002D010000}"/>
    <cellStyle name="Comma  - Style7 9" xfId="308" xr:uid="{00000000-0005-0000-0000-00002E010000}"/>
    <cellStyle name="Comma  - Style8" xfId="309" xr:uid="{00000000-0005-0000-0000-00002F010000}"/>
    <cellStyle name="Comma  - Style8 10" xfId="310" xr:uid="{00000000-0005-0000-0000-000030010000}"/>
    <cellStyle name="Comma  - Style8 11" xfId="311" xr:uid="{00000000-0005-0000-0000-000031010000}"/>
    <cellStyle name="Comma  - Style8 12" xfId="312" xr:uid="{00000000-0005-0000-0000-000032010000}"/>
    <cellStyle name="Comma  - Style8 13" xfId="313" xr:uid="{00000000-0005-0000-0000-000033010000}"/>
    <cellStyle name="Comma  - Style8 14" xfId="314" xr:uid="{00000000-0005-0000-0000-000034010000}"/>
    <cellStyle name="Comma  - Style8 15" xfId="315" xr:uid="{00000000-0005-0000-0000-000035010000}"/>
    <cellStyle name="Comma  - Style8 16" xfId="316" xr:uid="{00000000-0005-0000-0000-000036010000}"/>
    <cellStyle name="Comma  - Style8 17" xfId="317" xr:uid="{00000000-0005-0000-0000-000037010000}"/>
    <cellStyle name="Comma  - Style8 18" xfId="318" xr:uid="{00000000-0005-0000-0000-000038010000}"/>
    <cellStyle name="Comma  - Style8 19" xfId="319" xr:uid="{00000000-0005-0000-0000-000039010000}"/>
    <cellStyle name="Comma  - Style8 2" xfId="320" xr:uid="{00000000-0005-0000-0000-00003A010000}"/>
    <cellStyle name="Comma  - Style8 20" xfId="321" xr:uid="{00000000-0005-0000-0000-00003B010000}"/>
    <cellStyle name="Comma  - Style8 21" xfId="322" xr:uid="{00000000-0005-0000-0000-00003C010000}"/>
    <cellStyle name="Comma  - Style8 22" xfId="323" xr:uid="{00000000-0005-0000-0000-00003D010000}"/>
    <cellStyle name="Comma  - Style8 23" xfId="324" xr:uid="{00000000-0005-0000-0000-00003E010000}"/>
    <cellStyle name="Comma  - Style8 24" xfId="325" xr:uid="{00000000-0005-0000-0000-00003F010000}"/>
    <cellStyle name="Comma  - Style8 25" xfId="326" xr:uid="{00000000-0005-0000-0000-000040010000}"/>
    <cellStyle name="Comma  - Style8 26" xfId="327" xr:uid="{00000000-0005-0000-0000-000041010000}"/>
    <cellStyle name="Comma  - Style8 27" xfId="328" xr:uid="{00000000-0005-0000-0000-000042010000}"/>
    <cellStyle name="Comma  - Style8 3" xfId="329" xr:uid="{00000000-0005-0000-0000-000043010000}"/>
    <cellStyle name="Comma  - Style8 4" xfId="330" xr:uid="{00000000-0005-0000-0000-000044010000}"/>
    <cellStyle name="Comma  - Style8 5" xfId="331" xr:uid="{00000000-0005-0000-0000-000045010000}"/>
    <cellStyle name="Comma  - Style8 6" xfId="332" xr:uid="{00000000-0005-0000-0000-000046010000}"/>
    <cellStyle name="Comma  - Style8 7" xfId="333" xr:uid="{00000000-0005-0000-0000-000047010000}"/>
    <cellStyle name="Comma  - Style8 8" xfId="334" xr:uid="{00000000-0005-0000-0000-000048010000}"/>
    <cellStyle name="Comma  - Style8 9" xfId="335" xr:uid="{00000000-0005-0000-0000-000049010000}"/>
    <cellStyle name="Comma [00]" xfId="336" xr:uid="{00000000-0005-0000-0000-00004A010000}"/>
    <cellStyle name="Comma 0" xfId="337" xr:uid="{00000000-0005-0000-0000-00004B010000}"/>
    <cellStyle name="Comma 1" xfId="338" xr:uid="{00000000-0005-0000-0000-00004C010000}"/>
    <cellStyle name="Comma 2" xfId="339" xr:uid="{00000000-0005-0000-0000-00004D010000}"/>
    <cellStyle name="Comma 20" xfId="340" xr:uid="{00000000-0005-0000-0000-00004E010000}"/>
    <cellStyle name="Comma 22" xfId="341" xr:uid="{00000000-0005-0000-0000-00004F010000}"/>
    <cellStyle name="Comma 5" xfId="342" xr:uid="{00000000-0005-0000-0000-000050010000}"/>
    <cellStyle name="Comma 5 2" xfId="343" xr:uid="{00000000-0005-0000-0000-000051010000}"/>
    <cellStyle name="Comma 5 3" xfId="344" xr:uid="{00000000-0005-0000-0000-000052010000}"/>
    <cellStyle name="Comma 6" xfId="345" xr:uid="{00000000-0005-0000-0000-000053010000}"/>
    <cellStyle name="Comma0" xfId="346" xr:uid="{00000000-0005-0000-0000-000054010000}"/>
    <cellStyle name="Comma0 - Style2" xfId="347" xr:uid="{00000000-0005-0000-0000-000055010000}"/>
    <cellStyle name="Comma0 - Style3" xfId="348" xr:uid="{00000000-0005-0000-0000-000056010000}"/>
    <cellStyle name="Comma0 - Style5" xfId="349" xr:uid="{00000000-0005-0000-0000-000057010000}"/>
    <cellStyle name="Comma0_FBI - SMIS Pricing - 20 Oct 2005" xfId="350" xr:uid="{00000000-0005-0000-0000-000058010000}"/>
    <cellStyle name="Comma1 - Style1" xfId="351" xr:uid="{00000000-0005-0000-0000-000059010000}"/>
    <cellStyle name="ContentsHyperlink" xfId="352" xr:uid="{00000000-0005-0000-0000-00005A010000}"/>
    <cellStyle name="Corps de tableau" xfId="353" xr:uid="{00000000-0005-0000-0000-00005B010000}"/>
    <cellStyle name="CurK" xfId="354" xr:uid="{00000000-0005-0000-0000-00005C010000}"/>
    <cellStyle name="Curren - Style1" xfId="355" xr:uid="{00000000-0005-0000-0000-00005D010000}"/>
    <cellStyle name="Curren - Style2" xfId="356" xr:uid="{00000000-0005-0000-0000-00005E010000}"/>
    <cellStyle name="Curren - Style4" xfId="357" xr:uid="{00000000-0005-0000-0000-00005F010000}"/>
    <cellStyle name="Curren - Style5" xfId="358" xr:uid="{00000000-0005-0000-0000-000060010000}"/>
    <cellStyle name="Curren - Style6" xfId="359" xr:uid="{00000000-0005-0000-0000-000061010000}"/>
    <cellStyle name="Currency" xfId="2" builtinId="4"/>
    <cellStyle name="Currency [00]" xfId="360" xr:uid="{00000000-0005-0000-0000-000063010000}"/>
    <cellStyle name="Currency 2" xfId="786" xr:uid="{00000000-0005-0000-0000-000064010000}"/>
    <cellStyle name="Currency EMC AUD" xfId="361" xr:uid="{00000000-0005-0000-0000-000065010000}"/>
    <cellStyle name="Currency EMC BRL" xfId="362" xr:uid="{00000000-0005-0000-0000-000066010000}"/>
    <cellStyle name="Currency EMC CAD" xfId="363" xr:uid="{00000000-0005-0000-0000-000067010000}"/>
    <cellStyle name="Currency EMC CHF" xfId="364" xr:uid="{00000000-0005-0000-0000-000068010000}"/>
    <cellStyle name="Currency EMC CNY" xfId="365" xr:uid="{00000000-0005-0000-0000-000069010000}"/>
    <cellStyle name="Currency EMC DKK" xfId="366" xr:uid="{00000000-0005-0000-0000-00006A010000}"/>
    <cellStyle name="Currency EMC EUR" xfId="367" xr:uid="{00000000-0005-0000-0000-00006B010000}"/>
    <cellStyle name="Currency EMC GBP" xfId="368" xr:uid="{00000000-0005-0000-0000-00006C010000}"/>
    <cellStyle name="Currency EMC HKD" xfId="369" xr:uid="{00000000-0005-0000-0000-00006D010000}"/>
    <cellStyle name="Currency EMC JPY" xfId="370" xr:uid="{00000000-0005-0000-0000-00006E010000}"/>
    <cellStyle name="Currency EMC MXN" xfId="371" xr:uid="{00000000-0005-0000-0000-00006F010000}"/>
    <cellStyle name="Currency EMC MYR" xfId="372" xr:uid="{00000000-0005-0000-0000-000070010000}"/>
    <cellStyle name="Currency EMC NOK" xfId="373" xr:uid="{00000000-0005-0000-0000-000071010000}"/>
    <cellStyle name="Currency EMC NZD" xfId="374" xr:uid="{00000000-0005-0000-0000-000072010000}"/>
    <cellStyle name="Currency EMC SEK" xfId="375" xr:uid="{00000000-0005-0000-0000-000073010000}"/>
    <cellStyle name="Currency EMC SGD" xfId="376" xr:uid="{00000000-0005-0000-0000-000074010000}"/>
    <cellStyle name="Currency EMC THB" xfId="377" xr:uid="{00000000-0005-0000-0000-000075010000}"/>
    <cellStyle name="Currency EMC USD" xfId="378" xr:uid="{00000000-0005-0000-0000-000076010000}"/>
    <cellStyle name="Currency EMC VEB" xfId="379" xr:uid="{00000000-0005-0000-0000-000077010000}"/>
    <cellStyle name="Currency EMC ZAR" xfId="380" xr:uid="{00000000-0005-0000-0000-000078010000}"/>
    <cellStyle name="Currency0" xfId="381" xr:uid="{00000000-0005-0000-0000-000079010000}"/>
    <cellStyle name="CurrencyBIG" xfId="382" xr:uid="{00000000-0005-0000-0000-00007A010000}"/>
    <cellStyle name="CurU" xfId="383" xr:uid="{00000000-0005-0000-0000-00007B010000}"/>
    <cellStyle name="CurU.00" xfId="384" xr:uid="{00000000-0005-0000-0000-00007C010000}"/>
    <cellStyle name="dak" xfId="385" xr:uid="{00000000-0005-0000-0000-00007D010000}"/>
    <cellStyle name="Date" xfId="386" xr:uid="{00000000-0005-0000-0000-00007E010000}"/>
    <cellStyle name="Date - Style4" xfId="387" xr:uid="{00000000-0005-0000-0000-00007F010000}"/>
    <cellStyle name="Date Short" xfId="388" xr:uid="{00000000-0005-0000-0000-000080010000}"/>
    <cellStyle name="Date_EMD Cost Model Ver28" xfId="389" xr:uid="{00000000-0005-0000-0000-000081010000}"/>
    <cellStyle name="DateType" xfId="390" xr:uid="{00000000-0005-0000-0000-000082010000}"/>
    <cellStyle name="Décimal" xfId="391" xr:uid="{00000000-0005-0000-0000-000083010000}"/>
    <cellStyle name="Desc" xfId="392" xr:uid="{00000000-0005-0000-0000-000084010000}"/>
    <cellStyle name="Description" xfId="393" xr:uid="{00000000-0005-0000-0000-000085010000}"/>
    <cellStyle name="Discontinued" xfId="394" xr:uid="{00000000-0005-0000-0000-000086010000}"/>
    <cellStyle name="dostatus" xfId="395" xr:uid="{00000000-0005-0000-0000-000087010000}"/>
    <cellStyle name="Double" xfId="396" xr:uid="{00000000-0005-0000-0000-000088010000}"/>
    <cellStyle name="Double 2" xfId="397" xr:uid="{00000000-0005-0000-0000-000089010000}"/>
    <cellStyle name="Double 3" xfId="398" xr:uid="{00000000-0005-0000-0000-00008A010000}"/>
    <cellStyle name="Double_VOLT_Bliss_WSMR_IMOD_Phase 6_Draft_r2_Wade" xfId="399" xr:uid="{00000000-0005-0000-0000-00008B010000}"/>
    <cellStyle name="eab" xfId="400" xr:uid="{00000000-0005-0000-0000-00008C010000}"/>
    <cellStyle name="Element ID L3" xfId="401" xr:uid="{00000000-0005-0000-0000-00008D010000}"/>
    <cellStyle name="Element ID L4" xfId="402" xr:uid="{00000000-0005-0000-0000-00008E010000}"/>
    <cellStyle name="Element ID L5" xfId="403" xr:uid="{00000000-0005-0000-0000-00008F010000}"/>
    <cellStyle name="Element title L3" xfId="404" xr:uid="{00000000-0005-0000-0000-000090010000}"/>
    <cellStyle name="Element Title L4" xfId="405" xr:uid="{00000000-0005-0000-0000-000091010000}"/>
    <cellStyle name="Element title L5" xfId="406" xr:uid="{00000000-0005-0000-0000-000092010000}"/>
    <cellStyle name="Element title L6" xfId="407" xr:uid="{00000000-0005-0000-0000-000093010000}"/>
    <cellStyle name="Element title L7" xfId="408" xr:uid="{00000000-0005-0000-0000-000094010000}"/>
    <cellStyle name="EmailDollar" xfId="409" xr:uid="{00000000-0005-0000-0000-000095010000}"/>
    <cellStyle name="EmailQuote" xfId="410" xr:uid="{00000000-0005-0000-0000-000096010000}"/>
    <cellStyle name="Emphasis 1" xfId="411" xr:uid="{00000000-0005-0000-0000-000097010000}"/>
    <cellStyle name="Emphasis 2" xfId="412" xr:uid="{00000000-0005-0000-0000-000098010000}"/>
    <cellStyle name="Emphasis 3" xfId="413" xr:uid="{00000000-0005-0000-0000-000099010000}"/>
    <cellStyle name="Enter Currency (0)" xfId="414" xr:uid="{00000000-0005-0000-0000-00009A010000}"/>
    <cellStyle name="Enter Currency (2)" xfId="415" xr:uid="{00000000-0005-0000-0000-00009B010000}"/>
    <cellStyle name="Enter Units (0)" xfId="416" xr:uid="{00000000-0005-0000-0000-00009C010000}"/>
    <cellStyle name="Enter Units (1)" xfId="417" xr:uid="{00000000-0005-0000-0000-00009D010000}"/>
    <cellStyle name="Enter Units (2)" xfId="418" xr:uid="{00000000-0005-0000-0000-00009E010000}"/>
    <cellStyle name="EPS" xfId="419" xr:uid="{00000000-0005-0000-0000-00009F010000}"/>
    <cellStyle name="Euro" xfId="420" xr:uid="{00000000-0005-0000-0000-0000A0010000}"/>
    <cellStyle name="Euro 2" xfId="421" xr:uid="{00000000-0005-0000-0000-0000A1010000}"/>
    <cellStyle name="Euro 3" xfId="422" xr:uid="{00000000-0005-0000-0000-0000A2010000}"/>
    <cellStyle name="Exception" xfId="423" xr:uid="{00000000-0005-0000-0000-0000A3010000}"/>
    <cellStyle name="F2" xfId="424" xr:uid="{00000000-0005-0000-0000-0000A4010000}"/>
    <cellStyle name="F2 - Style1" xfId="425" xr:uid="{00000000-0005-0000-0000-0000A5010000}"/>
    <cellStyle name="F3" xfId="426" xr:uid="{00000000-0005-0000-0000-0000A6010000}"/>
    <cellStyle name="F4" xfId="427" xr:uid="{00000000-0005-0000-0000-0000A7010000}"/>
    <cellStyle name="F5" xfId="428" xr:uid="{00000000-0005-0000-0000-0000A8010000}"/>
    <cellStyle name="F6" xfId="429" xr:uid="{00000000-0005-0000-0000-0000A9010000}"/>
    <cellStyle name="F7" xfId="430" xr:uid="{00000000-0005-0000-0000-0000AA010000}"/>
    <cellStyle name="F8" xfId="431" xr:uid="{00000000-0005-0000-0000-0000AB010000}"/>
    <cellStyle name="FI720X_watch" xfId="432" xr:uid="{00000000-0005-0000-0000-0000AC010000}"/>
    <cellStyle name="Filled In" xfId="433" xr:uid="{00000000-0005-0000-0000-0000AD010000}"/>
    <cellStyle name="Fixed" xfId="434" xr:uid="{00000000-0005-0000-0000-0000AE010000}"/>
    <cellStyle name="Fixed3 - Style3" xfId="435" xr:uid="{00000000-0005-0000-0000-0000AF010000}"/>
    <cellStyle name="Form Text" xfId="436" xr:uid="{00000000-0005-0000-0000-0000B0010000}"/>
    <cellStyle name="FormEntry" xfId="437" xr:uid="{00000000-0005-0000-0000-0000B1010000}"/>
    <cellStyle name="general" xfId="438" xr:uid="{00000000-0005-0000-0000-0000B2010000}"/>
    <cellStyle name="Grey" xfId="439" xr:uid="{00000000-0005-0000-0000-0000B3010000}"/>
    <cellStyle name="Grey 10" xfId="440" xr:uid="{00000000-0005-0000-0000-0000B4010000}"/>
    <cellStyle name="Grey 11" xfId="441" xr:uid="{00000000-0005-0000-0000-0000B5010000}"/>
    <cellStyle name="Grey 12" xfId="442" xr:uid="{00000000-0005-0000-0000-0000B6010000}"/>
    <cellStyle name="Grey 13" xfId="443" xr:uid="{00000000-0005-0000-0000-0000B7010000}"/>
    <cellStyle name="Grey 14" xfId="444" xr:uid="{00000000-0005-0000-0000-0000B8010000}"/>
    <cellStyle name="Grey 15" xfId="445" xr:uid="{00000000-0005-0000-0000-0000B9010000}"/>
    <cellStyle name="Grey 16" xfId="446" xr:uid="{00000000-0005-0000-0000-0000BA010000}"/>
    <cellStyle name="Grey 17" xfId="447" xr:uid="{00000000-0005-0000-0000-0000BB010000}"/>
    <cellStyle name="Grey 18" xfId="448" xr:uid="{00000000-0005-0000-0000-0000BC010000}"/>
    <cellStyle name="Grey 19" xfId="449" xr:uid="{00000000-0005-0000-0000-0000BD010000}"/>
    <cellStyle name="Grey 2" xfId="450" xr:uid="{00000000-0005-0000-0000-0000BE010000}"/>
    <cellStyle name="Grey 20" xfId="451" xr:uid="{00000000-0005-0000-0000-0000BF010000}"/>
    <cellStyle name="Grey 21" xfId="452" xr:uid="{00000000-0005-0000-0000-0000C0010000}"/>
    <cellStyle name="Grey 22" xfId="453" xr:uid="{00000000-0005-0000-0000-0000C1010000}"/>
    <cellStyle name="Grey 23" xfId="454" xr:uid="{00000000-0005-0000-0000-0000C2010000}"/>
    <cellStyle name="Grey 24" xfId="455" xr:uid="{00000000-0005-0000-0000-0000C3010000}"/>
    <cellStyle name="Grey 25" xfId="456" xr:uid="{00000000-0005-0000-0000-0000C4010000}"/>
    <cellStyle name="Grey 26" xfId="457" xr:uid="{00000000-0005-0000-0000-0000C5010000}"/>
    <cellStyle name="Grey 27" xfId="458" xr:uid="{00000000-0005-0000-0000-0000C6010000}"/>
    <cellStyle name="Grey 3" xfId="459" xr:uid="{00000000-0005-0000-0000-0000C7010000}"/>
    <cellStyle name="Grey 4" xfId="460" xr:uid="{00000000-0005-0000-0000-0000C8010000}"/>
    <cellStyle name="Grey 5" xfId="461" xr:uid="{00000000-0005-0000-0000-0000C9010000}"/>
    <cellStyle name="Grey 6" xfId="462" xr:uid="{00000000-0005-0000-0000-0000CA010000}"/>
    <cellStyle name="Grey 7" xfId="463" xr:uid="{00000000-0005-0000-0000-0000CB010000}"/>
    <cellStyle name="Grey 8" xfId="464" xr:uid="{00000000-0005-0000-0000-0000CC010000}"/>
    <cellStyle name="Grey 9" xfId="465" xr:uid="{00000000-0005-0000-0000-0000CD010000}"/>
    <cellStyle name="hdr" xfId="466" xr:uid="{00000000-0005-0000-0000-0000CE010000}"/>
    <cellStyle name="Hdr1" xfId="467" xr:uid="{00000000-0005-0000-0000-0000CF010000}"/>
    <cellStyle name="header" xfId="468" xr:uid="{00000000-0005-0000-0000-0000D0010000}"/>
    <cellStyle name="Header1" xfId="469" xr:uid="{00000000-0005-0000-0000-0000D1010000}"/>
    <cellStyle name="Header2" xfId="470" xr:uid="{00000000-0005-0000-0000-0000D2010000}"/>
    <cellStyle name="HEADING1" xfId="471" xr:uid="{00000000-0005-0000-0000-0000D3010000}"/>
    <cellStyle name="HEADING2" xfId="472" xr:uid="{00000000-0005-0000-0000-0000D4010000}"/>
    <cellStyle name="HEADING3" xfId="473" xr:uid="{00000000-0005-0000-0000-0000D5010000}"/>
    <cellStyle name="HelpTitle" xfId="474" xr:uid="{00000000-0005-0000-0000-0000D6010000}"/>
    <cellStyle name="hours" xfId="475" xr:uid="{00000000-0005-0000-0000-0000D7010000}"/>
    <cellStyle name="HspColumn" xfId="476" xr:uid="{00000000-0005-0000-0000-0000D8010000}"/>
    <cellStyle name="HspColumnBottom" xfId="477" xr:uid="{00000000-0005-0000-0000-0000D9010000}"/>
    <cellStyle name="HspCurrency" xfId="478" xr:uid="{00000000-0005-0000-0000-0000DA010000}"/>
    <cellStyle name="HspNonCurrency" xfId="479" xr:uid="{00000000-0005-0000-0000-0000DB010000}"/>
    <cellStyle name="HspPage" xfId="480" xr:uid="{00000000-0005-0000-0000-0000DC010000}"/>
    <cellStyle name="HspPercentage" xfId="481" xr:uid="{00000000-0005-0000-0000-0000DD010000}"/>
    <cellStyle name="HspPlanType" xfId="482" xr:uid="{00000000-0005-0000-0000-0000DE010000}"/>
    <cellStyle name="HspPOV" xfId="483" xr:uid="{00000000-0005-0000-0000-0000DF010000}"/>
    <cellStyle name="HspRow" xfId="484" xr:uid="{00000000-0005-0000-0000-0000E0010000}"/>
    <cellStyle name="Hyperlink" xfId="3" builtinId="8"/>
    <cellStyle name="Hyperlink 2" xfId="485" xr:uid="{00000000-0005-0000-0000-0000E2010000}"/>
    <cellStyle name="ID#" xfId="486" xr:uid="{00000000-0005-0000-0000-0000E3010000}"/>
    <cellStyle name="Inapplivable" xfId="487" xr:uid="{00000000-0005-0000-0000-0000E4010000}"/>
    <cellStyle name="Input [yellow]" xfId="488" xr:uid="{00000000-0005-0000-0000-0000E5010000}"/>
    <cellStyle name="Input [yellow] 10" xfId="489" xr:uid="{00000000-0005-0000-0000-0000E6010000}"/>
    <cellStyle name="Input [yellow] 11" xfId="490" xr:uid="{00000000-0005-0000-0000-0000E7010000}"/>
    <cellStyle name="Input [yellow] 12" xfId="491" xr:uid="{00000000-0005-0000-0000-0000E8010000}"/>
    <cellStyle name="Input [yellow] 13" xfId="492" xr:uid="{00000000-0005-0000-0000-0000E9010000}"/>
    <cellStyle name="Input [yellow] 14" xfId="493" xr:uid="{00000000-0005-0000-0000-0000EA010000}"/>
    <cellStyle name="Input [yellow] 15" xfId="494" xr:uid="{00000000-0005-0000-0000-0000EB010000}"/>
    <cellStyle name="Input [yellow] 16" xfId="495" xr:uid="{00000000-0005-0000-0000-0000EC010000}"/>
    <cellStyle name="Input [yellow] 17" xfId="496" xr:uid="{00000000-0005-0000-0000-0000ED010000}"/>
    <cellStyle name="Input [yellow] 18" xfId="497" xr:uid="{00000000-0005-0000-0000-0000EE010000}"/>
    <cellStyle name="Input [yellow] 19" xfId="498" xr:uid="{00000000-0005-0000-0000-0000EF010000}"/>
    <cellStyle name="Input [yellow] 2" xfId="499" xr:uid="{00000000-0005-0000-0000-0000F0010000}"/>
    <cellStyle name="Input [yellow] 20" xfId="500" xr:uid="{00000000-0005-0000-0000-0000F1010000}"/>
    <cellStyle name="Input [yellow] 21" xfId="501" xr:uid="{00000000-0005-0000-0000-0000F2010000}"/>
    <cellStyle name="Input [yellow] 22" xfId="502" xr:uid="{00000000-0005-0000-0000-0000F3010000}"/>
    <cellStyle name="Input [yellow] 23" xfId="503" xr:uid="{00000000-0005-0000-0000-0000F4010000}"/>
    <cellStyle name="Input [yellow] 24" xfId="504" xr:uid="{00000000-0005-0000-0000-0000F5010000}"/>
    <cellStyle name="Input [yellow] 25" xfId="505" xr:uid="{00000000-0005-0000-0000-0000F6010000}"/>
    <cellStyle name="Input [yellow] 26" xfId="506" xr:uid="{00000000-0005-0000-0000-0000F7010000}"/>
    <cellStyle name="Input [yellow] 27" xfId="507" xr:uid="{00000000-0005-0000-0000-0000F8010000}"/>
    <cellStyle name="Input [yellow] 3" xfId="508" xr:uid="{00000000-0005-0000-0000-0000F9010000}"/>
    <cellStyle name="Input [yellow] 4" xfId="509" xr:uid="{00000000-0005-0000-0000-0000FA010000}"/>
    <cellStyle name="Input [yellow] 5" xfId="510" xr:uid="{00000000-0005-0000-0000-0000FB010000}"/>
    <cellStyle name="Input [yellow] 6" xfId="511" xr:uid="{00000000-0005-0000-0000-0000FC010000}"/>
    <cellStyle name="Input [yellow] 7" xfId="512" xr:uid="{00000000-0005-0000-0000-0000FD010000}"/>
    <cellStyle name="Input [yellow] 8" xfId="513" xr:uid="{00000000-0005-0000-0000-0000FE010000}"/>
    <cellStyle name="Input [yellow] 9" xfId="514" xr:uid="{00000000-0005-0000-0000-0000FF010000}"/>
    <cellStyle name="Input Cells" xfId="515" xr:uid="{00000000-0005-0000-0000-000000020000}"/>
    <cellStyle name="janell" xfId="516" xr:uid="{00000000-0005-0000-0000-000001020000}"/>
    <cellStyle name="Jim" xfId="517" xr:uid="{00000000-0005-0000-0000-000002020000}"/>
    <cellStyle name="L/R Board" xfId="518" xr:uid="{00000000-0005-0000-0000-000003020000}"/>
    <cellStyle name="Label" xfId="519" xr:uid="{00000000-0005-0000-0000-000004020000}"/>
    <cellStyle name="Link Currency (0)" xfId="520" xr:uid="{00000000-0005-0000-0000-000005020000}"/>
    <cellStyle name="Link Currency (2)" xfId="521" xr:uid="{00000000-0005-0000-0000-000006020000}"/>
    <cellStyle name="Link Units (0)" xfId="522" xr:uid="{00000000-0005-0000-0000-000007020000}"/>
    <cellStyle name="Link Units (1)" xfId="523" xr:uid="{00000000-0005-0000-0000-000008020000}"/>
    <cellStyle name="Link Units (2)" xfId="524" xr:uid="{00000000-0005-0000-0000-000009020000}"/>
    <cellStyle name="Linked Cells" xfId="525" xr:uid="{00000000-0005-0000-0000-00000A020000}"/>
    <cellStyle name="listprice" xfId="526" xr:uid="{00000000-0005-0000-0000-00000B020000}"/>
    <cellStyle name="LongDesc" xfId="527" xr:uid="{00000000-0005-0000-0000-00000C020000}"/>
    <cellStyle name="MedDate" xfId="528" xr:uid="{00000000-0005-0000-0000-00000D020000}"/>
    <cellStyle name="Mhead" xfId="529" xr:uid="{00000000-0005-0000-0000-00000E020000}"/>
    <cellStyle name="Millares [0]_96 Risk" xfId="530" xr:uid="{00000000-0005-0000-0000-00000F020000}"/>
    <cellStyle name="Millares_96 Risk" xfId="531" xr:uid="{00000000-0005-0000-0000-000010020000}"/>
    <cellStyle name="Milliers [0]_!!!GO" xfId="532" xr:uid="{00000000-0005-0000-0000-000011020000}"/>
    <cellStyle name="Milliers_!!!GO" xfId="533" xr:uid="{00000000-0005-0000-0000-000012020000}"/>
    <cellStyle name="Model" xfId="534" xr:uid="{00000000-0005-0000-0000-000013020000}"/>
    <cellStyle name="Moneda [0]_96 Risk" xfId="535" xr:uid="{00000000-0005-0000-0000-000014020000}"/>
    <cellStyle name="Moneda_96 Risk" xfId="536" xr:uid="{00000000-0005-0000-0000-000015020000}"/>
    <cellStyle name="Monétaire [0]_!!!GO" xfId="537" xr:uid="{00000000-0005-0000-0000-000016020000}"/>
    <cellStyle name="Monétaire_!!!GO" xfId="538" xr:uid="{00000000-0005-0000-0000-000017020000}"/>
    <cellStyle name="N,NNN (blank 0)" xfId="539" xr:uid="{00000000-0005-0000-0000-000018020000}"/>
    <cellStyle name="New" xfId="540" xr:uid="{00000000-0005-0000-0000-000019020000}"/>
    <cellStyle name="no dec" xfId="541" xr:uid="{00000000-0005-0000-0000-00001A020000}"/>
    <cellStyle name="none" xfId="542" xr:uid="{00000000-0005-0000-0000-00001B020000}"/>
    <cellStyle name="Normal" xfId="0" builtinId="0"/>
    <cellStyle name="Normal - Style1" xfId="543" xr:uid="{00000000-0005-0000-0000-00001D020000}"/>
    <cellStyle name="Normal 10" xfId="544" xr:uid="{00000000-0005-0000-0000-00001E020000}"/>
    <cellStyle name="Normal 11" xfId="545" xr:uid="{00000000-0005-0000-0000-00001F020000}"/>
    <cellStyle name="Normal 12" xfId="546" xr:uid="{00000000-0005-0000-0000-000020020000}"/>
    <cellStyle name="Normal 13" xfId="547" xr:uid="{00000000-0005-0000-0000-000021020000}"/>
    <cellStyle name="Normal 14" xfId="548" xr:uid="{00000000-0005-0000-0000-000022020000}"/>
    <cellStyle name="Normal 15" xfId="549" xr:uid="{00000000-0005-0000-0000-000023020000}"/>
    <cellStyle name="Normal 16" xfId="5" xr:uid="{00000000-0005-0000-0000-000024020000}"/>
    <cellStyle name="Normal 16 2" xfId="6" xr:uid="{00000000-0005-0000-0000-000025020000}"/>
    <cellStyle name="Normal 17" xfId="550" xr:uid="{00000000-0005-0000-0000-000026020000}"/>
    <cellStyle name="Normal 18" xfId="551" xr:uid="{00000000-0005-0000-0000-000027020000}"/>
    <cellStyle name="Normal 19" xfId="784" xr:uid="{00000000-0005-0000-0000-000028020000}"/>
    <cellStyle name="Normal 2" xfId="4" xr:uid="{00000000-0005-0000-0000-000029020000}"/>
    <cellStyle name="Normal 2 10" xfId="552" xr:uid="{00000000-0005-0000-0000-00002A020000}"/>
    <cellStyle name="Normal 2 11" xfId="553" xr:uid="{00000000-0005-0000-0000-00002B020000}"/>
    <cellStyle name="Normal 2 12" xfId="554" xr:uid="{00000000-0005-0000-0000-00002C020000}"/>
    <cellStyle name="Normal 2 13" xfId="555" xr:uid="{00000000-0005-0000-0000-00002D020000}"/>
    <cellStyle name="Normal 2 14" xfId="556" xr:uid="{00000000-0005-0000-0000-00002E020000}"/>
    <cellStyle name="Normal 2 15" xfId="557" xr:uid="{00000000-0005-0000-0000-00002F020000}"/>
    <cellStyle name="Normal 2 16" xfId="558" xr:uid="{00000000-0005-0000-0000-000030020000}"/>
    <cellStyle name="Normal 2 17" xfId="559" xr:uid="{00000000-0005-0000-0000-000031020000}"/>
    <cellStyle name="Normal 2 18" xfId="560" xr:uid="{00000000-0005-0000-0000-000032020000}"/>
    <cellStyle name="Normal 2 19" xfId="561" xr:uid="{00000000-0005-0000-0000-000033020000}"/>
    <cellStyle name="Normal 2 2" xfId="562" xr:uid="{00000000-0005-0000-0000-000034020000}"/>
    <cellStyle name="Normal 2 20" xfId="563" xr:uid="{00000000-0005-0000-0000-000035020000}"/>
    <cellStyle name="Normal 2 21" xfId="564" xr:uid="{00000000-0005-0000-0000-000036020000}"/>
    <cellStyle name="Normal 2 22" xfId="565" xr:uid="{00000000-0005-0000-0000-000037020000}"/>
    <cellStyle name="Normal 2 23" xfId="566" xr:uid="{00000000-0005-0000-0000-000038020000}"/>
    <cellStyle name="Normal 2 24" xfId="567" xr:uid="{00000000-0005-0000-0000-000039020000}"/>
    <cellStyle name="Normal 2 25" xfId="568" xr:uid="{00000000-0005-0000-0000-00003A020000}"/>
    <cellStyle name="Normal 2 26" xfId="569" xr:uid="{00000000-0005-0000-0000-00003B020000}"/>
    <cellStyle name="Normal 2 27" xfId="570" xr:uid="{00000000-0005-0000-0000-00003C020000}"/>
    <cellStyle name="Normal 2 28" xfId="571" xr:uid="{00000000-0005-0000-0000-00003D020000}"/>
    <cellStyle name="Normal 2 3" xfId="572" xr:uid="{00000000-0005-0000-0000-00003E020000}"/>
    <cellStyle name="Normal 2 4" xfId="573" xr:uid="{00000000-0005-0000-0000-00003F020000}"/>
    <cellStyle name="Normal 2 5" xfId="574" xr:uid="{00000000-0005-0000-0000-000040020000}"/>
    <cellStyle name="Normal 2 6" xfId="575" xr:uid="{00000000-0005-0000-0000-000041020000}"/>
    <cellStyle name="Normal 2 7" xfId="576" xr:uid="{00000000-0005-0000-0000-000042020000}"/>
    <cellStyle name="Normal 2 8" xfId="577" xr:uid="{00000000-0005-0000-0000-000043020000}"/>
    <cellStyle name="Normal 2 9" xfId="578" xr:uid="{00000000-0005-0000-0000-000044020000}"/>
    <cellStyle name="Normal 20" xfId="785" xr:uid="{00000000-0005-0000-0000-000045020000}"/>
    <cellStyle name="Normal 27" xfId="579" xr:uid="{00000000-0005-0000-0000-000046020000}"/>
    <cellStyle name="Normal 28" xfId="580" xr:uid="{00000000-0005-0000-0000-000047020000}"/>
    <cellStyle name="Normal 29" xfId="581" xr:uid="{00000000-0005-0000-0000-000048020000}"/>
    <cellStyle name="Normal 3" xfId="582" xr:uid="{00000000-0005-0000-0000-000049020000}"/>
    <cellStyle name="Normal 3 2" xfId="583" xr:uid="{00000000-0005-0000-0000-00004A020000}"/>
    <cellStyle name="Normal 3 3" xfId="584" xr:uid="{00000000-0005-0000-0000-00004B020000}"/>
    <cellStyle name="Normal 3_VOLT_Bliss_WSMR_IMOD_Phase 6_Draft_r2_Wade" xfId="585" xr:uid="{00000000-0005-0000-0000-00004C020000}"/>
    <cellStyle name="Normal 4" xfId="586" xr:uid="{00000000-0005-0000-0000-00004D020000}"/>
    <cellStyle name="Normal 4 2" xfId="587" xr:uid="{00000000-0005-0000-0000-00004E020000}"/>
    <cellStyle name="Normal 4 3" xfId="588" xr:uid="{00000000-0005-0000-0000-00004F020000}"/>
    <cellStyle name="Normal 4_VOLT_Bliss_WSMR_IMOD_Phase 6_Draft_r2_Wade" xfId="589" xr:uid="{00000000-0005-0000-0000-000050020000}"/>
    <cellStyle name="Normal 5" xfId="590" xr:uid="{00000000-0005-0000-0000-000051020000}"/>
    <cellStyle name="Normal 5 2" xfId="591" xr:uid="{00000000-0005-0000-0000-000052020000}"/>
    <cellStyle name="Normal 5 3" xfId="592" xr:uid="{00000000-0005-0000-0000-000053020000}"/>
    <cellStyle name="Normal 5_VOLT_Bliss_WSMR_IMOD_Phase 6_Draft_r2_Wade" xfId="593" xr:uid="{00000000-0005-0000-0000-000054020000}"/>
    <cellStyle name="Normal 6" xfId="594" xr:uid="{00000000-0005-0000-0000-000055020000}"/>
    <cellStyle name="Normal 6 2" xfId="595" xr:uid="{00000000-0005-0000-0000-000056020000}"/>
    <cellStyle name="Normal 6 3" xfId="596" xr:uid="{00000000-0005-0000-0000-000057020000}"/>
    <cellStyle name="Normal 6_VOLT_Bliss_WSMR_IMOD_Phase 6_Draft_r2_Wade" xfId="597" xr:uid="{00000000-0005-0000-0000-000058020000}"/>
    <cellStyle name="Normal 7" xfId="598" xr:uid="{00000000-0005-0000-0000-000059020000}"/>
    <cellStyle name="Normal 7 2" xfId="599" xr:uid="{00000000-0005-0000-0000-00005A020000}"/>
    <cellStyle name="Normal 7 3" xfId="600" xr:uid="{00000000-0005-0000-0000-00005B020000}"/>
    <cellStyle name="Normal 7_VOLT_Bliss_WSMR_IMOD_Phase 6_Draft_r2_Wade" xfId="601" xr:uid="{00000000-0005-0000-0000-00005C020000}"/>
    <cellStyle name="Normal 8" xfId="602" xr:uid="{00000000-0005-0000-0000-00005D020000}"/>
    <cellStyle name="Normal 8 2" xfId="603" xr:uid="{00000000-0005-0000-0000-00005E020000}"/>
    <cellStyle name="Normal 8 3" xfId="604" xr:uid="{00000000-0005-0000-0000-00005F020000}"/>
    <cellStyle name="Normal 8_VOLT_Bliss_WSMR_IMOD_Phase 6_Draft_r2_Wade" xfId="605" xr:uid="{00000000-0005-0000-0000-000060020000}"/>
    <cellStyle name="Normal 9" xfId="606" xr:uid="{00000000-0005-0000-0000-000061020000}"/>
    <cellStyle name="Normal 9 2" xfId="607" xr:uid="{00000000-0005-0000-0000-000062020000}"/>
    <cellStyle name="Normal 9 3" xfId="608" xr:uid="{00000000-0005-0000-0000-000063020000}"/>
    <cellStyle name="Normal 9_VOLT_Bliss_WSMR_IMOD_Phase 6_Draft_r2_Wade" xfId="609" xr:uid="{00000000-0005-0000-0000-000064020000}"/>
    <cellStyle name="Normal_Copy of TORP 1 tech template 050809 0840" xfId="787" xr:uid="{00000000-0005-0000-0000-000065020000}"/>
    <cellStyle name="NotOnPriceList" xfId="610" xr:uid="{00000000-0005-0000-0000-000066020000}"/>
    <cellStyle name="Number EMC" xfId="611" xr:uid="{00000000-0005-0000-0000-000067020000}"/>
    <cellStyle name="Œ…‹æØ‚è [0.00]_laroux" xfId="612" xr:uid="{00000000-0005-0000-0000-000068020000}"/>
    <cellStyle name="Œ…‹æØ‚è_laroux" xfId="613" xr:uid="{00000000-0005-0000-0000-000069020000}"/>
    <cellStyle name="OrderFormLabel" xfId="614" xr:uid="{00000000-0005-0000-0000-00006A020000}"/>
    <cellStyle name="Output Amounts" xfId="615" xr:uid="{00000000-0005-0000-0000-00006B020000}"/>
    <cellStyle name="Output Column Headings" xfId="616" xr:uid="{00000000-0005-0000-0000-00006C020000}"/>
    <cellStyle name="Output Line Items" xfId="617" xr:uid="{00000000-0005-0000-0000-00006D020000}"/>
    <cellStyle name="Output Report Heading" xfId="618" xr:uid="{00000000-0005-0000-0000-00006E020000}"/>
    <cellStyle name="Output Report Title" xfId="619" xr:uid="{00000000-0005-0000-0000-00006F020000}"/>
    <cellStyle name="part#" xfId="620" xr:uid="{00000000-0005-0000-0000-000070020000}"/>
    <cellStyle name="per.style" xfId="621" xr:uid="{00000000-0005-0000-0000-000071020000}"/>
    <cellStyle name="Percen - Style1" xfId="622" xr:uid="{00000000-0005-0000-0000-000072020000}"/>
    <cellStyle name="Percen - Style2" xfId="623" xr:uid="{00000000-0005-0000-0000-000073020000}"/>
    <cellStyle name="Percen - Style3" xfId="624" xr:uid="{00000000-0005-0000-0000-000074020000}"/>
    <cellStyle name="Percent [0]" xfId="625" xr:uid="{00000000-0005-0000-0000-000075020000}"/>
    <cellStyle name="Percent [00]" xfId="626" xr:uid="{00000000-0005-0000-0000-000076020000}"/>
    <cellStyle name="Percent [2]" xfId="627" xr:uid="{00000000-0005-0000-0000-000077020000}"/>
    <cellStyle name="Percent [2] 2" xfId="628" xr:uid="{00000000-0005-0000-0000-000078020000}"/>
    <cellStyle name="Percent [2] 3" xfId="629" xr:uid="{00000000-0005-0000-0000-000079020000}"/>
    <cellStyle name="Percent 1" xfId="630" xr:uid="{00000000-0005-0000-0000-00007A020000}"/>
    <cellStyle name="Percent 2" xfId="631" xr:uid="{00000000-0005-0000-0000-00007B020000}"/>
    <cellStyle name="Percent 3" xfId="632" xr:uid="{00000000-0005-0000-0000-00007C020000}"/>
    <cellStyle name="Percent 5" xfId="633" xr:uid="{00000000-0005-0000-0000-00007D020000}"/>
    <cellStyle name="Percent 5 2" xfId="634" xr:uid="{00000000-0005-0000-0000-00007E020000}"/>
    <cellStyle name="Percent 5 3" xfId="635" xr:uid="{00000000-0005-0000-0000-00007F020000}"/>
    <cellStyle name="Percent0 EMC" xfId="636" xr:uid="{00000000-0005-0000-0000-000080020000}"/>
    <cellStyle name="Percent1 EMC" xfId="637" xr:uid="{00000000-0005-0000-0000-000081020000}"/>
    <cellStyle name="PercntBox" xfId="638" xr:uid="{00000000-0005-0000-0000-000082020000}"/>
    <cellStyle name="Pourcentage_Feuil1" xfId="639" xr:uid="{00000000-0005-0000-0000-000083020000}"/>
    <cellStyle name="PrePop Currency (0)" xfId="640" xr:uid="{00000000-0005-0000-0000-000084020000}"/>
    <cellStyle name="PrePop Currency (2)" xfId="641" xr:uid="{00000000-0005-0000-0000-000085020000}"/>
    <cellStyle name="PrePop Units (0)" xfId="642" xr:uid="{00000000-0005-0000-0000-000086020000}"/>
    <cellStyle name="PrePop Units (1)" xfId="643" xr:uid="{00000000-0005-0000-0000-000087020000}"/>
    <cellStyle name="PrePop Units (2)" xfId="644" xr:uid="{00000000-0005-0000-0000-000088020000}"/>
    <cellStyle name="Price" xfId="645" xr:uid="{00000000-0005-0000-0000-000089020000}"/>
    <cellStyle name="PriceChange" xfId="646" xr:uid="{00000000-0005-0000-0000-00008A020000}"/>
    <cellStyle name="Product Header" xfId="647" xr:uid="{00000000-0005-0000-0000-00008B020000}"/>
    <cellStyle name="PROJ_NUM" xfId="648" xr:uid="{00000000-0005-0000-0000-00008C020000}"/>
    <cellStyle name="PropGenCurrencyFormat" xfId="649" xr:uid="{00000000-0005-0000-0000-00008D020000}"/>
    <cellStyle name="Proposal" xfId="650" xr:uid="{00000000-0005-0000-0000-00008E020000}"/>
    <cellStyle name="PSChar" xfId="651" xr:uid="{00000000-0005-0000-0000-00008F020000}"/>
    <cellStyle name="PSDate" xfId="652" xr:uid="{00000000-0005-0000-0000-000090020000}"/>
    <cellStyle name="PSDate 10" xfId="653" xr:uid="{00000000-0005-0000-0000-000091020000}"/>
    <cellStyle name="PSDate 11" xfId="654" xr:uid="{00000000-0005-0000-0000-000092020000}"/>
    <cellStyle name="PSDate 12" xfId="655" xr:uid="{00000000-0005-0000-0000-000093020000}"/>
    <cellStyle name="PSDate 13" xfId="656" xr:uid="{00000000-0005-0000-0000-000094020000}"/>
    <cellStyle name="PSDate 14" xfId="657" xr:uid="{00000000-0005-0000-0000-000095020000}"/>
    <cellStyle name="PSDate 15" xfId="658" xr:uid="{00000000-0005-0000-0000-000096020000}"/>
    <cellStyle name="PSDate 16" xfId="659" xr:uid="{00000000-0005-0000-0000-000097020000}"/>
    <cellStyle name="PSDate 17" xfId="660" xr:uid="{00000000-0005-0000-0000-000098020000}"/>
    <cellStyle name="PSDate 18" xfId="661" xr:uid="{00000000-0005-0000-0000-000099020000}"/>
    <cellStyle name="PSDate 19" xfId="662" xr:uid="{00000000-0005-0000-0000-00009A020000}"/>
    <cellStyle name="PSDate 2" xfId="663" xr:uid="{00000000-0005-0000-0000-00009B020000}"/>
    <cellStyle name="PSDate 20" xfId="664" xr:uid="{00000000-0005-0000-0000-00009C020000}"/>
    <cellStyle name="PSDate 21" xfId="665" xr:uid="{00000000-0005-0000-0000-00009D020000}"/>
    <cellStyle name="PSDate 22" xfId="666" xr:uid="{00000000-0005-0000-0000-00009E020000}"/>
    <cellStyle name="PSDate 23" xfId="667" xr:uid="{00000000-0005-0000-0000-00009F020000}"/>
    <cellStyle name="PSDate 24" xfId="668" xr:uid="{00000000-0005-0000-0000-0000A0020000}"/>
    <cellStyle name="PSDate 25" xfId="669" xr:uid="{00000000-0005-0000-0000-0000A1020000}"/>
    <cellStyle name="PSDate 26" xfId="670" xr:uid="{00000000-0005-0000-0000-0000A2020000}"/>
    <cellStyle name="PSDate 27" xfId="671" xr:uid="{00000000-0005-0000-0000-0000A3020000}"/>
    <cellStyle name="PSDate 3" xfId="672" xr:uid="{00000000-0005-0000-0000-0000A4020000}"/>
    <cellStyle name="PSDate 4" xfId="673" xr:uid="{00000000-0005-0000-0000-0000A5020000}"/>
    <cellStyle name="PSDate 5" xfId="674" xr:uid="{00000000-0005-0000-0000-0000A6020000}"/>
    <cellStyle name="PSDate 6" xfId="675" xr:uid="{00000000-0005-0000-0000-0000A7020000}"/>
    <cellStyle name="PSDate 7" xfId="676" xr:uid="{00000000-0005-0000-0000-0000A8020000}"/>
    <cellStyle name="PSDate 8" xfId="677" xr:uid="{00000000-0005-0000-0000-0000A9020000}"/>
    <cellStyle name="PSDate 9" xfId="678" xr:uid="{00000000-0005-0000-0000-0000AA020000}"/>
    <cellStyle name="PSDec" xfId="679" xr:uid="{00000000-0005-0000-0000-0000AB020000}"/>
    <cellStyle name="PSHeading" xfId="680" xr:uid="{00000000-0005-0000-0000-0000AC020000}"/>
    <cellStyle name="PSInt" xfId="681" xr:uid="{00000000-0005-0000-0000-0000AD020000}"/>
    <cellStyle name="PSSpacer" xfId="682" xr:uid="{00000000-0005-0000-0000-0000AE020000}"/>
    <cellStyle name="PSSpacer 10" xfId="683" xr:uid="{00000000-0005-0000-0000-0000AF020000}"/>
    <cellStyle name="PSSpacer 11" xfId="684" xr:uid="{00000000-0005-0000-0000-0000B0020000}"/>
    <cellStyle name="PSSpacer 12" xfId="685" xr:uid="{00000000-0005-0000-0000-0000B1020000}"/>
    <cellStyle name="PSSpacer 13" xfId="686" xr:uid="{00000000-0005-0000-0000-0000B2020000}"/>
    <cellStyle name="PSSpacer 14" xfId="687" xr:uid="{00000000-0005-0000-0000-0000B3020000}"/>
    <cellStyle name="PSSpacer 15" xfId="688" xr:uid="{00000000-0005-0000-0000-0000B4020000}"/>
    <cellStyle name="PSSpacer 16" xfId="689" xr:uid="{00000000-0005-0000-0000-0000B5020000}"/>
    <cellStyle name="PSSpacer 17" xfId="690" xr:uid="{00000000-0005-0000-0000-0000B6020000}"/>
    <cellStyle name="PSSpacer 18" xfId="691" xr:uid="{00000000-0005-0000-0000-0000B7020000}"/>
    <cellStyle name="PSSpacer 19" xfId="692" xr:uid="{00000000-0005-0000-0000-0000B8020000}"/>
    <cellStyle name="PSSpacer 2" xfId="693" xr:uid="{00000000-0005-0000-0000-0000B9020000}"/>
    <cellStyle name="PSSpacer 20" xfId="694" xr:uid="{00000000-0005-0000-0000-0000BA020000}"/>
    <cellStyle name="PSSpacer 21" xfId="695" xr:uid="{00000000-0005-0000-0000-0000BB020000}"/>
    <cellStyle name="PSSpacer 22" xfId="696" xr:uid="{00000000-0005-0000-0000-0000BC020000}"/>
    <cellStyle name="PSSpacer 23" xfId="697" xr:uid="{00000000-0005-0000-0000-0000BD020000}"/>
    <cellStyle name="PSSpacer 24" xfId="698" xr:uid="{00000000-0005-0000-0000-0000BE020000}"/>
    <cellStyle name="PSSpacer 25" xfId="699" xr:uid="{00000000-0005-0000-0000-0000BF020000}"/>
    <cellStyle name="PSSpacer 26" xfId="700" xr:uid="{00000000-0005-0000-0000-0000C0020000}"/>
    <cellStyle name="PSSpacer 27" xfId="701" xr:uid="{00000000-0005-0000-0000-0000C1020000}"/>
    <cellStyle name="PSSpacer 3" xfId="702" xr:uid="{00000000-0005-0000-0000-0000C2020000}"/>
    <cellStyle name="PSSpacer 4" xfId="703" xr:uid="{00000000-0005-0000-0000-0000C3020000}"/>
    <cellStyle name="PSSpacer 5" xfId="704" xr:uid="{00000000-0005-0000-0000-0000C4020000}"/>
    <cellStyle name="PSSpacer 6" xfId="705" xr:uid="{00000000-0005-0000-0000-0000C5020000}"/>
    <cellStyle name="PSSpacer 7" xfId="706" xr:uid="{00000000-0005-0000-0000-0000C6020000}"/>
    <cellStyle name="PSSpacer 8" xfId="707" xr:uid="{00000000-0005-0000-0000-0000C7020000}"/>
    <cellStyle name="PSSpacer 9" xfId="708" xr:uid="{00000000-0005-0000-0000-0000C8020000}"/>
    <cellStyle name="Qty" xfId="709" xr:uid="{00000000-0005-0000-0000-0000C9020000}"/>
    <cellStyle name="QtyBox" xfId="710" xr:uid="{00000000-0005-0000-0000-0000CA020000}"/>
    <cellStyle name="QUOTEINFO" xfId="711" xr:uid="{00000000-0005-0000-0000-0000CB020000}"/>
    <cellStyle name="RAMEY" xfId="712" xr:uid="{00000000-0005-0000-0000-0000CC020000}"/>
    <cellStyle name="Ramey $k" xfId="713" xr:uid="{00000000-0005-0000-0000-0000CD020000}"/>
    <cellStyle name="RAMEY_P&amp;O BKUP" xfId="714" xr:uid="{00000000-0005-0000-0000-0000CE020000}"/>
    <cellStyle name="Released" xfId="715" xr:uid="{00000000-0005-0000-0000-0000CF020000}"/>
    <cellStyle name="Released-Short" xfId="716" xr:uid="{00000000-0005-0000-0000-0000D0020000}"/>
    <cellStyle name="Rhead" xfId="717" xr:uid="{00000000-0005-0000-0000-0000D1020000}"/>
    <cellStyle name="Rt Lin - Style2" xfId="718" xr:uid="{00000000-0005-0000-0000-0000D2020000}"/>
    <cellStyle name="Rtotal" xfId="719" xr:uid="{00000000-0005-0000-0000-0000D3020000}"/>
    <cellStyle name="Saisie" xfId="720" xr:uid="{00000000-0005-0000-0000-0000D4020000}"/>
    <cellStyle name="SectionSubTitle" xfId="721" xr:uid="{00000000-0005-0000-0000-0000D5020000}"/>
    <cellStyle name="SectionTitle" xfId="722" xr:uid="{00000000-0005-0000-0000-0000D6020000}"/>
    <cellStyle name="Sheet Title" xfId="723" xr:uid="{00000000-0005-0000-0000-0000D7020000}"/>
    <cellStyle name="SheetTitle" xfId="724" xr:uid="{00000000-0005-0000-0000-0000D8020000}"/>
    <cellStyle name="SpptMsg" xfId="725" xr:uid="{00000000-0005-0000-0000-0000D9020000}"/>
    <cellStyle name="Standard_AREAS" xfId="726" xr:uid="{00000000-0005-0000-0000-0000DA020000}"/>
    <cellStyle name="Stotal" xfId="727" xr:uid="{00000000-0005-0000-0000-0000DB020000}"/>
    <cellStyle name="STYL1 - Style1" xfId="728" xr:uid="{00000000-0005-0000-0000-0000DC020000}"/>
    <cellStyle name="STYL2 - Style2" xfId="729" xr:uid="{00000000-0005-0000-0000-0000DD020000}"/>
    <cellStyle name="STYLE - Style1" xfId="730" xr:uid="{00000000-0005-0000-0000-0000DE020000}"/>
    <cellStyle name="STYLE - Style2" xfId="731" xr:uid="{00000000-0005-0000-0000-0000DF020000}"/>
    <cellStyle name="Style 1" xfId="732" xr:uid="{00000000-0005-0000-0000-0000E0020000}"/>
    <cellStyle name="Style 144" xfId="733" xr:uid="{00000000-0005-0000-0000-0000E1020000}"/>
    <cellStyle name="Style 150" xfId="734" xr:uid="{00000000-0005-0000-0000-0000E2020000}"/>
    <cellStyle name="Style 165" xfId="735" xr:uid="{00000000-0005-0000-0000-0000E3020000}"/>
    <cellStyle name="Style 21" xfId="736" xr:uid="{00000000-0005-0000-0000-0000E4020000}"/>
    <cellStyle name="Style 24" xfId="737" xr:uid="{00000000-0005-0000-0000-0000E5020000}"/>
    <cellStyle name="Style 28" xfId="738" xr:uid="{00000000-0005-0000-0000-0000E6020000}"/>
    <cellStyle name="Style 29" xfId="739" xr:uid="{00000000-0005-0000-0000-0000E7020000}"/>
    <cellStyle name="Style 33" xfId="740" xr:uid="{00000000-0005-0000-0000-0000E8020000}"/>
    <cellStyle name="Style 34" xfId="741" xr:uid="{00000000-0005-0000-0000-0000E9020000}"/>
    <cellStyle name="Style 42" xfId="742" xr:uid="{00000000-0005-0000-0000-0000EA020000}"/>
    <cellStyle name="Style 86" xfId="743" xr:uid="{00000000-0005-0000-0000-0000EB020000}"/>
    <cellStyle name="Sub" xfId="744" xr:uid="{00000000-0005-0000-0000-0000EC020000}"/>
    <cellStyle name="Sub10" xfId="745" xr:uid="{00000000-0005-0000-0000-0000ED020000}"/>
    <cellStyle name="subhead" xfId="746" xr:uid="{00000000-0005-0000-0000-0000EE020000}"/>
    <cellStyle name="SubTotal1Text" xfId="747" xr:uid="{00000000-0005-0000-0000-0000EF020000}"/>
    <cellStyle name="Sum" xfId="748" xr:uid="{00000000-0005-0000-0000-0000F0020000}"/>
    <cellStyle name="Sum EPS" xfId="749" xr:uid="{00000000-0005-0000-0000-0000F1020000}"/>
    <cellStyle name="Sum IRR" xfId="750" xr:uid="{00000000-0005-0000-0000-0000F2020000}"/>
    <cellStyle name="Sum Margin" xfId="751" xr:uid="{00000000-0005-0000-0000-0000F3020000}"/>
    <cellStyle name="Sum Payback" xfId="752" xr:uid="{00000000-0005-0000-0000-0000F4020000}"/>
    <cellStyle name="Sum Title 1" xfId="753" xr:uid="{00000000-0005-0000-0000-0000F5020000}"/>
    <cellStyle name="Sum Title 2" xfId="754" xr:uid="{00000000-0005-0000-0000-0000F6020000}"/>
    <cellStyle name="Sum Title 3" xfId="755" xr:uid="{00000000-0005-0000-0000-0000F7020000}"/>
    <cellStyle name="Sum Title 4" xfId="756" xr:uid="{00000000-0005-0000-0000-0000F8020000}"/>
    <cellStyle name="Summary numbers" xfId="757" xr:uid="{00000000-0005-0000-0000-0000F9020000}"/>
    <cellStyle name="t3" xfId="758" xr:uid="{00000000-0005-0000-0000-0000FA020000}"/>
    <cellStyle name="Task Header" xfId="759" xr:uid="{00000000-0005-0000-0000-0000FB020000}"/>
    <cellStyle name="Text Indent A" xfId="760" xr:uid="{00000000-0005-0000-0000-0000FC020000}"/>
    <cellStyle name="Text Indent B" xfId="761" xr:uid="{00000000-0005-0000-0000-0000FD020000}"/>
    <cellStyle name="Text Indent C" xfId="762" xr:uid="{00000000-0005-0000-0000-0000FE020000}"/>
    <cellStyle name="þ_x0011_Í-&amp;ý&amp;‰ýG_x0008_Æ_x0009__x000a__x0007__x0001__x0001_" xfId="763" xr:uid="{00000000-0005-0000-0000-0000FF020000}"/>
    <cellStyle name="Thousands" xfId="764" xr:uid="{00000000-0005-0000-0000-000000030000}"/>
    <cellStyle name="Titel 2" xfId="765" xr:uid="{00000000-0005-0000-0000-000001030000}"/>
    <cellStyle name="Title (non-grap)" xfId="766" xr:uid="{00000000-0005-0000-0000-000002030000}"/>
    <cellStyle name="Title (non-wrap)" xfId="767" xr:uid="{00000000-0005-0000-0000-000003030000}"/>
    <cellStyle name="Title 2" xfId="768" xr:uid="{00000000-0005-0000-0000-000004030000}"/>
    <cellStyle name="Title 3" xfId="769" xr:uid="{00000000-0005-0000-0000-000005030000}"/>
    <cellStyle name="Title 4" xfId="770" xr:uid="{00000000-0005-0000-0000-000006030000}"/>
    <cellStyle name="Title24" xfId="771" xr:uid="{00000000-0005-0000-0000-000007030000}"/>
    <cellStyle name="Titre" xfId="772" xr:uid="{00000000-0005-0000-0000-000008030000}"/>
    <cellStyle name="Titre tableau" xfId="773" xr:uid="{00000000-0005-0000-0000-000009030000}"/>
    <cellStyle name="Total 2" xfId="774" xr:uid="{00000000-0005-0000-0000-00000A030000}"/>
    <cellStyle name="Total 3" xfId="775" xr:uid="{00000000-0005-0000-0000-00000B030000}"/>
    <cellStyle name="Total 4" xfId="776" xr:uid="{00000000-0005-0000-0000-00000C030000}"/>
    <cellStyle name="Underline" xfId="777" xr:uid="{00000000-0005-0000-0000-00000D030000}"/>
    <cellStyle name="Update" xfId="778" xr:uid="{00000000-0005-0000-0000-00000E030000}"/>
    <cellStyle name="User input" xfId="779" xr:uid="{00000000-0005-0000-0000-00000F030000}"/>
    <cellStyle name="Währung [0]_results" xfId="780" xr:uid="{00000000-0005-0000-0000-000010030000}"/>
    <cellStyle name="Währung_results" xfId="781" xr:uid="{00000000-0005-0000-0000-000011030000}"/>
    <cellStyle name="Year" xfId="782" xr:uid="{00000000-0005-0000-0000-000012030000}"/>
    <cellStyle name="標準_M180SE" xfId="783" xr:uid="{00000000-0005-0000-0000-000013030000}"/>
  </cellStyles>
  <dxfs count="54">
    <dxf>
      <font>
        <b/>
        <i val="0"/>
        <condense val="0"/>
        <extend val="0"/>
        <color indexed="10"/>
      </font>
      <fill>
        <patternFill>
          <bgColor indexed="43"/>
        </patternFill>
      </fill>
      <border>
        <left style="thin">
          <color indexed="10"/>
        </left>
        <right style="thin">
          <color indexed="10"/>
        </right>
        <top style="thin">
          <color indexed="10"/>
        </top>
        <bottom style="thin">
          <color indexed="10"/>
        </bottom>
      </border>
    </dxf>
    <dxf>
      <font>
        <b/>
        <i val="0"/>
        <condense val="0"/>
        <extend val="0"/>
        <color indexed="10"/>
      </font>
      <fill>
        <patternFill>
          <bgColor indexed="43"/>
        </patternFill>
      </fill>
      <border>
        <left style="thin">
          <color indexed="10"/>
        </left>
        <right style="thin">
          <color indexed="10"/>
        </right>
        <top style="thin">
          <color indexed="10"/>
        </top>
        <bottom style="thin">
          <color indexed="10"/>
        </bottom>
      </border>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ndense val="0"/>
        <extend val="0"/>
        <color indexed="10"/>
      </font>
      <fill>
        <patternFill>
          <bgColor indexed="26"/>
        </patternFill>
      </fill>
      <border>
        <left style="thin">
          <color indexed="10"/>
        </left>
        <right style="thin">
          <color indexed="10"/>
        </right>
        <top style="thin">
          <color indexed="10"/>
        </top>
        <bottom style="thin">
          <color indexed="10"/>
        </bottom>
      </border>
    </dxf>
    <dxf>
      <font>
        <b/>
        <i val="0"/>
        <condense val="0"/>
        <extend val="0"/>
        <color indexed="10"/>
      </font>
      <fill>
        <patternFill>
          <bgColor indexed="26"/>
        </patternFill>
      </fill>
      <border>
        <left style="thin">
          <color indexed="10"/>
        </left>
        <right style="thin">
          <color indexed="10"/>
        </right>
        <top style="thin">
          <color indexed="10"/>
        </top>
        <bottom style="thin">
          <color indexed="10"/>
        </bottom>
      </border>
    </dxf>
    <dxf>
      <font>
        <b/>
        <i val="0"/>
        <condense val="0"/>
        <extend val="0"/>
        <color indexed="10"/>
      </font>
      <fill>
        <patternFill>
          <bgColor indexed="26"/>
        </patternFill>
      </fill>
      <border>
        <left style="thin">
          <color indexed="10"/>
        </left>
        <right style="thin">
          <color indexed="10"/>
        </right>
        <top style="thin">
          <color indexed="10"/>
        </top>
        <bottom style="thin">
          <color indexed="10"/>
        </bottom>
      </border>
    </dxf>
    <dxf>
      <font>
        <b/>
        <i val="0"/>
        <condense val="0"/>
        <extend val="0"/>
        <color indexed="10"/>
      </font>
      <fill>
        <patternFill>
          <bgColor indexed="26"/>
        </patternFill>
      </fill>
      <border>
        <left style="thin">
          <color indexed="10"/>
        </left>
        <right style="thin">
          <color indexed="10"/>
        </right>
        <top style="thin">
          <color indexed="10"/>
        </top>
        <bottom style="thin">
          <color indexed="10"/>
        </bottom>
      </border>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dxf>
    <dxf>
      <font>
        <condense val="0"/>
        <extend val="0"/>
        <color indexed="9"/>
      </font>
      <fill>
        <patternFill>
          <bgColor indexed="10"/>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indexed="13"/>
        </patternFill>
      </fill>
    </dxf>
    <dxf>
      <fill>
        <patternFill>
          <bgColor rgb="FFFF0000"/>
        </patternFill>
      </fill>
    </dxf>
    <dxf>
      <fill>
        <patternFill>
          <bgColor indexed="13"/>
        </patternFill>
      </fill>
    </dxf>
    <dxf>
      <fill>
        <patternFill>
          <bgColor rgb="FFFF0000"/>
        </patternFill>
      </fill>
    </dxf>
    <dxf>
      <fill>
        <patternFill>
          <bgColor rgb="FFFFFF00"/>
        </patternFill>
      </fill>
    </dxf>
    <dxf>
      <fill>
        <patternFill>
          <bgColor rgb="FFFFFF00"/>
        </patternFill>
      </fill>
    </dxf>
    <dxf>
      <fill>
        <patternFill>
          <bgColor rgb="FFFFFF00"/>
        </patternFill>
      </fill>
    </dxf>
    <dxf>
      <font>
        <color theme="0"/>
      </font>
    </dxf>
    <dxf>
      <fill>
        <patternFill>
          <bgColor rgb="FFFFFF00"/>
        </patternFill>
      </fill>
    </dxf>
    <dxf>
      <font>
        <condense val="0"/>
        <extend val="0"/>
        <color indexed="9"/>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patternType="none">
          <bgColor auto="1"/>
        </patternFill>
      </fill>
    </dxf>
    <dxf>
      <fill>
        <patternFill>
          <bgColor rgb="FFFFFF00"/>
        </patternFill>
      </fill>
    </dxf>
    <dxf>
      <fill>
        <patternFill>
          <bgColor rgb="FFFFFF00"/>
        </patternFill>
      </fill>
    </dxf>
    <dxf>
      <font>
        <color theme="0"/>
      </font>
    </dxf>
    <dxf>
      <fill>
        <patternFill>
          <bgColor rgb="FFFFFF00"/>
        </patternFill>
      </fill>
    </dxf>
    <dxf>
      <font>
        <b/>
        <i val="0"/>
        <color theme="0"/>
      </font>
      <fill>
        <patternFill>
          <bgColor rgb="FFFF0000"/>
        </patternFill>
      </fill>
    </dxf>
    <dxf>
      <fill>
        <patternFill>
          <bgColor rgb="FFFFFF00"/>
        </patternFill>
      </fill>
    </dxf>
    <dxf>
      <fill>
        <patternFill>
          <bgColor rgb="FFFF0000"/>
        </patternFill>
      </fill>
    </dxf>
    <dxf>
      <font>
        <color theme="0"/>
      </font>
    </dxf>
    <dxf>
      <font>
        <b/>
        <i val="0"/>
        <color theme="0"/>
      </font>
      <fill>
        <patternFill>
          <bgColor rgb="FFFF0000"/>
        </patternFill>
      </fill>
    </dxf>
    <dxf>
      <font>
        <b/>
        <i val="0"/>
        <color theme="0"/>
      </font>
      <fill>
        <patternFill>
          <bgColor rgb="FFFF0000"/>
        </patternFill>
      </fill>
    </dxf>
  </dxfs>
  <tableStyles count="0" defaultTableStyle="TableStyleMedium9" defaultPivotStyle="PivotStyleLight16"/>
  <colors>
    <mruColors>
      <color rgb="FFFFCCFF"/>
      <color rgb="FFFF4541"/>
      <color rgb="FFFD4541"/>
      <color rgb="FFFD635F"/>
      <color rgb="FFFFCC99"/>
      <color rgb="FFFFFF99"/>
      <color rgb="FF9999FF"/>
      <color rgb="FF0000FF"/>
      <color rgb="FFFF66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38100</xdr:colOff>
          <xdr:row>60</xdr:row>
          <xdr:rowOff>50800</xdr:rowOff>
        </xdr:from>
        <xdr:to>
          <xdr:col>16</xdr:col>
          <xdr:colOff>203200</xdr:colOff>
          <xdr:row>60</xdr:row>
          <xdr:rowOff>209550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50800</xdr:colOff>
          <xdr:row>60</xdr:row>
          <xdr:rowOff>50800</xdr:rowOff>
        </xdr:from>
        <xdr:to>
          <xdr:col>14</xdr:col>
          <xdr:colOff>209550</xdr:colOff>
          <xdr:row>60</xdr:row>
          <xdr:rowOff>209550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50800</xdr:colOff>
          <xdr:row>73</xdr:row>
          <xdr:rowOff>50800</xdr:rowOff>
        </xdr:from>
        <xdr:to>
          <xdr:col>14</xdr:col>
          <xdr:colOff>209550</xdr:colOff>
          <xdr:row>73</xdr:row>
          <xdr:rowOff>209550</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73</xdr:row>
          <xdr:rowOff>50800</xdr:rowOff>
        </xdr:from>
        <xdr:to>
          <xdr:col>16</xdr:col>
          <xdr:colOff>203200</xdr:colOff>
          <xdr:row>73</xdr:row>
          <xdr:rowOff>209550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261</xdr:row>
          <xdr:rowOff>50800</xdr:rowOff>
        </xdr:from>
        <xdr:to>
          <xdr:col>14</xdr:col>
          <xdr:colOff>190500</xdr:colOff>
          <xdr:row>261</xdr:row>
          <xdr:rowOff>209550</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261</xdr:row>
          <xdr:rowOff>50800</xdr:rowOff>
        </xdr:from>
        <xdr:to>
          <xdr:col>16</xdr:col>
          <xdr:colOff>203200</xdr:colOff>
          <xdr:row>261</xdr:row>
          <xdr:rowOff>209550</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50800</xdr:colOff>
          <xdr:row>574</xdr:row>
          <xdr:rowOff>50800</xdr:rowOff>
        </xdr:from>
        <xdr:to>
          <xdr:col>14</xdr:col>
          <xdr:colOff>209550</xdr:colOff>
          <xdr:row>575</xdr:row>
          <xdr:rowOff>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574</xdr:row>
          <xdr:rowOff>50800</xdr:rowOff>
        </xdr:from>
        <xdr:to>
          <xdr:col>16</xdr:col>
          <xdr:colOff>203200</xdr:colOff>
          <xdr:row>575</xdr:row>
          <xdr:rowOff>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50800</xdr:colOff>
          <xdr:row>143</xdr:row>
          <xdr:rowOff>57150</xdr:rowOff>
        </xdr:from>
        <xdr:to>
          <xdr:col>14</xdr:col>
          <xdr:colOff>209550</xdr:colOff>
          <xdr:row>143</xdr:row>
          <xdr:rowOff>222250</xdr:rowOff>
        </xdr:to>
        <xdr:sp macro="" textlink="">
          <xdr:nvSpPr>
            <xdr:cNvPr id="1218" name="Button 194" hidden="1">
              <a:extLst>
                <a:ext uri="{63B3BB69-23CF-44E3-9099-C40C66FF867C}">
                  <a14:compatExt spid="_x0000_s1218"/>
                </a:ext>
                <a:ext uri="{FF2B5EF4-FFF2-40B4-BE49-F238E27FC236}">
                  <a16:creationId xmlns:a16="http://schemas.microsoft.com/office/drawing/2014/main" id="{00000000-0008-0000-0100-0000C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143</xdr:row>
          <xdr:rowOff>50800</xdr:rowOff>
        </xdr:from>
        <xdr:to>
          <xdr:col>16</xdr:col>
          <xdr:colOff>203200</xdr:colOff>
          <xdr:row>143</xdr:row>
          <xdr:rowOff>209550</xdr:rowOff>
        </xdr:to>
        <xdr:sp macro="" textlink="">
          <xdr:nvSpPr>
            <xdr:cNvPr id="1219" name="Button 195" hidden="1">
              <a:extLst>
                <a:ext uri="{63B3BB69-23CF-44E3-9099-C40C66FF867C}">
                  <a14:compatExt spid="_x0000_s1219"/>
                </a:ext>
                <a:ext uri="{FF2B5EF4-FFF2-40B4-BE49-F238E27FC236}">
                  <a16:creationId xmlns:a16="http://schemas.microsoft.com/office/drawing/2014/main" id="{00000000-0008-0000-0100-0000C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360</xdr:row>
          <xdr:rowOff>50800</xdr:rowOff>
        </xdr:from>
        <xdr:to>
          <xdr:col>14</xdr:col>
          <xdr:colOff>203200</xdr:colOff>
          <xdr:row>360</xdr:row>
          <xdr:rowOff>209550</xdr:rowOff>
        </xdr:to>
        <xdr:sp macro="" textlink="">
          <xdr:nvSpPr>
            <xdr:cNvPr id="1230" name="Button 206" hidden="1">
              <a:extLst>
                <a:ext uri="{63B3BB69-23CF-44E3-9099-C40C66FF867C}">
                  <a14:compatExt spid="_x0000_s1230"/>
                </a:ext>
                <a:ext uri="{FF2B5EF4-FFF2-40B4-BE49-F238E27FC236}">
                  <a16:creationId xmlns:a16="http://schemas.microsoft.com/office/drawing/2014/main" id="{00000000-0008-0000-0100-0000CE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360</xdr:row>
          <xdr:rowOff>50800</xdr:rowOff>
        </xdr:from>
        <xdr:to>
          <xdr:col>16</xdr:col>
          <xdr:colOff>203200</xdr:colOff>
          <xdr:row>360</xdr:row>
          <xdr:rowOff>209550</xdr:rowOff>
        </xdr:to>
        <xdr:sp macro="" textlink="">
          <xdr:nvSpPr>
            <xdr:cNvPr id="1231" name="Button 207" hidden="1">
              <a:extLst>
                <a:ext uri="{63B3BB69-23CF-44E3-9099-C40C66FF867C}">
                  <a14:compatExt spid="_x0000_s1231"/>
                </a:ext>
                <a:ext uri="{FF2B5EF4-FFF2-40B4-BE49-F238E27FC236}">
                  <a16:creationId xmlns:a16="http://schemas.microsoft.com/office/drawing/2014/main" id="{00000000-0008-0000-0100-0000C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30</xdr:row>
          <xdr:rowOff>38100</xdr:rowOff>
        </xdr:from>
        <xdr:to>
          <xdr:col>16</xdr:col>
          <xdr:colOff>165100</xdr:colOff>
          <xdr:row>30</xdr:row>
          <xdr:rowOff>203200</xdr:rowOff>
        </xdr:to>
        <xdr:sp macro="" textlink="">
          <xdr:nvSpPr>
            <xdr:cNvPr id="1239" name="Button 215" hidden="1">
              <a:extLst>
                <a:ext uri="{63B3BB69-23CF-44E3-9099-C40C66FF867C}">
                  <a14:compatExt spid="_x0000_s1239"/>
                </a:ext>
                <a:ext uri="{FF2B5EF4-FFF2-40B4-BE49-F238E27FC236}">
                  <a16:creationId xmlns:a16="http://schemas.microsoft.com/office/drawing/2014/main" id="{00000000-0008-0000-0100-0000D7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30</xdr:row>
          <xdr:rowOff>38100</xdr:rowOff>
        </xdr:from>
        <xdr:to>
          <xdr:col>14</xdr:col>
          <xdr:colOff>190500</xdr:colOff>
          <xdr:row>30</xdr:row>
          <xdr:rowOff>203200</xdr:rowOff>
        </xdr:to>
        <xdr:sp macro="" textlink="">
          <xdr:nvSpPr>
            <xdr:cNvPr id="1240" name="Button 216" hidden="1">
              <a:extLst>
                <a:ext uri="{63B3BB69-23CF-44E3-9099-C40C66FF867C}">
                  <a14:compatExt spid="_x0000_s1240"/>
                </a:ext>
                <a:ext uri="{FF2B5EF4-FFF2-40B4-BE49-F238E27FC236}">
                  <a16:creationId xmlns:a16="http://schemas.microsoft.com/office/drawing/2014/main" id="{00000000-0008-0000-0100-0000D8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38100</xdr:colOff>
          <xdr:row>73</xdr:row>
          <xdr:rowOff>0</xdr:rowOff>
        </xdr:from>
        <xdr:to>
          <xdr:col>16</xdr:col>
          <xdr:colOff>184150</xdr:colOff>
          <xdr:row>73</xdr:row>
          <xdr:rowOff>0</xdr:rowOff>
        </xdr:to>
        <xdr:sp macro="" textlink="">
          <xdr:nvSpPr>
            <xdr:cNvPr id="1403" name="Button 379" hidden="1">
              <a:extLst>
                <a:ext uri="{63B3BB69-23CF-44E3-9099-C40C66FF867C}">
                  <a14:compatExt spid="_x0000_s1403"/>
                </a:ext>
                <a:ext uri="{FF2B5EF4-FFF2-40B4-BE49-F238E27FC236}">
                  <a16:creationId xmlns:a16="http://schemas.microsoft.com/office/drawing/2014/main" id="{00000000-0008-0000-0100-00007B05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000" b="1" i="0" u="none" strike="noStrike" baseline="30000">
                  <a:solidFill>
                    <a:srgbClr val="0000FF"/>
                  </a:solidFill>
                  <a:latin typeface="Arial"/>
                  <a:cs typeface="Arial"/>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107950</xdr:colOff>
          <xdr:row>73</xdr:row>
          <xdr:rowOff>0</xdr:rowOff>
        </xdr:from>
        <xdr:to>
          <xdr:col>14</xdr:col>
          <xdr:colOff>247650</xdr:colOff>
          <xdr:row>73</xdr:row>
          <xdr:rowOff>0</xdr:rowOff>
        </xdr:to>
        <xdr:sp macro="" textlink="">
          <xdr:nvSpPr>
            <xdr:cNvPr id="1404" name="Button 380" hidden="1">
              <a:extLst>
                <a:ext uri="{63B3BB69-23CF-44E3-9099-C40C66FF867C}">
                  <a14:compatExt spid="_x0000_s1404"/>
                </a:ext>
                <a:ext uri="{FF2B5EF4-FFF2-40B4-BE49-F238E27FC236}">
                  <a16:creationId xmlns:a16="http://schemas.microsoft.com/office/drawing/2014/main" id="{00000000-0008-0000-0100-00007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700" b="1" i="0" u="none" strike="noStrike" baseline="0">
                  <a:solidFill>
                    <a:srgbClr val="0000FF"/>
                  </a:solidFill>
                  <a:latin typeface="Arial"/>
                  <a:cs typeface="Arial"/>
                </a:rPr>
                <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295</xdr:row>
          <xdr:rowOff>76200</xdr:rowOff>
        </xdr:from>
        <xdr:to>
          <xdr:col>14</xdr:col>
          <xdr:colOff>190500</xdr:colOff>
          <xdr:row>295</xdr:row>
          <xdr:rowOff>241300</xdr:rowOff>
        </xdr:to>
        <xdr:sp macro="" textlink="">
          <xdr:nvSpPr>
            <xdr:cNvPr id="1423" name="Button 399" hidden="1">
              <a:extLst>
                <a:ext uri="{63B3BB69-23CF-44E3-9099-C40C66FF867C}">
                  <a14:compatExt spid="_x0000_s1423"/>
                </a:ext>
                <a:ext uri="{FF2B5EF4-FFF2-40B4-BE49-F238E27FC236}">
                  <a16:creationId xmlns:a16="http://schemas.microsoft.com/office/drawing/2014/main" id="{00000000-0008-0000-0100-00008F0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295</xdr:row>
          <xdr:rowOff>69850</xdr:rowOff>
        </xdr:from>
        <xdr:to>
          <xdr:col>16</xdr:col>
          <xdr:colOff>190500</xdr:colOff>
          <xdr:row>295</xdr:row>
          <xdr:rowOff>228600</xdr:rowOff>
        </xdr:to>
        <xdr:sp macro="" textlink="">
          <xdr:nvSpPr>
            <xdr:cNvPr id="1424" name="Button 400" hidden="1">
              <a:extLst>
                <a:ext uri="{63B3BB69-23CF-44E3-9099-C40C66FF867C}">
                  <a14:compatExt spid="_x0000_s1424"/>
                </a:ext>
                <a:ext uri="{FF2B5EF4-FFF2-40B4-BE49-F238E27FC236}">
                  <a16:creationId xmlns:a16="http://schemas.microsoft.com/office/drawing/2014/main" id="{00000000-0008-0000-0100-0000900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317</xdr:row>
          <xdr:rowOff>76200</xdr:rowOff>
        </xdr:from>
        <xdr:to>
          <xdr:col>14</xdr:col>
          <xdr:colOff>184150</xdr:colOff>
          <xdr:row>317</xdr:row>
          <xdr:rowOff>241300</xdr:rowOff>
        </xdr:to>
        <xdr:sp macro="" textlink="">
          <xdr:nvSpPr>
            <xdr:cNvPr id="1426" name="Button 402" hidden="1">
              <a:extLst>
                <a:ext uri="{63B3BB69-23CF-44E3-9099-C40C66FF867C}">
                  <a14:compatExt spid="_x0000_s1426"/>
                </a:ext>
                <a:ext uri="{FF2B5EF4-FFF2-40B4-BE49-F238E27FC236}">
                  <a16:creationId xmlns:a16="http://schemas.microsoft.com/office/drawing/2014/main" id="{00000000-0008-0000-0100-0000920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317</xdr:row>
          <xdr:rowOff>88900</xdr:rowOff>
        </xdr:from>
        <xdr:to>
          <xdr:col>16</xdr:col>
          <xdr:colOff>184150</xdr:colOff>
          <xdr:row>317</xdr:row>
          <xdr:rowOff>247650</xdr:rowOff>
        </xdr:to>
        <xdr:sp macro="" textlink="">
          <xdr:nvSpPr>
            <xdr:cNvPr id="1427" name="Button 403" hidden="1">
              <a:extLst>
                <a:ext uri="{63B3BB69-23CF-44E3-9099-C40C66FF867C}">
                  <a14:compatExt spid="_x0000_s1427"/>
                </a:ext>
                <a:ext uri="{FF2B5EF4-FFF2-40B4-BE49-F238E27FC236}">
                  <a16:creationId xmlns:a16="http://schemas.microsoft.com/office/drawing/2014/main" id="{00000000-0008-0000-0100-0000930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491</xdr:row>
          <xdr:rowOff>88900</xdr:rowOff>
        </xdr:from>
        <xdr:to>
          <xdr:col>14</xdr:col>
          <xdr:colOff>190500</xdr:colOff>
          <xdr:row>491</xdr:row>
          <xdr:rowOff>247650</xdr:rowOff>
        </xdr:to>
        <xdr:sp macro="" textlink="">
          <xdr:nvSpPr>
            <xdr:cNvPr id="1428" name="Button 404" hidden="1">
              <a:extLst>
                <a:ext uri="{63B3BB69-23CF-44E3-9099-C40C66FF867C}">
                  <a14:compatExt spid="_x0000_s1428"/>
                </a:ext>
                <a:ext uri="{FF2B5EF4-FFF2-40B4-BE49-F238E27FC236}">
                  <a16:creationId xmlns:a16="http://schemas.microsoft.com/office/drawing/2014/main" id="{00000000-0008-0000-0100-0000940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491</xdr:row>
          <xdr:rowOff>76200</xdr:rowOff>
        </xdr:from>
        <xdr:to>
          <xdr:col>16</xdr:col>
          <xdr:colOff>184150</xdr:colOff>
          <xdr:row>491</xdr:row>
          <xdr:rowOff>241300</xdr:rowOff>
        </xdr:to>
        <xdr:sp macro="" textlink="">
          <xdr:nvSpPr>
            <xdr:cNvPr id="1429" name="Button 405" hidden="1">
              <a:extLst>
                <a:ext uri="{63B3BB69-23CF-44E3-9099-C40C66FF867C}">
                  <a14:compatExt spid="_x0000_s1429"/>
                </a:ext>
                <a:ext uri="{FF2B5EF4-FFF2-40B4-BE49-F238E27FC236}">
                  <a16:creationId xmlns:a16="http://schemas.microsoft.com/office/drawing/2014/main" id="{00000000-0008-0000-0100-0000950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513</xdr:row>
          <xdr:rowOff>76200</xdr:rowOff>
        </xdr:from>
        <xdr:to>
          <xdr:col>14</xdr:col>
          <xdr:colOff>184150</xdr:colOff>
          <xdr:row>513</xdr:row>
          <xdr:rowOff>241300</xdr:rowOff>
        </xdr:to>
        <xdr:sp macro="" textlink="">
          <xdr:nvSpPr>
            <xdr:cNvPr id="1430" name="Button 406" hidden="1">
              <a:extLst>
                <a:ext uri="{63B3BB69-23CF-44E3-9099-C40C66FF867C}">
                  <a14:compatExt spid="_x0000_s1430"/>
                </a:ext>
                <a:ext uri="{FF2B5EF4-FFF2-40B4-BE49-F238E27FC236}">
                  <a16:creationId xmlns:a16="http://schemas.microsoft.com/office/drawing/2014/main" id="{00000000-0008-0000-0100-0000960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513</xdr:row>
          <xdr:rowOff>76200</xdr:rowOff>
        </xdr:from>
        <xdr:to>
          <xdr:col>16</xdr:col>
          <xdr:colOff>203200</xdr:colOff>
          <xdr:row>513</xdr:row>
          <xdr:rowOff>241300</xdr:rowOff>
        </xdr:to>
        <xdr:sp macro="" textlink="">
          <xdr:nvSpPr>
            <xdr:cNvPr id="1431" name="Button 407" hidden="1">
              <a:extLst>
                <a:ext uri="{63B3BB69-23CF-44E3-9099-C40C66FF867C}">
                  <a14:compatExt spid="_x0000_s1431"/>
                </a:ext>
                <a:ext uri="{FF2B5EF4-FFF2-40B4-BE49-F238E27FC236}">
                  <a16:creationId xmlns:a16="http://schemas.microsoft.com/office/drawing/2014/main" id="{00000000-0008-0000-0100-0000970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74</xdr:row>
          <xdr:rowOff>38100</xdr:rowOff>
        </xdr:from>
        <xdr:to>
          <xdr:col>14</xdr:col>
          <xdr:colOff>222250</xdr:colOff>
          <xdr:row>74</xdr:row>
          <xdr:rowOff>203200</xdr:rowOff>
        </xdr:to>
        <xdr:sp macro="" textlink="">
          <xdr:nvSpPr>
            <xdr:cNvPr id="1440" name="Button 416" hidden="1">
              <a:extLst>
                <a:ext uri="{63B3BB69-23CF-44E3-9099-C40C66FF867C}">
                  <a14:compatExt spid="_x0000_s1440"/>
                </a:ext>
                <a:ext uri="{FF2B5EF4-FFF2-40B4-BE49-F238E27FC236}">
                  <a16:creationId xmlns:a16="http://schemas.microsoft.com/office/drawing/2014/main" id="{00000000-0008-0000-0100-0000A00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74</xdr:row>
          <xdr:rowOff>50800</xdr:rowOff>
        </xdr:from>
        <xdr:to>
          <xdr:col>16</xdr:col>
          <xdr:colOff>190500</xdr:colOff>
          <xdr:row>74</xdr:row>
          <xdr:rowOff>209550</xdr:rowOff>
        </xdr:to>
        <xdr:sp macro="" textlink="">
          <xdr:nvSpPr>
            <xdr:cNvPr id="1441" name="Button 417" hidden="1">
              <a:extLst>
                <a:ext uri="{63B3BB69-23CF-44E3-9099-C40C66FF867C}">
                  <a14:compatExt spid="_x0000_s1441"/>
                </a:ext>
                <a:ext uri="{FF2B5EF4-FFF2-40B4-BE49-F238E27FC236}">
                  <a16:creationId xmlns:a16="http://schemas.microsoft.com/office/drawing/2014/main" id="{00000000-0008-0000-0100-0000A10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144</xdr:row>
          <xdr:rowOff>38100</xdr:rowOff>
        </xdr:from>
        <xdr:to>
          <xdr:col>14</xdr:col>
          <xdr:colOff>222250</xdr:colOff>
          <xdr:row>144</xdr:row>
          <xdr:rowOff>203200</xdr:rowOff>
        </xdr:to>
        <xdr:sp macro="" textlink="">
          <xdr:nvSpPr>
            <xdr:cNvPr id="1444" name="Button 420" hidden="1">
              <a:extLst>
                <a:ext uri="{63B3BB69-23CF-44E3-9099-C40C66FF867C}">
                  <a14:compatExt spid="_x0000_s1444"/>
                </a:ext>
                <a:ext uri="{FF2B5EF4-FFF2-40B4-BE49-F238E27FC236}">
                  <a16:creationId xmlns:a16="http://schemas.microsoft.com/office/drawing/2014/main" id="{00000000-0008-0000-0100-0000A40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144</xdr:row>
          <xdr:rowOff>50800</xdr:rowOff>
        </xdr:from>
        <xdr:to>
          <xdr:col>16</xdr:col>
          <xdr:colOff>190500</xdr:colOff>
          <xdr:row>144</xdr:row>
          <xdr:rowOff>209550</xdr:rowOff>
        </xdr:to>
        <xdr:sp macro="" textlink="">
          <xdr:nvSpPr>
            <xdr:cNvPr id="1445" name="Button 421" hidden="1">
              <a:extLst>
                <a:ext uri="{63B3BB69-23CF-44E3-9099-C40C66FF867C}">
                  <a14:compatExt spid="_x0000_s1445"/>
                </a:ext>
                <a:ext uri="{FF2B5EF4-FFF2-40B4-BE49-F238E27FC236}">
                  <a16:creationId xmlns:a16="http://schemas.microsoft.com/office/drawing/2014/main" id="{00000000-0008-0000-0100-0000A50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50800</xdr:colOff>
          <xdr:row>208</xdr:row>
          <xdr:rowOff>57150</xdr:rowOff>
        </xdr:from>
        <xdr:to>
          <xdr:col>14</xdr:col>
          <xdr:colOff>209550</xdr:colOff>
          <xdr:row>208</xdr:row>
          <xdr:rowOff>222250</xdr:rowOff>
        </xdr:to>
        <xdr:sp macro="" textlink="">
          <xdr:nvSpPr>
            <xdr:cNvPr id="1446" name="Button 422" hidden="1">
              <a:extLst>
                <a:ext uri="{63B3BB69-23CF-44E3-9099-C40C66FF867C}">
                  <a14:compatExt spid="_x0000_s1446"/>
                </a:ext>
                <a:ext uri="{FF2B5EF4-FFF2-40B4-BE49-F238E27FC236}">
                  <a16:creationId xmlns:a16="http://schemas.microsoft.com/office/drawing/2014/main" id="{00000000-0008-0000-0100-0000A60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208</xdr:row>
          <xdr:rowOff>50800</xdr:rowOff>
        </xdr:from>
        <xdr:to>
          <xdr:col>16</xdr:col>
          <xdr:colOff>203200</xdr:colOff>
          <xdr:row>208</xdr:row>
          <xdr:rowOff>209550</xdr:rowOff>
        </xdr:to>
        <xdr:sp macro="" textlink="">
          <xdr:nvSpPr>
            <xdr:cNvPr id="1447" name="Button 423" hidden="1">
              <a:extLst>
                <a:ext uri="{63B3BB69-23CF-44E3-9099-C40C66FF867C}">
                  <a14:compatExt spid="_x0000_s1447"/>
                </a:ext>
                <a:ext uri="{FF2B5EF4-FFF2-40B4-BE49-F238E27FC236}">
                  <a16:creationId xmlns:a16="http://schemas.microsoft.com/office/drawing/2014/main" id="{00000000-0008-0000-0100-0000A70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38100</xdr:colOff>
          <xdr:row>37</xdr:row>
          <xdr:rowOff>0</xdr:rowOff>
        </xdr:from>
        <xdr:to>
          <xdr:col>16</xdr:col>
          <xdr:colOff>184150</xdr:colOff>
          <xdr:row>37</xdr:row>
          <xdr:rowOff>0</xdr:rowOff>
        </xdr:to>
        <xdr:sp macro="" textlink="">
          <xdr:nvSpPr>
            <xdr:cNvPr id="1462" name="Button 438" hidden="1">
              <a:extLst>
                <a:ext uri="{63B3BB69-23CF-44E3-9099-C40C66FF867C}">
                  <a14:compatExt spid="_x0000_s1462"/>
                </a:ext>
                <a:ext uri="{FF2B5EF4-FFF2-40B4-BE49-F238E27FC236}">
                  <a16:creationId xmlns:a16="http://schemas.microsoft.com/office/drawing/2014/main" id="{00000000-0008-0000-0100-0000B605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000" b="1" i="0" u="none" strike="noStrike" baseline="30000">
                  <a:solidFill>
                    <a:srgbClr val="0000FF"/>
                  </a:solidFill>
                  <a:latin typeface="Arial"/>
                  <a:cs typeface="Arial"/>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107950</xdr:colOff>
          <xdr:row>37</xdr:row>
          <xdr:rowOff>0</xdr:rowOff>
        </xdr:from>
        <xdr:to>
          <xdr:col>14</xdr:col>
          <xdr:colOff>247650</xdr:colOff>
          <xdr:row>37</xdr:row>
          <xdr:rowOff>0</xdr:rowOff>
        </xdr:to>
        <xdr:sp macro="" textlink="">
          <xdr:nvSpPr>
            <xdr:cNvPr id="1463" name="Button 439" hidden="1">
              <a:extLst>
                <a:ext uri="{63B3BB69-23CF-44E3-9099-C40C66FF867C}">
                  <a14:compatExt spid="_x0000_s1463"/>
                </a:ext>
                <a:ext uri="{FF2B5EF4-FFF2-40B4-BE49-F238E27FC236}">
                  <a16:creationId xmlns:a16="http://schemas.microsoft.com/office/drawing/2014/main" id="{00000000-0008-0000-0100-0000B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700" b="1" i="0" u="none" strike="noStrike" baseline="0">
                  <a:solidFill>
                    <a:srgbClr val="0000FF"/>
                  </a:solidFill>
                  <a:latin typeface="Arial"/>
                  <a:cs typeface="Arial"/>
                </a:rPr>
                <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37</xdr:row>
          <xdr:rowOff>50800</xdr:rowOff>
        </xdr:from>
        <xdr:to>
          <xdr:col>16</xdr:col>
          <xdr:colOff>203200</xdr:colOff>
          <xdr:row>37</xdr:row>
          <xdr:rowOff>209550</xdr:rowOff>
        </xdr:to>
        <xdr:sp macro="" textlink="">
          <xdr:nvSpPr>
            <xdr:cNvPr id="1464" name="Button 440" hidden="1">
              <a:extLst>
                <a:ext uri="{63B3BB69-23CF-44E3-9099-C40C66FF867C}">
                  <a14:compatExt spid="_x0000_s1464"/>
                </a:ext>
                <a:ext uri="{FF2B5EF4-FFF2-40B4-BE49-F238E27FC236}">
                  <a16:creationId xmlns:a16="http://schemas.microsoft.com/office/drawing/2014/main" id="{00000000-0008-0000-0100-0000B80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50800</xdr:colOff>
          <xdr:row>37</xdr:row>
          <xdr:rowOff>50800</xdr:rowOff>
        </xdr:from>
        <xdr:to>
          <xdr:col>14</xdr:col>
          <xdr:colOff>209550</xdr:colOff>
          <xdr:row>37</xdr:row>
          <xdr:rowOff>209550</xdr:rowOff>
        </xdr:to>
        <xdr:sp macro="" textlink="">
          <xdr:nvSpPr>
            <xdr:cNvPr id="1465" name="Button 441" hidden="1">
              <a:extLst>
                <a:ext uri="{63B3BB69-23CF-44E3-9099-C40C66FF867C}">
                  <a14:compatExt spid="_x0000_s1465"/>
                </a:ext>
                <a:ext uri="{FF2B5EF4-FFF2-40B4-BE49-F238E27FC236}">
                  <a16:creationId xmlns:a16="http://schemas.microsoft.com/office/drawing/2014/main" id="{00000000-0008-0000-0100-0000B90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50800</xdr:colOff>
          <xdr:row>551</xdr:row>
          <xdr:rowOff>50800</xdr:rowOff>
        </xdr:from>
        <xdr:to>
          <xdr:col>14</xdr:col>
          <xdr:colOff>209550</xdr:colOff>
          <xdr:row>552</xdr:row>
          <xdr:rowOff>0</xdr:rowOff>
        </xdr:to>
        <xdr:sp macro="" textlink="">
          <xdr:nvSpPr>
            <xdr:cNvPr id="1470" name="Button 446" hidden="1">
              <a:extLst>
                <a:ext uri="{63B3BB69-23CF-44E3-9099-C40C66FF867C}">
                  <a14:compatExt spid="_x0000_s1470"/>
                </a:ext>
                <a:ext uri="{FF2B5EF4-FFF2-40B4-BE49-F238E27FC236}">
                  <a16:creationId xmlns:a16="http://schemas.microsoft.com/office/drawing/2014/main" id="{00000000-0008-0000-0100-0000BE0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551</xdr:row>
          <xdr:rowOff>50800</xdr:rowOff>
        </xdr:from>
        <xdr:to>
          <xdr:col>16</xdr:col>
          <xdr:colOff>203200</xdr:colOff>
          <xdr:row>552</xdr:row>
          <xdr:rowOff>0</xdr:rowOff>
        </xdr:to>
        <xdr:sp macro="" textlink="">
          <xdr:nvSpPr>
            <xdr:cNvPr id="1471" name="Button 447" hidden="1">
              <a:extLst>
                <a:ext uri="{63B3BB69-23CF-44E3-9099-C40C66FF867C}">
                  <a14:compatExt spid="_x0000_s1471"/>
                </a:ext>
                <a:ext uri="{FF2B5EF4-FFF2-40B4-BE49-F238E27FC236}">
                  <a16:creationId xmlns:a16="http://schemas.microsoft.com/office/drawing/2014/main" id="{00000000-0008-0000-0100-0000BF0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38100</xdr:colOff>
          <xdr:row>46</xdr:row>
          <xdr:rowOff>0</xdr:rowOff>
        </xdr:from>
        <xdr:to>
          <xdr:col>16</xdr:col>
          <xdr:colOff>184150</xdr:colOff>
          <xdr:row>46</xdr:row>
          <xdr:rowOff>0</xdr:rowOff>
        </xdr:to>
        <xdr:sp macro="" textlink="">
          <xdr:nvSpPr>
            <xdr:cNvPr id="1472" name="Button 448" hidden="1">
              <a:extLst>
                <a:ext uri="{63B3BB69-23CF-44E3-9099-C40C66FF867C}">
                  <a14:compatExt spid="_x0000_s1472"/>
                </a:ext>
                <a:ext uri="{FF2B5EF4-FFF2-40B4-BE49-F238E27FC236}">
                  <a16:creationId xmlns:a16="http://schemas.microsoft.com/office/drawing/2014/main" id="{00000000-0008-0000-0100-0000C005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000" b="1" i="0" u="none" strike="noStrike" baseline="30000">
                  <a:solidFill>
                    <a:srgbClr val="0000FF"/>
                  </a:solidFill>
                  <a:latin typeface="Arial"/>
                  <a:cs typeface="Arial"/>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107950</xdr:colOff>
          <xdr:row>46</xdr:row>
          <xdr:rowOff>0</xdr:rowOff>
        </xdr:from>
        <xdr:to>
          <xdr:col>14</xdr:col>
          <xdr:colOff>247650</xdr:colOff>
          <xdr:row>46</xdr:row>
          <xdr:rowOff>0</xdr:rowOff>
        </xdr:to>
        <xdr:sp macro="" textlink="">
          <xdr:nvSpPr>
            <xdr:cNvPr id="1473" name="Button 449" hidden="1">
              <a:extLst>
                <a:ext uri="{63B3BB69-23CF-44E3-9099-C40C66FF867C}">
                  <a14:compatExt spid="_x0000_s1473"/>
                </a:ext>
                <a:ext uri="{FF2B5EF4-FFF2-40B4-BE49-F238E27FC236}">
                  <a16:creationId xmlns:a16="http://schemas.microsoft.com/office/drawing/2014/main" id="{00000000-0008-0000-0100-0000C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700" b="1" i="0" u="none" strike="noStrike" baseline="0">
                  <a:solidFill>
                    <a:srgbClr val="0000FF"/>
                  </a:solidFill>
                  <a:latin typeface="Arial"/>
                  <a:cs typeface="Arial"/>
                </a:rPr>
                <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46</xdr:row>
          <xdr:rowOff>50800</xdr:rowOff>
        </xdr:from>
        <xdr:to>
          <xdr:col>16</xdr:col>
          <xdr:colOff>203200</xdr:colOff>
          <xdr:row>46</xdr:row>
          <xdr:rowOff>209550</xdr:rowOff>
        </xdr:to>
        <xdr:sp macro="" textlink="">
          <xdr:nvSpPr>
            <xdr:cNvPr id="1474" name="Button 450" hidden="1">
              <a:extLst>
                <a:ext uri="{63B3BB69-23CF-44E3-9099-C40C66FF867C}">
                  <a14:compatExt spid="_x0000_s1474"/>
                </a:ext>
                <a:ext uri="{FF2B5EF4-FFF2-40B4-BE49-F238E27FC236}">
                  <a16:creationId xmlns:a16="http://schemas.microsoft.com/office/drawing/2014/main" id="{00000000-0008-0000-0100-0000C20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50800</xdr:colOff>
          <xdr:row>46</xdr:row>
          <xdr:rowOff>50800</xdr:rowOff>
        </xdr:from>
        <xdr:to>
          <xdr:col>14</xdr:col>
          <xdr:colOff>209550</xdr:colOff>
          <xdr:row>46</xdr:row>
          <xdr:rowOff>209550</xdr:rowOff>
        </xdr:to>
        <xdr:sp macro="" textlink="">
          <xdr:nvSpPr>
            <xdr:cNvPr id="1475" name="Button 451" hidden="1">
              <a:extLst>
                <a:ext uri="{63B3BB69-23CF-44E3-9099-C40C66FF867C}">
                  <a14:compatExt spid="_x0000_s1475"/>
                </a:ext>
                <a:ext uri="{FF2B5EF4-FFF2-40B4-BE49-F238E27FC236}">
                  <a16:creationId xmlns:a16="http://schemas.microsoft.com/office/drawing/2014/main" id="{00000000-0008-0000-0100-0000C30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15</xdr:col>
      <xdr:colOff>0</xdr:colOff>
      <xdr:row>95</xdr:row>
      <xdr:rowOff>0</xdr:rowOff>
    </xdr:from>
    <xdr:ext cx="4554601" cy="561436"/>
    <xdr:sp macro="" textlink="">
      <xdr:nvSpPr>
        <xdr:cNvPr id="2" name="Rectangle 1">
          <a:extLst>
            <a:ext uri="{FF2B5EF4-FFF2-40B4-BE49-F238E27FC236}">
              <a16:creationId xmlns:a16="http://schemas.microsoft.com/office/drawing/2014/main" id="{00000000-0008-0000-0400-000002000000}"/>
            </a:ext>
          </a:extLst>
        </xdr:cNvPr>
        <xdr:cNvSpPr/>
      </xdr:nvSpPr>
      <xdr:spPr>
        <a:xfrm>
          <a:off x="19259550" y="4038600"/>
          <a:ext cx="4554601" cy="561436"/>
        </a:xfrm>
        <a:prstGeom prst="rect">
          <a:avLst/>
        </a:prstGeom>
        <a:noFill/>
      </xdr:spPr>
      <xdr:txBody>
        <a:bodyPr wrap="square" lIns="91440" tIns="45720" rIns="91440" bIns="45720">
          <a:noAutofit/>
        </a:bodyPr>
        <a:lstStyle/>
        <a:p>
          <a:pPr algn="ctr"/>
          <a:endParaRPr lang="en-US" sz="2400" b="1" cap="none" spc="0">
            <a:ln w="10541" cmpd="sng">
              <a:solidFill>
                <a:srgbClr val="7D7D7D">
                  <a:tint val="100000"/>
                  <a:shade val="100000"/>
                  <a:satMod val="110000"/>
                </a:srgbClr>
              </a:solidFill>
              <a:prstDash val="solid"/>
            </a:ln>
            <a:gradFill>
              <a:gsLst>
                <a:gs pos="0">
                  <a:srgbClr val="FFFFFF">
                    <a:tint val="40000"/>
                    <a:satMod val="250000"/>
                  </a:srgbClr>
                </a:gs>
                <a:gs pos="9000">
                  <a:srgbClr val="FFFFFF">
                    <a:tint val="52000"/>
                    <a:satMod val="300000"/>
                  </a:srgbClr>
                </a:gs>
                <a:gs pos="50000">
                  <a:srgbClr val="FFFFFF">
                    <a:shade val="20000"/>
                    <a:satMod val="300000"/>
                  </a:srgbClr>
                </a:gs>
                <a:gs pos="79000">
                  <a:srgbClr val="FFFFFF">
                    <a:tint val="52000"/>
                    <a:satMod val="300000"/>
                  </a:srgbClr>
                </a:gs>
                <a:gs pos="100000">
                  <a:srgbClr val="FFFFFF">
                    <a:tint val="40000"/>
                    <a:satMod val="250000"/>
                  </a:srgbClr>
                </a:gs>
              </a:gsLst>
              <a:lin ang="5400000"/>
            </a:gradFill>
            <a:effectLst/>
          </a:endParaRPr>
        </a:p>
      </xdr:txBody>
    </xdr:sp>
    <xdr:clientData/>
  </xdr:oneCellAnchor>
  <xdr:oneCellAnchor>
    <xdr:from>
      <xdr:col>15</xdr:col>
      <xdr:colOff>0</xdr:colOff>
      <xdr:row>95</xdr:row>
      <xdr:rowOff>0</xdr:rowOff>
    </xdr:from>
    <xdr:ext cx="4554601" cy="561436"/>
    <xdr:sp macro="" textlink="">
      <xdr:nvSpPr>
        <xdr:cNvPr id="3" name="Rectangle 2">
          <a:extLst>
            <a:ext uri="{FF2B5EF4-FFF2-40B4-BE49-F238E27FC236}">
              <a16:creationId xmlns:a16="http://schemas.microsoft.com/office/drawing/2014/main" id="{00000000-0008-0000-0400-000003000000}"/>
            </a:ext>
          </a:extLst>
        </xdr:cNvPr>
        <xdr:cNvSpPr/>
      </xdr:nvSpPr>
      <xdr:spPr>
        <a:xfrm>
          <a:off x="17078325" y="3867150"/>
          <a:ext cx="4554601" cy="561436"/>
        </a:xfrm>
        <a:prstGeom prst="rect">
          <a:avLst/>
        </a:prstGeom>
        <a:noFill/>
      </xdr:spPr>
      <xdr:txBody>
        <a:bodyPr wrap="square" lIns="91440" tIns="45720" rIns="91440" bIns="45720">
          <a:noAutofit/>
        </a:bodyPr>
        <a:lstStyle/>
        <a:p>
          <a:pPr algn="ctr"/>
          <a:endParaRPr lang="en-US" sz="2400" b="1" cap="none" spc="0">
            <a:ln w="10541" cmpd="sng">
              <a:solidFill>
                <a:srgbClr val="7D7D7D">
                  <a:tint val="100000"/>
                  <a:shade val="100000"/>
                  <a:satMod val="110000"/>
                </a:srgbClr>
              </a:solidFill>
              <a:prstDash val="solid"/>
            </a:ln>
            <a:gradFill>
              <a:gsLst>
                <a:gs pos="0">
                  <a:srgbClr val="FFFFFF">
                    <a:tint val="40000"/>
                    <a:satMod val="250000"/>
                  </a:srgbClr>
                </a:gs>
                <a:gs pos="9000">
                  <a:srgbClr val="FFFFFF">
                    <a:tint val="52000"/>
                    <a:satMod val="300000"/>
                  </a:srgbClr>
                </a:gs>
                <a:gs pos="50000">
                  <a:srgbClr val="FFFFFF">
                    <a:shade val="20000"/>
                    <a:satMod val="300000"/>
                  </a:srgbClr>
                </a:gs>
                <a:gs pos="79000">
                  <a:srgbClr val="FFFFFF">
                    <a:tint val="52000"/>
                    <a:satMod val="300000"/>
                  </a:srgbClr>
                </a:gs>
                <a:gs pos="100000">
                  <a:srgbClr val="FFFFFF">
                    <a:tint val="40000"/>
                    <a:satMod val="250000"/>
                  </a:srgbClr>
                </a:gs>
              </a:gsLst>
              <a:lin ang="5400000"/>
            </a:gradFill>
            <a:effectLst/>
          </a:endParaRPr>
        </a:p>
      </xdr:txBody>
    </xdr:sp>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W729"/>
  <sheetViews>
    <sheetView tabSelected="1" topLeftCell="A37" zoomScaleNormal="100" workbookViewId="0">
      <selection activeCell="T23" sqref="T23"/>
    </sheetView>
  </sheetViews>
  <sheetFormatPr defaultColWidth="9.1796875" defaultRowHeight="12.5" zeroHeight="1"/>
  <cols>
    <col min="1" max="1" width="0.81640625" customWidth="1"/>
    <col min="2" max="2" width="8.453125" customWidth="1"/>
    <col min="3" max="8" width="13.7265625" customWidth="1"/>
    <col min="9" max="13" width="8.7265625" customWidth="1"/>
    <col min="14" max="15" width="7.7265625" customWidth="1"/>
    <col min="16" max="16" width="6.7265625" customWidth="1"/>
    <col min="17" max="18" width="7.7265625" customWidth="1"/>
    <col min="19" max="19" width="6.7265625" customWidth="1"/>
    <col min="20" max="20" width="9.26953125" bestFit="1" customWidth="1"/>
    <col min="21" max="22" width="5.7265625" customWidth="1"/>
    <col min="23" max="23" width="0.81640625" customWidth="1"/>
    <col min="24" max="27" width="5.7265625" style="7" customWidth="1"/>
    <col min="28" max="28" width="67.26953125" style="7" customWidth="1"/>
    <col min="29" max="29" width="23.26953125" customWidth="1"/>
    <col min="30" max="30" width="9.1796875" style="306" customWidth="1"/>
    <col min="31" max="49" width="9.1796875" style="74" customWidth="1"/>
  </cols>
  <sheetData>
    <row r="1" spans="1:34" ht="18.649999999999999" customHeight="1" thickBot="1">
      <c r="A1" s="1"/>
      <c r="B1" s="37" t="str">
        <f>'Change History'!C28</f>
        <v>NGEN CLIN 6AG Pricing Form</v>
      </c>
      <c r="C1" s="10"/>
      <c r="D1" s="10"/>
      <c r="E1" s="10"/>
      <c r="F1" s="10"/>
      <c r="G1" s="10"/>
      <c r="H1" s="10"/>
      <c r="I1" s="10"/>
      <c r="J1" s="10"/>
      <c r="K1" s="10"/>
      <c r="L1" s="10"/>
      <c r="M1" s="10"/>
      <c r="N1" s="10"/>
      <c r="O1" s="10"/>
      <c r="P1" s="10"/>
      <c r="Q1" s="384"/>
      <c r="R1" s="396"/>
      <c r="S1" s="10"/>
      <c r="T1" s="10"/>
      <c r="U1" s="11"/>
      <c r="V1" s="63" t="str">
        <f>"Version "&amp;FIXED('Change History'!A27,1)</f>
        <v>Version 4.0</v>
      </c>
      <c r="W1" s="1"/>
      <c r="X1" s="15"/>
      <c r="Y1" s="15"/>
      <c r="Z1" s="15"/>
      <c r="AA1" s="15"/>
      <c r="AB1" s="15"/>
      <c r="AC1" s="16"/>
      <c r="AG1" s="87"/>
      <c r="AH1" s="87"/>
    </row>
    <row r="2" spans="1:34" ht="6" customHeight="1">
      <c r="A2" s="1"/>
      <c r="B2" s="1"/>
      <c r="C2" s="1"/>
      <c r="D2" s="1"/>
      <c r="E2" s="1"/>
      <c r="F2" s="1"/>
      <c r="G2" s="1"/>
      <c r="H2" s="1"/>
      <c r="I2" s="1"/>
      <c r="J2" s="1"/>
      <c r="K2" s="1"/>
      <c r="L2" s="1"/>
      <c r="M2" s="1"/>
      <c r="N2" s="1"/>
      <c r="O2" s="1"/>
      <c r="P2" s="1"/>
      <c r="Q2" s="1"/>
      <c r="R2" s="1"/>
      <c r="S2" s="1"/>
      <c r="T2" s="1"/>
      <c r="U2" s="1"/>
      <c r="V2" s="1"/>
      <c r="W2" s="1"/>
      <c r="X2" s="15"/>
      <c r="Y2" s="15"/>
      <c r="Z2" s="15"/>
      <c r="AA2" s="15"/>
      <c r="AB2" s="15"/>
      <c r="AC2" s="16"/>
      <c r="AG2" s="87"/>
      <c r="AH2" s="87"/>
    </row>
    <row r="3" spans="1:34" ht="13">
      <c r="A3" s="1"/>
      <c r="B3" s="6" t="s">
        <v>125</v>
      </c>
      <c r="C3" s="443"/>
      <c r="D3" s="445"/>
      <c r="E3" s="444"/>
      <c r="F3" s="184" t="s">
        <v>1831</v>
      </c>
      <c r="G3" s="443"/>
      <c r="H3" s="444"/>
      <c r="I3" s="185"/>
      <c r="J3" s="3" t="s">
        <v>137</v>
      </c>
      <c r="K3" s="462"/>
      <c r="L3" s="463"/>
      <c r="M3" s="463"/>
      <c r="N3" s="463"/>
      <c r="O3" s="463"/>
      <c r="P3" s="463"/>
      <c r="Q3" s="463"/>
      <c r="R3" s="464"/>
      <c r="T3" s="3" t="s">
        <v>138</v>
      </c>
      <c r="U3" s="460">
        <v>43129</v>
      </c>
      <c r="V3" s="461"/>
      <c r="W3" s="1"/>
      <c r="X3" s="16"/>
      <c r="Y3" s="15"/>
      <c r="Z3" s="15"/>
      <c r="AA3" s="15"/>
      <c r="AB3" s="15"/>
      <c r="AC3" s="16"/>
      <c r="AG3" s="87"/>
      <c r="AH3" s="87"/>
    </row>
    <row r="4" spans="1:34" ht="4.5" customHeight="1">
      <c r="A4" s="1"/>
      <c r="B4" s="1"/>
      <c r="C4" s="1"/>
      <c r="D4" s="1"/>
      <c r="E4" s="1"/>
      <c r="F4" s="1"/>
      <c r="G4" s="1"/>
      <c r="H4" s="1"/>
      <c r="I4" s="1"/>
      <c r="J4" s="1"/>
      <c r="K4" s="1"/>
      <c r="L4" s="1"/>
      <c r="M4" s="1"/>
      <c r="N4" s="1"/>
      <c r="O4" s="1"/>
      <c r="P4" s="1"/>
      <c r="Q4" s="1"/>
      <c r="R4" s="1"/>
      <c r="S4" s="1"/>
      <c r="T4" s="1"/>
      <c r="U4" s="1"/>
      <c r="V4" s="1"/>
      <c r="W4" s="1"/>
      <c r="X4" s="16"/>
      <c r="Y4" s="15"/>
      <c r="Z4" s="15"/>
      <c r="AA4" s="15"/>
      <c r="AB4" s="15"/>
      <c r="AC4" s="16"/>
      <c r="AG4" s="87"/>
      <c r="AH4" s="87"/>
    </row>
    <row r="5" spans="1:34" ht="6" customHeight="1" thickBot="1">
      <c r="A5" s="1"/>
      <c r="B5" s="4"/>
      <c r="C5" s="4"/>
      <c r="D5" s="4"/>
      <c r="E5" s="4"/>
      <c r="F5" s="4"/>
      <c r="G5" s="4"/>
      <c r="H5" s="4"/>
      <c r="I5" s="4"/>
      <c r="J5" s="4"/>
      <c r="K5" s="4"/>
      <c r="L5" s="4"/>
      <c r="M5" s="4"/>
      <c r="N5" s="4"/>
      <c r="O5" s="4"/>
      <c r="P5" s="4"/>
      <c r="Q5" s="4"/>
      <c r="R5" s="4"/>
      <c r="S5" s="4"/>
      <c r="T5" s="4"/>
      <c r="U5" s="4"/>
      <c r="V5" s="4"/>
      <c r="W5" s="1"/>
      <c r="X5" s="16"/>
      <c r="Y5" s="15"/>
      <c r="Z5" s="15"/>
      <c r="AA5" s="15"/>
      <c r="AB5" s="15"/>
      <c r="AC5" s="16"/>
      <c r="AG5" s="87"/>
      <c r="AH5" s="87"/>
    </row>
    <row r="6" spans="1:34" ht="6" customHeight="1">
      <c r="A6" s="1"/>
      <c r="B6" s="1"/>
      <c r="C6" s="1"/>
      <c r="D6" s="1"/>
      <c r="E6" s="1"/>
      <c r="F6" s="1"/>
      <c r="G6" s="1"/>
      <c r="H6" s="1"/>
      <c r="I6" s="1"/>
      <c r="J6" s="1"/>
      <c r="K6" s="1"/>
      <c r="L6" s="1"/>
      <c r="M6" s="1"/>
      <c r="N6" s="1"/>
      <c r="O6" s="1"/>
      <c r="P6" s="1"/>
      <c r="Q6" s="1"/>
      <c r="R6" s="1"/>
      <c r="S6" s="1"/>
      <c r="T6" s="1"/>
      <c r="U6" s="1"/>
      <c r="V6" s="1"/>
      <c r="W6" s="1"/>
      <c r="X6" s="16"/>
      <c r="Y6" s="15"/>
      <c r="Z6" s="15"/>
      <c r="AA6" s="15"/>
      <c r="AB6" s="15"/>
      <c r="AC6" s="16"/>
      <c r="AG6" s="87"/>
      <c r="AH6" s="87"/>
    </row>
    <row r="7" spans="1:34" ht="14.5">
      <c r="A7" s="1"/>
      <c r="B7" s="5" t="s">
        <v>168</v>
      </c>
      <c r="C7" s="5"/>
      <c r="D7" s="1"/>
      <c r="E7" s="1"/>
      <c r="F7" s="1"/>
      <c r="G7" s="1"/>
      <c r="H7" s="1"/>
      <c r="I7" s="1"/>
      <c r="J7" s="1"/>
      <c r="K7" s="1"/>
      <c r="L7" s="1"/>
      <c r="M7" s="1"/>
      <c r="N7" s="1"/>
      <c r="O7" s="1"/>
      <c r="P7" s="1"/>
      <c r="Q7" s="1"/>
      <c r="R7" s="1"/>
      <c r="S7" s="1"/>
      <c r="T7" s="1"/>
      <c r="U7" s="1"/>
      <c r="V7" s="1"/>
      <c r="W7" s="1"/>
      <c r="X7" s="16"/>
      <c r="Y7" s="15"/>
      <c r="Z7" s="15"/>
      <c r="AA7" s="15"/>
      <c r="AB7" s="15"/>
      <c r="AC7" s="16"/>
      <c r="AG7" s="87"/>
      <c r="AH7" s="87"/>
    </row>
    <row r="8" spans="1:34">
      <c r="A8" s="1"/>
      <c r="B8" s="1"/>
      <c r="C8" s="3" t="s">
        <v>126</v>
      </c>
      <c r="D8" s="468"/>
      <c r="E8" s="469"/>
      <c r="F8" s="469"/>
      <c r="G8" s="469"/>
      <c r="H8" s="469"/>
      <c r="I8" s="469"/>
      <c r="J8" s="469"/>
      <c r="K8" s="469"/>
      <c r="L8" s="469"/>
      <c r="M8" s="470"/>
      <c r="N8" s="136" t="s">
        <v>180</v>
      </c>
      <c r="O8" s="465"/>
      <c r="P8" s="467"/>
      <c r="Q8" s="466"/>
      <c r="R8" s="186"/>
      <c r="S8" s="3" t="s">
        <v>140</v>
      </c>
      <c r="T8" s="465"/>
      <c r="U8" s="466"/>
      <c r="V8" s="1"/>
      <c r="W8" s="1"/>
      <c r="X8" s="15"/>
      <c r="Y8" s="15"/>
      <c r="Z8" s="15"/>
      <c r="AA8" s="15"/>
      <c r="AB8" s="15"/>
      <c r="AC8" s="16"/>
      <c r="AG8" s="87"/>
      <c r="AH8" s="87"/>
    </row>
    <row r="9" spans="1:34" ht="4.5" customHeight="1">
      <c r="A9" s="1"/>
      <c r="B9" s="1"/>
      <c r="C9" s="1"/>
      <c r="E9" s="1"/>
      <c r="F9" s="1"/>
      <c r="G9" s="1"/>
      <c r="H9" s="1"/>
      <c r="I9" s="1"/>
      <c r="J9" s="1"/>
      <c r="K9" s="1"/>
      <c r="L9" s="1"/>
      <c r="M9" s="1"/>
      <c r="N9" s="1"/>
      <c r="O9" s="1"/>
      <c r="P9" s="1"/>
      <c r="Q9" s="1"/>
      <c r="R9" s="1"/>
      <c r="S9" s="1"/>
      <c r="T9" s="1"/>
      <c r="U9" s="1"/>
      <c r="V9" s="1"/>
      <c r="W9" s="1"/>
      <c r="X9" s="15"/>
      <c r="Y9" s="15"/>
      <c r="Z9" s="15"/>
      <c r="AA9" s="15"/>
      <c r="AB9" s="15"/>
      <c r="AC9" s="16"/>
      <c r="AG9" s="87"/>
      <c r="AH9" s="87"/>
    </row>
    <row r="10" spans="1:34">
      <c r="A10" s="1"/>
      <c r="B10" s="1"/>
      <c r="C10" s="3"/>
      <c r="D10" s="3" t="s">
        <v>139</v>
      </c>
      <c r="E10" s="448"/>
      <c r="F10" s="449"/>
      <c r="G10" s="449"/>
      <c r="H10" s="450"/>
      <c r="I10" s="12" t="s">
        <v>124</v>
      </c>
      <c r="J10" s="451"/>
      <c r="K10" s="452"/>
      <c r="L10" s="453"/>
      <c r="M10" s="27" t="s">
        <v>141</v>
      </c>
      <c r="N10" s="471"/>
      <c r="O10" s="472"/>
      <c r="P10" s="472"/>
      <c r="Q10" s="472"/>
      <c r="R10" s="473"/>
      <c r="S10" s="1"/>
      <c r="T10" s="1"/>
      <c r="U10" s="1"/>
      <c r="V10" s="1"/>
      <c r="W10" s="1"/>
      <c r="X10" s="15"/>
      <c r="Y10" s="15"/>
      <c r="Z10" s="15"/>
      <c r="AA10" s="15"/>
      <c r="AB10" s="15"/>
      <c r="AC10" s="16"/>
      <c r="AG10" s="87"/>
      <c r="AH10" s="87"/>
    </row>
    <row r="11" spans="1:34" ht="4.5" customHeight="1">
      <c r="A11" s="1"/>
      <c r="B11" s="1"/>
      <c r="C11" s="1"/>
      <c r="E11" s="1"/>
      <c r="F11" s="1"/>
      <c r="G11" s="1"/>
      <c r="H11" s="1"/>
      <c r="I11" s="1"/>
      <c r="J11" s="1"/>
      <c r="K11" s="1"/>
      <c r="L11" s="1"/>
      <c r="M11" s="1"/>
      <c r="N11" s="1"/>
      <c r="O11" s="1"/>
      <c r="P11" s="1"/>
      <c r="Q11" s="1"/>
      <c r="R11" s="1"/>
      <c r="S11" s="1"/>
      <c r="T11" s="1"/>
      <c r="U11" s="1"/>
      <c r="V11" s="1"/>
      <c r="W11" s="1"/>
      <c r="X11" s="15"/>
      <c r="Y11" s="15"/>
      <c r="Z11" s="15"/>
      <c r="AA11" s="15"/>
      <c r="AB11" s="15"/>
      <c r="AC11" s="16"/>
      <c r="AG11" s="87"/>
      <c r="AH11" s="87"/>
    </row>
    <row r="12" spans="1:34">
      <c r="A12" s="1"/>
      <c r="B12" s="1"/>
      <c r="C12" s="3"/>
      <c r="D12" s="201" t="s">
        <v>447</v>
      </c>
      <c r="E12" s="448"/>
      <c r="F12" s="449"/>
      <c r="G12" s="449"/>
      <c r="H12" s="450"/>
      <c r="I12" s="12" t="s">
        <v>124</v>
      </c>
      <c r="J12" s="451"/>
      <c r="K12" s="452"/>
      <c r="L12" s="453"/>
      <c r="M12" s="27" t="s">
        <v>141</v>
      </c>
      <c r="N12" s="471"/>
      <c r="O12" s="472"/>
      <c r="P12" s="472"/>
      <c r="Q12" s="472"/>
      <c r="R12" s="473"/>
      <c r="S12" s="1"/>
      <c r="T12" s="1"/>
      <c r="U12" s="1"/>
      <c r="V12" s="1"/>
      <c r="W12" s="1"/>
      <c r="X12" s="15"/>
      <c r="Y12" s="15"/>
      <c r="Z12" s="15"/>
      <c r="AA12" s="15"/>
      <c r="AB12" s="15"/>
      <c r="AC12" s="16"/>
      <c r="AG12" s="87"/>
      <c r="AH12" s="87"/>
    </row>
    <row r="13" spans="1:34" ht="4.5" customHeight="1">
      <c r="A13" s="1"/>
      <c r="B13" s="1"/>
      <c r="C13" s="1"/>
      <c r="E13" s="1"/>
      <c r="F13" s="1"/>
      <c r="G13" s="1"/>
      <c r="H13" s="1"/>
      <c r="I13" s="1"/>
      <c r="J13" s="1"/>
      <c r="K13" s="1"/>
      <c r="L13" s="1"/>
      <c r="M13" s="1"/>
      <c r="N13" s="1"/>
      <c r="O13" s="1"/>
      <c r="P13" s="1"/>
      <c r="Q13" s="1"/>
      <c r="R13" s="1"/>
      <c r="S13" s="1"/>
      <c r="T13" s="1"/>
      <c r="U13" s="1"/>
      <c r="V13" s="1"/>
      <c r="W13" s="1"/>
      <c r="X13" s="15"/>
      <c r="Y13" s="15"/>
      <c r="Z13" s="15"/>
      <c r="AA13" s="15"/>
      <c r="AB13" s="15"/>
      <c r="AC13" s="16"/>
      <c r="AG13" s="87"/>
      <c r="AH13" s="87"/>
    </row>
    <row r="14" spans="1:34">
      <c r="A14" s="1"/>
      <c r="B14" s="1"/>
      <c r="C14" s="3"/>
      <c r="D14" s="3" t="s">
        <v>51</v>
      </c>
      <c r="E14" s="448"/>
      <c r="F14" s="449"/>
      <c r="G14" s="449"/>
      <c r="H14" s="450"/>
      <c r="I14" s="12" t="s">
        <v>124</v>
      </c>
      <c r="J14" s="451"/>
      <c r="K14" s="452"/>
      <c r="L14" s="453"/>
      <c r="M14" s="27" t="s">
        <v>141</v>
      </c>
      <c r="N14" s="471"/>
      <c r="O14" s="472"/>
      <c r="P14" s="472"/>
      <c r="Q14" s="472"/>
      <c r="R14" s="473"/>
      <c r="S14" s="1"/>
      <c r="T14" s="1"/>
      <c r="U14" s="1"/>
      <c r="V14" s="1"/>
      <c r="W14" s="1"/>
      <c r="X14" s="15"/>
      <c r="Y14" s="15"/>
      <c r="Z14" s="15"/>
      <c r="AA14" s="15"/>
      <c r="AB14" s="15"/>
      <c r="AC14" s="16"/>
      <c r="AG14" s="87"/>
      <c r="AH14" s="87"/>
    </row>
    <row r="15" spans="1:34" ht="4.5" customHeight="1">
      <c r="A15" s="1"/>
      <c r="B15" s="1"/>
      <c r="C15" s="1"/>
      <c r="E15" s="1"/>
      <c r="F15" s="1"/>
      <c r="G15" s="1"/>
      <c r="H15" s="1"/>
      <c r="I15" s="1"/>
      <c r="J15" s="1"/>
      <c r="K15" s="1"/>
      <c r="L15" s="1"/>
      <c r="M15" s="1"/>
      <c r="N15" s="1"/>
      <c r="O15" s="1"/>
      <c r="P15" s="1"/>
      <c r="Q15" s="1"/>
      <c r="R15" s="1"/>
      <c r="S15" s="1"/>
      <c r="T15" s="1"/>
      <c r="U15" s="1"/>
      <c r="V15" s="1"/>
      <c r="W15" s="1"/>
      <c r="X15" s="16"/>
      <c r="Y15" s="15"/>
      <c r="Z15" s="15"/>
      <c r="AA15" s="15"/>
      <c r="AB15" s="15"/>
      <c r="AC15" s="16"/>
      <c r="AG15" s="87"/>
      <c r="AH15" s="87"/>
    </row>
    <row r="16" spans="1:34" ht="12.75" customHeight="1">
      <c r="A16" s="1"/>
      <c r="B16" s="1"/>
      <c r="C16" s="3"/>
      <c r="D16" s="3" t="s">
        <v>52</v>
      </c>
      <c r="E16" s="448"/>
      <c r="F16" s="449"/>
      <c r="G16" s="449"/>
      <c r="H16" s="450"/>
      <c r="I16" s="12" t="s">
        <v>124</v>
      </c>
      <c r="J16" s="490"/>
      <c r="K16" s="491"/>
      <c r="L16" s="492"/>
      <c r="M16" s="27" t="s">
        <v>141</v>
      </c>
      <c r="N16" s="500"/>
      <c r="O16" s="496"/>
      <c r="P16" s="496"/>
      <c r="Q16" s="496"/>
      <c r="R16" s="497"/>
      <c r="S16" s="1"/>
      <c r="T16" s="1"/>
      <c r="U16" s="1"/>
      <c r="V16" s="1"/>
      <c r="W16" s="1"/>
      <c r="X16" s="16"/>
      <c r="Y16" s="15"/>
      <c r="Z16" s="15"/>
      <c r="AA16" s="15"/>
      <c r="AB16" s="15"/>
      <c r="AC16" s="16"/>
      <c r="AG16" s="87"/>
      <c r="AH16" s="87"/>
    </row>
    <row r="17" spans="1:34" ht="4.5" customHeight="1">
      <c r="A17" s="1"/>
      <c r="B17" s="1"/>
      <c r="C17" s="1"/>
      <c r="E17" s="1"/>
      <c r="F17" s="1"/>
      <c r="G17" s="1"/>
      <c r="H17" s="1"/>
      <c r="I17" s="1"/>
      <c r="J17" s="1"/>
      <c r="K17" s="1"/>
      <c r="L17" s="1"/>
      <c r="M17" s="1"/>
      <c r="N17" s="1"/>
      <c r="O17" s="1"/>
      <c r="P17" s="1"/>
      <c r="Q17" s="1"/>
      <c r="R17" s="1"/>
      <c r="S17" s="1"/>
      <c r="T17" s="1"/>
      <c r="U17" s="1"/>
      <c r="V17" s="1"/>
      <c r="W17" s="1"/>
      <c r="X17" s="16"/>
      <c r="Y17" s="15"/>
      <c r="Z17" s="15"/>
      <c r="AA17" s="15"/>
      <c r="AB17" s="15"/>
      <c r="AC17" s="16"/>
      <c r="AG17" s="87"/>
      <c r="AH17" s="87"/>
    </row>
    <row r="18" spans="1:34">
      <c r="A18" s="1"/>
      <c r="B18" s="2"/>
      <c r="C18" s="3"/>
      <c r="D18" s="3" t="s">
        <v>53</v>
      </c>
      <c r="E18" s="448"/>
      <c r="F18" s="449"/>
      <c r="G18" s="449"/>
      <c r="H18" s="450"/>
      <c r="I18" s="12" t="s">
        <v>124</v>
      </c>
      <c r="J18" s="490"/>
      <c r="K18" s="491"/>
      <c r="L18" s="492"/>
      <c r="M18" s="27" t="s">
        <v>141</v>
      </c>
      <c r="N18" s="495"/>
      <c r="O18" s="496"/>
      <c r="P18" s="496"/>
      <c r="Q18" s="496"/>
      <c r="R18" s="497"/>
      <c r="S18" s="1"/>
      <c r="T18" s="1"/>
      <c r="U18" s="1"/>
      <c r="V18" s="1"/>
      <c r="W18" s="1"/>
      <c r="X18" s="16"/>
      <c r="Y18" s="15"/>
      <c r="Z18" s="15"/>
      <c r="AA18" s="15"/>
      <c r="AB18" s="15"/>
      <c r="AC18" s="16"/>
      <c r="AG18" s="87"/>
      <c r="AH18" s="87"/>
    </row>
    <row r="19" spans="1:34" ht="4.5" customHeight="1">
      <c r="A19" s="1"/>
      <c r="B19" s="1"/>
      <c r="C19" s="1"/>
      <c r="E19" s="1"/>
      <c r="F19" s="1"/>
      <c r="G19" s="1"/>
      <c r="H19" s="1"/>
      <c r="I19" s="1"/>
      <c r="J19" s="1"/>
      <c r="K19" s="1"/>
      <c r="L19" s="1"/>
      <c r="M19" s="1"/>
      <c r="N19" s="1"/>
      <c r="O19" s="1"/>
      <c r="P19" s="1"/>
      <c r="Q19" s="1"/>
      <c r="R19" s="1"/>
      <c r="S19" s="1"/>
      <c r="T19" s="1"/>
      <c r="U19" s="1"/>
      <c r="V19" s="1"/>
      <c r="W19" s="1"/>
      <c r="X19" s="16"/>
      <c r="Y19" s="15"/>
      <c r="Z19" s="15"/>
      <c r="AA19" s="15"/>
      <c r="AB19" s="15"/>
      <c r="AC19" s="16"/>
      <c r="AG19" s="87"/>
      <c r="AH19" s="87"/>
    </row>
    <row r="20" spans="1:34" ht="12.75" customHeight="1">
      <c r="A20" s="1"/>
      <c r="B20" s="493" t="s">
        <v>2456</v>
      </c>
      <c r="C20" s="494"/>
      <c r="D20" s="494"/>
      <c r="E20" s="190">
        <v>5</v>
      </c>
      <c r="F20" s="483" t="s">
        <v>2457</v>
      </c>
      <c r="G20" s="484"/>
      <c r="H20" s="484"/>
      <c r="I20" s="484"/>
      <c r="J20" s="484"/>
      <c r="K20" s="484"/>
      <c r="L20" s="484"/>
      <c r="M20" s="190">
        <v>150</v>
      </c>
      <c r="N20" s="485" t="s">
        <v>444</v>
      </c>
      <c r="O20" s="486"/>
      <c r="P20" s="486"/>
      <c r="Q20" s="1"/>
      <c r="R20" s="1"/>
      <c r="S20" s="1"/>
      <c r="T20" s="1"/>
      <c r="U20" s="1"/>
      <c r="V20" s="1"/>
      <c r="W20" s="1"/>
      <c r="X20" s="16"/>
      <c r="Y20" s="15"/>
      <c r="Z20" s="15"/>
      <c r="AA20" s="15"/>
      <c r="AB20" s="15"/>
      <c r="AC20" s="16"/>
      <c r="AG20" s="87"/>
      <c r="AH20" s="87"/>
    </row>
    <row r="21" spans="1:34" ht="4.5" customHeight="1">
      <c r="A21" s="1"/>
      <c r="B21" s="1"/>
      <c r="C21" s="1"/>
      <c r="D21" s="1"/>
      <c r="E21" s="1"/>
      <c r="F21" s="1"/>
      <c r="G21" s="1"/>
      <c r="H21" s="1"/>
      <c r="I21" s="1"/>
      <c r="J21" s="1"/>
      <c r="K21" s="1"/>
      <c r="L21" s="1"/>
      <c r="M21" s="1"/>
      <c r="N21" s="1"/>
      <c r="O21" s="1"/>
      <c r="P21" s="1"/>
      <c r="Q21" s="1"/>
      <c r="R21" s="1"/>
      <c r="S21" s="1"/>
      <c r="T21" s="1"/>
      <c r="U21" s="1"/>
      <c r="V21" s="1"/>
      <c r="W21" s="1"/>
      <c r="X21" s="15"/>
      <c r="Y21" s="15"/>
      <c r="Z21" s="15"/>
      <c r="AA21" s="15"/>
      <c r="AB21" s="15"/>
      <c r="AC21" s="16"/>
      <c r="AG21" s="87"/>
      <c r="AH21" s="87"/>
    </row>
    <row r="22" spans="1:34" ht="13">
      <c r="A22" s="1"/>
      <c r="B22" s="1"/>
      <c r="C22" s="1"/>
      <c r="D22" s="1"/>
      <c r="E22" s="187" t="s">
        <v>229</v>
      </c>
      <c r="F22" s="187"/>
      <c r="G22" s="1"/>
      <c r="H22" s="1"/>
      <c r="I22" s="1"/>
      <c r="J22" s="1"/>
      <c r="K22" s="1"/>
      <c r="L22" s="1"/>
      <c r="M22" s="1"/>
      <c r="N22" s="1"/>
      <c r="O22" s="1"/>
      <c r="P22" s="1"/>
      <c r="Q22" s="1"/>
      <c r="R22" s="1"/>
      <c r="S22" s="1"/>
      <c r="T22" s="1"/>
      <c r="U22" s="1"/>
      <c r="V22" s="1"/>
      <c r="W22" s="1"/>
      <c r="X22" s="15"/>
      <c r="Y22" s="15"/>
      <c r="Z22" s="15"/>
      <c r="AA22" s="15"/>
      <c r="AB22" s="15"/>
      <c r="AC22" s="16"/>
      <c r="AG22" s="87"/>
      <c r="AH22" s="87"/>
    </row>
    <row r="23" spans="1:34" ht="12.75" customHeight="1">
      <c r="A23" s="1"/>
      <c r="B23" s="493" t="s">
        <v>228</v>
      </c>
      <c r="C23" s="493"/>
      <c r="D23" s="188"/>
      <c r="E23" s="498" t="s">
        <v>252</v>
      </c>
      <c r="F23" s="493"/>
      <c r="G23" s="499"/>
      <c r="H23" s="188"/>
      <c r="I23" s="1"/>
      <c r="J23" s="1"/>
      <c r="K23" s="1"/>
      <c r="L23" s="1"/>
      <c r="M23" s="1"/>
      <c r="N23" s="1"/>
      <c r="O23" s="1"/>
      <c r="P23" s="1"/>
      <c r="Q23" s="1"/>
      <c r="R23" s="1"/>
      <c r="S23" s="1"/>
      <c r="T23" s="1"/>
      <c r="U23" s="1"/>
      <c r="V23" s="1"/>
      <c r="W23" s="1"/>
      <c r="X23" s="16"/>
      <c r="Y23" s="15"/>
      <c r="Z23" s="15"/>
      <c r="AA23" s="15"/>
      <c r="AB23" s="15"/>
      <c r="AC23" s="16"/>
      <c r="AG23" s="87"/>
      <c r="AH23" s="87"/>
    </row>
    <row r="24" spans="1:34">
      <c r="A24" s="1"/>
      <c r="B24" s="1"/>
      <c r="C24" s="1"/>
      <c r="D24" s="1"/>
      <c r="E24" s="1"/>
      <c r="F24" s="1"/>
      <c r="G24" s="1"/>
      <c r="H24" s="1"/>
      <c r="I24" s="1"/>
      <c r="J24" s="1"/>
      <c r="K24" s="1"/>
      <c r="L24" s="1"/>
      <c r="M24" s="1"/>
      <c r="N24" s="1"/>
      <c r="O24" s="1"/>
      <c r="P24" s="1"/>
      <c r="Q24" s="1"/>
      <c r="R24" s="1"/>
      <c r="S24" s="1"/>
      <c r="T24" s="1"/>
      <c r="U24" s="1"/>
      <c r="V24" s="1"/>
      <c r="W24" s="1"/>
      <c r="X24" s="15"/>
      <c r="Y24" s="15"/>
      <c r="Z24" s="15"/>
      <c r="AA24" s="15"/>
      <c r="AB24" s="15"/>
      <c r="AC24" s="16"/>
      <c r="AG24" s="87"/>
      <c r="AH24" s="87"/>
    </row>
    <row r="25" spans="1:34" ht="12.75" customHeight="1">
      <c r="A25" s="1"/>
      <c r="B25" s="1"/>
      <c r="C25" s="1" t="s">
        <v>33</v>
      </c>
      <c r="D25" s="1"/>
      <c r="E25" s="1"/>
      <c r="F25" s="1"/>
      <c r="G25" s="1"/>
      <c r="H25" s="1"/>
      <c r="I25" s="1"/>
      <c r="J25" s="1"/>
      <c r="K25" s="1"/>
      <c r="L25" s="1"/>
      <c r="M25" s="1"/>
      <c r="N25" s="1"/>
      <c r="O25" s="1"/>
      <c r="P25" s="1"/>
      <c r="Q25" s="1"/>
      <c r="R25" s="1"/>
      <c r="S25" s="1"/>
      <c r="T25" s="1"/>
      <c r="U25" s="1"/>
      <c r="V25" s="1"/>
      <c r="W25" s="1"/>
      <c r="X25" s="16"/>
      <c r="Y25" s="15"/>
      <c r="Z25" s="15"/>
      <c r="AA25" s="15"/>
      <c r="AB25" s="15"/>
      <c r="AC25" s="16"/>
      <c r="AG25" s="87"/>
      <c r="AH25" s="87"/>
    </row>
    <row r="26" spans="1:34" ht="79.900000000000006" customHeight="1">
      <c r="A26" s="1"/>
      <c r="B26" s="2"/>
      <c r="C26" s="480" t="s">
        <v>2707</v>
      </c>
      <c r="D26" s="481"/>
      <c r="E26" s="481"/>
      <c r="F26" s="481"/>
      <c r="G26" s="481"/>
      <c r="H26" s="481"/>
      <c r="I26" s="481"/>
      <c r="J26" s="481"/>
      <c r="K26" s="481"/>
      <c r="L26" s="481"/>
      <c r="M26" s="481"/>
      <c r="N26" s="481"/>
      <c r="O26" s="481"/>
      <c r="P26" s="481"/>
      <c r="Q26" s="481"/>
      <c r="R26" s="481"/>
      <c r="S26" s="481"/>
      <c r="T26" s="481"/>
      <c r="U26" s="482"/>
      <c r="V26" s="189"/>
      <c r="W26" s="1"/>
      <c r="X26" s="16"/>
      <c r="Y26" s="15"/>
      <c r="Z26" s="15"/>
      <c r="AA26" s="15"/>
      <c r="AB26" s="15"/>
      <c r="AC26" s="16"/>
      <c r="AG26" s="87"/>
      <c r="AH26" s="87"/>
    </row>
    <row r="27" spans="1:34" ht="64" customHeight="1">
      <c r="A27" s="1"/>
      <c r="B27" s="2"/>
      <c r="C27" s="457" t="s">
        <v>2459</v>
      </c>
      <c r="D27" s="458"/>
      <c r="E27" s="458"/>
      <c r="F27" s="458"/>
      <c r="G27" s="458"/>
      <c r="H27" s="458"/>
      <c r="I27" s="458"/>
      <c r="J27" s="458"/>
      <c r="K27" s="458"/>
      <c r="L27" s="458"/>
      <c r="M27" s="458"/>
      <c r="N27" s="458"/>
      <c r="O27" s="458"/>
      <c r="P27" s="458"/>
      <c r="Q27" s="458"/>
      <c r="R27" s="458"/>
      <c r="S27" s="458"/>
      <c r="T27" s="458"/>
      <c r="U27" s="459"/>
      <c r="V27" s="189"/>
      <c r="W27" s="1"/>
      <c r="X27" s="16"/>
      <c r="Y27" s="15"/>
      <c r="Z27" s="15"/>
      <c r="AA27" s="15"/>
      <c r="AB27" s="15"/>
      <c r="AC27" s="16"/>
      <c r="AG27" s="87"/>
      <c r="AH27" s="87"/>
    </row>
    <row r="28" spans="1:34">
      <c r="A28" s="1"/>
      <c r="B28" s="2"/>
      <c r="C28" s="18" t="s">
        <v>66</v>
      </c>
      <c r="D28" s="1"/>
      <c r="E28" s="3"/>
      <c r="F28" s="1"/>
      <c r="G28" s="1"/>
      <c r="H28" s="1"/>
      <c r="I28" s="1"/>
      <c r="J28" s="1"/>
      <c r="K28" s="1"/>
      <c r="L28" s="1"/>
      <c r="M28" s="1"/>
      <c r="N28" s="1"/>
      <c r="O28" s="1"/>
      <c r="P28" s="1"/>
      <c r="Q28" s="1"/>
      <c r="R28" s="1"/>
      <c r="S28" s="1"/>
      <c r="T28" s="1"/>
      <c r="U28" s="1"/>
      <c r="V28" s="1"/>
      <c r="W28" s="1"/>
      <c r="X28" s="16"/>
      <c r="Y28" s="15"/>
      <c r="Z28" s="15"/>
      <c r="AA28" s="15"/>
      <c r="AB28" s="15"/>
      <c r="AC28" s="16"/>
      <c r="AG28" s="87"/>
      <c r="AH28" s="87"/>
    </row>
    <row r="29" spans="1:34" ht="25.15" customHeight="1">
      <c r="A29" s="1"/>
      <c r="B29" s="2"/>
      <c r="C29" s="480"/>
      <c r="D29" s="481"/>
      <c r="E29" s="481"/>
      <c r="F29" s="481"/>
      <c r="G29" s="481"/>
      <c r="H29" s="481"/>
      <c r="I29" s="481"/>
      <c r="J29" s="481"/>
      <c r="K29" s="481"/>
      <c r="L29" s="481"/>
      <c r="M29" s="481"/>
      <c r="N29" s="481"/>
      <c r="O29" s="481"/>
      <c r="P29" s="481"/>
      <c r="Q29" s="481"/>
      <c r="R29" s="481"/>
      <c r="S29" s="481"/>
      <c r="T29" s="481"/>
      <c r="U29" s="482"/>
      <c r="V29" s="189"/>
      <c r="W29" s="1"/>
      <c r="X29" s="16"/>
      <c r="Y29" s="15"/>
      <c r="Z29" s="15"/>
      <c r="AA29" s="15"/>
      <c r="AB29" s="15"/>
      <c r="AC29" s="16"/>
      <c r="AG29" s="87"/>
      <c r="AH29" s="87"/>
    </row>
    <row r="30" spans="1:34" ht="4.5" customHeight="1" thickBot="1">
      <c r="A30" s="1"/>
      <c r="B30" s="4"/>
      <c r="C30" s="4"/>
      <c r="D30" s="4"/>
      <c r="E30" s="4"/>
      <c r="F30" s="4"/>
      <c r="G30" s="4"/>
      <c r="H30" s="4"/>
      <c r="I30" s="4"/>
      <c r="J30" s="4"/>
      <c r="K30" s="4"/>
      <c r="L30" s="4"/>
      <c r="M30" s="4"/>
      <c r="N30" s="4"/>
      <c r="O30" s="4"/>
      <c r="P30" s="4"/>
      <c r="Q30" s="4"/>
      <c r="R30" s="4"/>
      <c r="S30" s="4"/>
      <c r="T30" s="4"/>
      <c r="U30" s="4"/>
      <c r="V30" s="4"/>
      <c r="W30" s="1"/>
      <c r="X30" s="15"/>
      <c r="Y30" s="15"/>
      <c r="Z30" s="15"/>
      <c r="AA30" s="15"/>
      <c r="AB30" s="15"/>
      <c r="AC30" s="16"/>
      <c r="AG30" s="87"/>
      <c r="AH30" s="87"/>
    </row>
    <row r="31" spans="1:34" ht="18" customHeight="1" thickBot="1">
      <c r="A31" s="1"/>
      <c r="B31" s="45" t="s">
        <v>167</v>
      </c>
      <c r="C31" s="1"/>
      <c r="D31" s="432" t="str">
        <f ca="1">IF(AND(U211&gt;0,U209&lt;&gt;U211),"ERROR:  Can't have both Flat Rate and Detailed Misc. Materials","")</f>
        <v/>
      </c>
      <c r="E31" s="433"/>
      <c r="F31" s="433"/>
      <c r="G31" s="433"/>
      <c r="H31" s="433"/>
      <c r="I31" s="59"/>
      <c r="J31" s="36" t="s">
        <v>176</v>
      </c>
      <c r="K31" s="1"/>
      <c r="L31" s="1"/>
      <c r="M31" s="21"/>
      <c r="N31" s="47" t="s">
        <v>178</v>
      </c>
      <c r="O31" s="1"/>
      <c r="P31" s="47" t="s">
        <v>171</v>
      </c>
      <c r="Q31" s="1"/>
      <c r="R31" s="36"/>
      <c r="S31" s="48" t="str">
        <f>IF(AD31&gt;0,"INC","")</f>
        <v/>
      </c>
      <c r="T31" s="49" t="s">
        <v>123</v>
      </c>
      <c r="U31" s="434">
        <f ca="1">+U36+U35+U33</f>
        <v>13682.83</v>
      </c>
      <c r="V31" s="435"/>
      <c r="W31" s="1"/>
      <c r="X31" s="15"/>
      <c r="Y31" s="15"/>
      <c r="Z31" s="15"/>
      <c r="AA31" s="15"/>
      <c r="AB31" s="15"/>
      <c r="AC31" s="16"/>
      <c r="AD31" s="307">
        <f>SUM(AD62:AD575)</f>
        <v>0</v>
      </c>
      <c r="AG31" s="87"/>
      <c r="AH31" s="87"/>
    </row>
    <row r="32" spans="1:34" ht="8.15" customHeight="1" thickBot="1">
      <c r="A32" s="1"/>
      <c r="B32" s="1"/>
      <c r="C32" s="1"/>
      <c r="D32" s="1"/>
      <c r="E32" s="1"/>
      <c r="F32" s="1"/>
      <c r="G32" s="1"/>
      <c r="H32" s="1"/>
      <c r="I32" s="1"/>
      <c r="J32" s="1"/>
      <c r="K32" s="1"/>
      <c r="L32" s="1"/>
      <c r="M32" s="1"/>
      <c r="N32" s="1"/>
      <c r="O32" s="1"/>
      <c r="P32" s="1"/>
      <c r="Q32" s="1"/>
      <c r="R32" s="1"/>
      <c r="S32" s="1"/>
      <c r="T32" s="1"/>
      <c r="U32" s="1"/>
      <c r="V32" s="1"/>
      <c r="W32" s="1"/>
      <c r="X32" s="15"/>
      <c r="Y32" s="15"/>
      <c r="Z32" s="15"/>
      <c r="AA32" s="15"/>
      <c r="AB32" s="15"/>
      <c r="AC32" s="16"/>
      <c r="AG32" s="87"/>
      <c r="AH32" s="87"/>
    </row>
    <row r="33" spans="1:49" ht="18" customHeight="1" thickBot="1">
      <c r="A33" s="1"/>
      <c r="B33" s="45"/>
      <c r="C33" s="1"/>
      <c r="D33" s="1"/>
      <c r="E33" s="58"/>
      <c r="F33" s="1"/>
      <c r="G33" s="1"/>
      <c r="H33" s="182"/>
      <c r="I33" s="455" t="s">
        <v>1732</v>
      </c>
      <c r="J33" s="455"/>
      <c r="K33" s="455"/>
      <c r="L33" s="326" t="s">
        <v>264</v>
      </c>
      <c r="M33" s="95"/>
      <c r="N33" s="1"/>
      <c r="O33" s="1"/>
      <c r="P33" s="1"/>
      <c r="Q33" s="1"/>
      <c r="R33" s="17"/>
      <c r="S33" s="71"/>
      <c r="T33" s="202" t="s">
        <v>449</v>
      </c>
      <c r="U33" s="436">
        <f ca="1">IF((U34-U38-U47)&lt;=3500, 0, U53)</f>
        <v>3356.74</v>
      </c>
      <c r="V33" s="437"/>
      <c r="W33" s="1"/>
      <c r="X33" s="15"/>
      <c r="Y33" s="15"/>
      <c r="Z33" s="15"/>
      <c r="AA33" s="15"/>
      <c r="AB33" s="15"/>
      <c r="AC33" s="16"/>
      <c r="AD33" s="307"/>
      <c r="AG33" s="87"/>
      <c r="AH33" s="87"/>
    </row>
    <row r="34" spans="1:49" ht="18" customHeight="1" thickBot="1">
      <c r="A34" s="1"/>
      <c r="B34" s="45"/>
      <c r="C34" s="454" t="s">
        <v>1708</v>
      </c>
      <c r="D34" s="454"/>
      <c r="E34" s="454"/>
      <c r="F34" s="454"/>
      <c r="G34" s="303">
        <f>+U262</f>
        <v>0</v>
      </c>
      <c r="H34" s="347" t="s">
        <v>1987</v>
      </c>
      <c r="I34" s="348"/>
      <c r="J34" s="349"/>
      <c r="K34" s="349"/>
      <c r="L34" s="17"/>
      <c r="M34" s="349"/>
      <c r="N34" s="17"/>
      <c r="O34" s="17"/>
      <c r="P34" s="17"/>
      <c r="Q34" s="1"/>
      <c r="R34" s="17"/>
      <c r="S34" s="71"/>
      <c r="T34" s="202" t="s">
        <v>448</v>
      </c>
      <c r="U34" s="436">
        <f ca="1">U35+U36</f>
        <v>10326.09</v>
      </c>
      <c r="V34" s="437"/>
      <c r="W34" s="1"/>
      <c r="X34" s="15"/>
      <c r="Y34" s="15"/>
      <c r="Z34" s="15"/>
      <c r="AA34" s="15"/>
      <c r="AB34" s="15"/>
      <c r="AC34" s="16"/>
      <c r="AD34" s="307"/>
      <c r="AG34" s="87"/>
      <c r="AH34" s="87"/>
    </row>
    <row r="35" spans="1:49" ht="18" customHeight="1" thickBot="1">
      <c r="A35" s="1"/>
      <c r="B35" s="45"/>
      <c r="C35" s="454" t="s">
        <v>1709</v>
      </c>
      <c r="D35" s="454"/>
      <c r="E35" s="454"/>
      <c r="F35" s="454"/>
      <c r="G35" s="303">
        <f ca="1">U33+U36-G36</f>
        <v>13682.83</v>
      </c>
      <c r="H35" s="182"/>
      <c r="I35" s="59"/>
      <c r="J35" s="36"/>
      <c r="K35" s="95"/>
      <c r="L35" s="1"/>
      <c r="M35" s="95"/>
      <c r="N35" s="1"/>
      <c r="O35" s="1"/>
      <c r="P35" s="1"/>
      <c r="Q35" s="1"/>
      <c r="R35" s="17"/>
      <c r="S35" s="71"/>
      <c r="T35" s="49" t="s">
        <v>136</v>
      </c>
      <c r="U35" s="436">
        <f>+U262</f>
        <v>0</v>
      </c>
      <c r="V35" s="437"/>
      <c r="W35" s="1"/>
      <c r="X35" s="15"/>
      <c r="Y35" s="15"/>
      <c r="Z35" s="15"/>
      <c r="AA35" s="15"/>
      <c r="AB35" s="15"/>
      <c r="AC35" s="16"/>
      <c r="AD35" s="307"/>
      <c r="AG35" s="87"/>
      <c r="AH35" s="87"/>
    </row>
    <row r="36" spans="1:49" ht="18" customHeight="1" thickBot="1">
      <c r="A36" s="1"/>
      <c r="B36" s="45"/>
      <c r="C36" s="454" t="s">
        <v>2416</v>
      </c>
      <c r="D36" s="454"/>
      <c r="E36" s="454"/>
      <c r="F36" s="454"/>
      <c r="G36" s="303">
        <f>U51</f>
        <v>0</v>
      </c>
      <c r="H36" s="1"/>
      <c r="I36" s="59"/>
      <c r="J36" s="36"/>
      <c r="K36" s="1"/>
      <c r="L36" s="1"/>
      <c r="M36" s="21"/>
      <c r="N36" s="46"/>
      <c r="O36" s="1"/>
      <c r="P36" s="47"/>
      <c r="Q36" s="1"/>
      <c r="R36" s="17"/>
      <c r="S36" s="71"/>
      <c r="T36" s="202" t="s">
        <v>2458</v>
      </c>
      <c r="U36" s="436">
        <f ca="1">+U38+U47+U61+U74+U144+U209+U361+U552+U575</f>
        <v>10326.09</v>
      </c>
      <c r="V36" s="437"/>
      <c r="W36" s="1"/>
      <c r="X36" s="15"/>
      <c r="Y36" s="15"/>
      <c r="Z36" s="15"/>
      <c r="AA36" s="15"/>
      <c r="AB36" s="15"/>
      <c r="AC36" s="16"/>
      <c r="AD36" s="307"/>
      <c r="AG36" s="87"/>
      <c r="AH36" s="87"/>
    </row>
    <row r="37" spans="1:49" ht="4.5" customHeight="1" thickBot="1">
      <c r="A37" s="1"/>
      <c r="B37" s="4"/>
      <c r="C37" s="4"/>
      <c r="D37" s="4"/>
      <c r="E37" s="4"/>
      <c r="F37" s="4"/>
      <c r="G37" s="4"/>
      <c r="H37" s="4"/>
      <c r="I37" s="4"/>
      <c r="J37" s="4"/>
      <c r="K37" s="4"/>
      <c r="L37" s="4"/>
      <c r="M37" s="4"/>
      <c r="N37" s="4"/>
      <c r="O37" s="4"/>
      <c r="P37" s="4"/>
      <c r="Q37" s="4"/>
      <c r="R37" s="4"/>
      <c r="S37" s="4"/>
      <c r="T37" s="4"/>
      <c r="U37" s="4"/>
      <c r="V37" s="4"/>
      <c r="W37" s="1"/>
      <c r="X37" s="15"/>
      <c r="Y37" s="15"/>
      <c r="Z37" s="15"/>
      <c r="AA37" s="15"/>
      <c r="AB37" s="15"/>
      <c r="AC37" s="16"/>
      <c r="AG37" s="87"/>
      <c r="AH37" s="87"/>
    </row>
    <row r="38" spans="1:49" ht="18" customHeight="1">
      <c r="A38" s="1"/>
      <c r="B38" s="20" t="s">
        <v>1978</v>
      </c>
      <c r="C38" s="8"/>
      <c r="D38" s="8"/>
      <c r="E38" s="8"/>
      <c r="F38" s="8"/>
      <c r="G38" s="8"/>
      <c r="H38" s="8"/>
      <c r="I38" s="8"/>
      <c r="J38" s="479"/>
      <c r="K38" s="479"/>
      <c r="L38" s="479"/>
      <c r="M38" s="479"/>
      <c r="N38" s="43" t="s">
        <v>172</v>
      </c>
      <c r="O38" s="1"/>
      <c r="P38" s="43" t="s">
        <v>171</v>
      </c>
      <c r="Q38" s="1"/>
      <c r="R38" s="9"/>
      <c r="S38" s="48" t="str">
        <f>IF(AD38&gt;0,"INC","")</f>
        <v/>
      </c>
      <c r="T38" s="49" t="s">
        <v>170</v>
      </c>
      <c r="U38" s="412">
        <f>ROUND(SUM(U40:U45),2)</f>
        <v>1736.1</v>
      </c>
      <c r="V38" s="413"/>
      <c r="W38" s="1"/>
      <c r="X38" s="15"/>
      <c r="Y38" s="15"/>
      <c r="Z38" s="15"/>
      <c r="AA38" s="15"/>
      <c r="AB38" s="15"/>
      <c r="AC38" s="16"/>
      <c r="AD38" s="307"/>
      <c r="AG38" s="87"/>
      <c r="AH38" s="87"/>
    </row>
    <row r="39" spans="1:49" s="105" customFormat="1" ht="13.5">
      <c r="A39" s="97"/>
      <c r="B39" s="98"/>
      <c r="C39" s="99" t="s">
        <v>461</v>
      </c>
      <c r="D39" s="97"/>
      <c r="E39" s="97"/>
      <c r="F39" s="97"/>
      <c r="G39" s="97"/>
      <c r="H39" s="97"/>
      <c r="I39" s="97"/>
      <c r="J39" s="97"/>
      <c r="K39" s="97"/>
      <c r="L39" s="97"/>
      <c r="M39" s="97" t="s">
        <v>250</v>
      </c>
      <c r="N39" s="98"/>
      <c r="O39" s="207"/>
      <c r="P39" s="98"/>
      <c r="R39" s="109"/>
      <c r="S39" s="96"/>
      <c r="T39" s="98" t="s">
        <v>127</v>
      </c>
      <c r="U39" s="98" t="s">
        <v>123</v>
      </c>
      <c r="V39" s="98"/>
      <c r="W39" s="97"/>
      <c r="X39" s="103"/>
      <c r="Y39" s="103"/>
      <c r="Z39" s="103"/>
      <c r="AA39" s="103"/>
      <c r="AB39" s="103"/>
      <c r="AC39" s="104"/>
      <c r="AD39" s="306"/>
      <c r="AE39" s="74"/>
      <c r="AF39" s="74"/>
      <c r="AG39" s="87"/>
      <c r="AH39" s="87"/>
      <c r="AI39" s="74"/>
      <c r="AJ39" s="74"/>
      <c r="AK39" s="74"/>
      <c r="AL39" s="74"/>
      <c r="AM39" s="74"/>
      <c r="AN39" s="74"/>
      <c r="AO39" s="74"/>
      <c r="AP39" s="74"/>
      <c r="AQ39" s="74"/>
      <c r="AR39" s="74"/>
      <c r="AS39" s="74"/>
      <c r="AT39" s="74"/>
      <c r="AU39" s="74"/>
      <c r="AV39" s="74"/>
      <c r="AW39" s="74"/>
    </row>
    <row r="40" spans="1:49">
      <c r="A40" s="1"/>
      <c r="B40" s="12" t="s">
        <v>1971</v>
      </c>
      <c r="C40" s="438" t="s">
        <v>1979</v>
      </c>
      <c r="D40" s="477"/>
      <c r="E40" s="477"/>
      <c r="F40" s="477"/>
      <c r="G40" s="477"/>
      <c r="H40" s="477"/>
      <c r="I40" s="477"/>
      <c r="J40" s="477"/>
      <c r="K40" s="477"/>
      <c r="L40" s="478"/>
      <c r="M40" s="474" t="s">
        <v>2700</v>
      </c>
      <c r="N40" s="475"/>
      <c r="O40" s="475"/>
      <c r="P40" s="475"/>
      <c r="Q40" s="475"/>
      <c r="R40" s="475"/>
      <c r="S40" s="476"/>
      <c r="T40" s="40">
        <v>5</v>
      </c>
      <c r="U40" s="369">
        <f>T40*Data!F143</f>
        <v>1736.1000000000001</v>
      </c>
      <c r="V40" s="370"/>
      <c r="W40" s="1"/>
      <c r="X40" s="15"/>
      <c r="Y40" s="15"/>
      <c r="Z40" s="15"/>
      <c r="AA40" s="15"/>
      <c r="AB40" s="15"/>
      <c r="AC40" s="16"/>
      <c r="AD40" s="307"/>
      <c r="AG40" s="87"/>
      <c r="AH40" s="87"/>
    </row>
    <row r="41" spans="1:49" hidden="1">
      <c r="A41" s="1"/>
      <c r="B41" s="12" t="s">
        <v>1972</v>
      </c>
      <c r="C41" s="438" t="s">
        <v>1980</v>
      </c>
      <c r="D41" s="477"/>
      <c r="E41" s="477"/>
      <c r="F41" s="477"/>
      <c r="G41" s="477"/>
      <c r="H41" s="477"/>
      <c r="I41" s="477"/>
      <c r="J41" s="477"/>
      <c r="K41" s="477"/>
      <c r="L41" s="478"/>
      <c r="M41" s="474"/>
      <c r="N41" s="475"/>
      <c r="O41" s="475"/>
      <c r="P41" s="475"/>
      <c r="Q41" s="475"/>
      <c r="R41" s="475"/>
      <c r="S41" s="476"/>
      <c r="T41" s="40"/>
      <c r="U41" s="369">
        <f>T41*Data!F144</f>
        <v>0</v>
      </c>
      <c r="V41" s="370"/>
      <c r="W41" s="1"/>
      <c r="X41" s="15"/>
      <c r="Y41" s="15"/>
      <c r="Z41" s="15"/>
      <c r="AA41" s="15"/>
      <c r="AB41" s="15"/>
      <c r="AC41" s="16"/>
      <c r="AG41" s="87"/>
      <c r="AH41" s="87"/>
    </row>
    <row r="42" spans="1:49" hidden="1">
      <c r="A42" s="1"/>
      <c r="B42" s="12" t="s">
        <v>1973</v>
      </c>
      <c r="C42" s="438" t="s">
        <v>1983</v>
      </c>
      <c r="D42" s="477"/>
      <c r="E42" s="477"/>
      <c r="F42" s="477"/>
      <c r="G42" s="477"/>
      <c r="H42" s="477"/>
      <c r="I42" s="477"/>
      <c r="J42" s="477"/>
      <c r="K42" s="477"/>
      <c r="L42" s="478"/>
      <c r="M42" s="474"/>
      <c r="N42" s="475"/>
      <c r="O42" s="475"/>
      <c r="P42" s="475"/>
      <c r="Q42" s="475"/>
      <c r="R42" s="475"/>
      <c r="S42" s="476"/>
      <c r="T42" s="40"/>
      <c r="U42" s="369">
        <f>T42*Data!F145</f>
        <v>0</v>
      </c>
      <c r="V42" s="370"/>
      <c r="W42" s="1"/>
      <c r="X42" s="15"/>
      <c r="Y42" s="15"/>
      <c r="Z42" s="15"/>
      <c r="AA42" s="15"/>
      <c r="AB42" s="15"/>
      <c r="AC42" s="16"/>
      <c r="AG42" s="87"/>
      <c r="AH42" s="87"/>
    </row>
    <row r="43" spans="1:49" hidden="1">
      <c r="A43" s="1"/>
      <c r="B43" s="12" t="s">
        <v>1974</v>
      </c>
      <c r="C43" s="438" t="s">
        <v>1981</v>
      </c>
      <c r="D43" s="477"/>
      <c r="E43" s="477"/>
      <c r="F43" s="477"/>
      <c r="G43" s="477"/>
      <c r="H43" s="477"/>
      <c r="I43" s="477"/>
      <c r="J43" s="477"/>
      <c r="K43" s="477"/>
      <c r="L43" s="478"/>
      <c r="M43" s="474"/>
      <c r="N43" s="475"/>
      <c r="O43" s="475"/>
      <c r="P43" s="475"/>
      <c r="Q43" s="475"/>
      <c r="R43" s="475"/>
      <c r="S43" s="476"/>
      <c r="T43" s="40"/>
      <c r="U43" s="369">
        <f>T43*Data!F146</f>
        <v>0</v>
      </c>
      <c r="V43" s="370"/>
      <c r="W43" s="1"/>
      <c r="X43" s="15"/>
      <c r="Y43" s="15"/>
      <c r="Z43" s="15"/>
      <c r="AA43" s="15"/>
      <c r="AB43" s="15"/>
      <c r="AC43" s="16"/>
      <c r="AD43" s="307"/>
      <c r="AG43" s="87"/>
      <c r="AH43" s="87"/>
    </row>
    <row r="44" spans="1:49" hidden="1">
      <c r="A44" s="1"/>
      <c r="B44" s="12" t="s">
        <v>1975</v>
      </c>
      <c r="C44" s="438" t="s">
        <v>1984</v>
      </c>
      <c r="D44" s="477"/>
      <c r="E44" s="477"/>
      <c r="F44" s="477"/>
      <c r="G44" s="477"/>
      <c r="H44" s="477"/>
      <c r="I44" s="477"/>
      <c r="J44" s="477"/>
      <c r="K44" s="477"/>
      <c r="L44" s="478"/>
      <c r="M44" s="474"/>
      <c r="N44" s="475"/>
      <c r="O44" s="475"/>
      <c r="P44" s="475"/>
      <c r="Q44" s="475"/>
      <c r="R44" s="475"/>
      <c r="S44" s="476"/>
      <c r="T44" s="40"/>
      <c r="U44" s="369">
        <f>T44*Data!F147</f>
        <v>0</v>
      </c>
      <c r="V44" s="370"/>
      <c r="W44" s="1"/>
      <c r="X44" s="15"/>
      <c r="Y44" s="15"/>
      <c r="Z44" s="15"/>
      <c r="AA44" s="15"/>
      <c r="AB44" s="15"/>
      <c r="AC44" s="16"/>
      <c r="AG44" s="87"/>
      <c r="AH44" s="87"/>
    </row>
    <row r="45" spans="1:49" hidden="1">
      <c r="A45" s="1"/>
      <c r="B45" s="12" t="s">
        <v>1976</v>
      </c>
      <c r="C45" s="438" t="s">
        <v>1982</v>
      </c>
      <c r="D45" s="477"/>
      <c r="E45" s="477"/>
      <c r="F45" s="477"/>
      <c r="G45" s="477"/>
      <c r="H45" s="477"/>
      <c r="I45" s="477"/>
      <c r="J45" s="477"/>
      <c r="K45" s="477"/>
      <c r="L45" s="478"/>
      <c r="M45" s="474"/>
      <c r="N45" s="475"/>
      <c r="O45" s="475"/>
      <c r="P45" s="475"/>
      <c r="Q45" s="475"/>
      <c r="R45" s="475"/>
      <c r="S45" s="476"/>
      <c r="T45" s="40"/>
      <c r="U45" s="369">
        <f>T45*Data!F148</f>
        <v>0</v>
      </c>
      <c r="V45" s="370"/>
      <c r="W45" s="1"/>
      <c r="X45" s="15"/>
      <c r="Y45" s="15"/>
      <c r="Z45" s="15"/>
      <c r="AA45" s="15"/>
      <c r="AB45" s="15"/>
      <c r="AC45" s="16"/>
      <c r="AG45" s="87"/>
      <c r="AH45" s="87"/>
    </row>
    <row r="46" spans="1:49" ht="8.15" customHeight="1" thickBot="1">
      <c r="A46" s="1"/>
      <c r="B46" s="4"/>
      <c r="C46" s="4"/>
      <c r="D46" s="4"/>
      <c r="E46" s="4"/>
      <c r="F46" s="4"/>
      <c r="G46" s="4"/>
      <c r="H46" s="4"/>
      <c r="I46" s="4"/>
      <c r="J46" s="4"/>
      <c r="K46" s="4"/>
      <c r="L46" s="4"/>
      <c r="M46" s="4"/>
      <c r="N46" s="4"/>
      <c r="O46" s="4"/>
      <c r="P46" s="4"/>
      <c r="Q46" s="4"/>
      <c r="R46" s="4"/>
      <c r="S46" s="4"/>
      <c r="T46" s="4"/>
      <c r="U46" s="4"/>
      <c r="V46" s="4"/>
      <c r="W46" s="1"/>
      <c r="X46" s="15"/>
      <c r="Y46" s="15"/>
      <c r="Z46" s="15"/>
      <c r="AA46" s="15"/>
      <c r="AB46" s="15"/>
      <c r="AC46" s="16"/>
      <c r="AG46" s="87"/>
      <c r="AH46" s="87"/>
    </row>
    <row r="47" spans="1:49" ht="18" customHeight="1">
      <c r="A47" s="1"/>
      <c r="B47" s="20" t="s">
        <v>2412</v>
      </c>
      <c r="C47" s="8"/>
      <c r="D47" s="8"/>
      <c r="E47" s="8"/>
      <c r="F47" s="8"/>
      <c r="G47" s="8"/>
      <c r="H47" s="8"/>
      <c r="I47" s="8"/>
      <c r="J47" s="479"/>
      <c r="K47" s="479"/>
      <c r="L47" s="479"/>
      <c r="M47" s="479"/>
      <c r="N47" s="43" t="s">
        <v>172</v>
      </c>
      <c r="O47" s="1"/>
      <c r="P47" s="43" t="s">
        <v>171</v>
      </c>
      <c r="Q47" s="1"/>
      <c r="R47" s="9"/>
      <c r="S47" s="48" t="str">
        <f>IF(AD47&gt;0,"INC","")</f>
        <v/>
      </c>
      <c r="T47" s="49" t="s">
        <v>170</v>
      </c>
      <c r="U47" s="412">
        <f>ROUND(SUM(U49:U51),2)</f>
        <v>0</v>
      </c>
      <c r="V47" s="413"/>
      <c r="W47" s="1"/>
      <c r="X47" s="15"/>
      <c r="Y47" s="15"/>
      <c r="Z47" s="15"/>
      <c r="AA47" s="15"/>
      <c r="AB47" s="15"/>
      <c r="AC47" s="16"/>
      <c r="AD47" s="307"/>
      <c r="AG47" s="87"/>
      <c r="AH47" s="87"/>
    </row>
    <row r="48" spans="1:49" s="105" customFormat="1" ht="13.5" hidden="1">
      <c r="A48" s="97"/>
      <c r="B48" s="98"/>
      <c r="C48" s="99" t="s">
        <v>461</v>
      </c>
      <c r="D48" s="97"/>
      <c r="E48" s="97"/>
      <c r="F48" s="97"/>
      <c r="G48" s="97"/>
      <c r="H48" s="97"/>
      <c r="I48" s="100" t="s">
        <v>117</v>
      </c>
      <c r="J48" s="97"/>
      <c r="K48" s="97"/>
      <c r="L48" s="97"/>
      <c r="N48" s="98"/>
      <c r="O48" s="207"/>
      <c r="P48" s="98"/>
      <c r="R48" s="109"/>
      <c r="S48" s="102" t="s">
        <v>130</v>
      </c>
      <c r="T48" s="102" t="s">
        <v>35</v>
      </c>
      <c r="U48" s="98" t="s">
        <v>123</v>
      </c>
      <c r="V48" s="98"/>
      <c r="W48" s="97"/>
      <c r="X48" s="103"/>
      <c r="Y48" s="103"/>
      <c r="Z48" s="103"/>
      <c r="AA48" s="103"/>
      <c r="AB48" s="103"/>
      <c r="AC48" s="104"/>
      <c r="AD48" s="306"/>
      <c r="AE48" s="74"/>
      <c r="AF48" s="74"/>
      <c r="AG48" s="87"/>
      <c r="AH48" s="87"/>
      <c r="AI48" s="74"/>
      <c r="AJ48" s="74"/>
      <c r="AK48" s="74"/>
      <c r="AL48" s="74"/>
      <c r="AM48" s="74"/>
      <c r="AN48" s="74"/>
      <c r="AO48" s="74"/>
      <c r="AP48" s="74"/>
      <c r="AQ48" s="74"/>
      <c r="AR48" s="74"/>
      <c r="AS48" s="74"/>
      <c r="AT48" s="74"/>
      <c r="AU48" s="74"/>
      <c r="AV48" s="74"/>
      <c r="AW48" s="74"/>
    </row>
    <row r="49" spans="1:49" ht="36" hidden="1" customHeight="1">
      <c r="A49" s="1"/>
      <c r="B49" s="12" t="s">
        <v>2413</v>
      </c>
      <c r="C49" s="487" t="s">
        <v>356</v>
      </c>
      <c r="D49" s="488"/>
      <c r="E49" s="488"/>
      <c r="F49" s="488"/>
      <c r="G49" s="488"/>
      <c r="H49" s="489"/>
      <c r="I49" s="407" t="s">
        <v>2460</v>
      </c>
      <c r="J49" s="408"/>
      <c r="K49" s="408"/>
      <c r="L49" s="408"/>
      <c r="M49" s="408"/>
      <c r="N49" s="408"/>
      <c r="O49" s="408"/>
      <c r="P49" s="408"/>
      <c r="Q49" s="408"/>
      <c r="R49" s="409"/>
      <c r="S49" s="203"/>
      <c r="T49" s="205" t="s">
        <v>266</v>
      </c>
      <c r="U49" s="369">
        <f t="shared" ref="U49:U51" si="0">IF(OR(C49="",C49="&lt;Select job title, if any&gt;"),0,IF(OR(T49="&lt;Select FY&gt;",T49=""),0,S49*VLOOKUP(C49,Clin5000Rates,VLOOKUP(T49,FiscalYearTable,2,FALSE),FALSE)))</f>
        <v>0</v>
      </c>
      <c r="V49" s="370"/>
      <c r="W49" s="1"/>
      <c r="X49" s="15"/>
      <c r="Y49" s="15"/>
      <c r="Z49" s="15"/>
      <c r="AA49" s="15"/>
      <c r="AB49" s="15"/>
      <c r="AC49" s="16"/>
      <c r="AD49" s="307"/>
      <c r="AG49" s="87"/>
      <c r="AH49" s="87"/>
    </row>
    <row r="50" spans="1:49" ht="36" hidden="1" customHeight="1">
      <c r="A50" s="1"/>
      <c r="B50" s="12" t="s">
        <v>2414</v>
      </c>
      <c r="C50" s="487" t="s">
        <v>279</v>
      </c>
      <c r="D50" s="488"/>
      <c r="E50" s="488"/>
      <c r="F50" s="488"/>
      <c r="G50" s="488"/>
      <c r="H50" s="489"/>
      <c r="I50" s="407" t="s">
        <v>2417</v>
      </c>
      <c r="J50" s="410"/>
      <c r="K50" s="410"/>
      <c r="L50" s="410"/>
      <c r="M50" s="410"/>
      <c r="N50" s="410"/>
      <c r="O50" s="410"/>
      <c r="P50" s="410"/>
      <c r="Q50" s="410"/>
      <c r="R50" s="411"/>
      <c r="S50" s="203"/>
      <c r="T50" s="205" t="s">
        <v>266</v>
      </c>
      <c r="U50" s="369">
        <f t="shared" si="0"/>
        <v>0</v>
      </c>
      <c r="V50" s="370"/>
      <c r="W50" s="1"/>
      <c r="X50" s="15"/>
      <c r="Y50" s="15"/>
      <c r="Z50" s="15"/>
      <c r="AA50" s="15"/>
      <c r="AB50" s="15"/>
      <c r="AC50" s="16"/>
      <c r="AG50" s="87"/>
      <c r="AH50" s="87"/>
    </row>
    <row r="51" spans="1:49" ht="36" hidden="1" customHeight="1">
      <c r="A51" s="1"/>
      <c r="B51" s="12" t="s">
        <v>2415</v>
      </c>
      <c r="C51" s="415" t="s">
        <v>279</v>
      </c>
      <c r="D51" s="408"/>
      <c r="E51" s="408"/>
      <c r="F51" s="408"/>
      <c r="G51" s="408"/>
      <c r="H51" s="409"/>
      <c r="I51" s="407" t="s">
        <v>2418</v>
      </c>
      <c r="J51" s="410"/>
      <c r="K51" s="410"/>
      <c r="L51" s="410"/>
      <c r="M51" s="410"/>
      <c r="N51" s="410"/>
      <c r="O51" s="410"/>
      <c r="P51" s="410"/>
      <c r="Q51" s="410"/>
      <c r="R51" s="411"/>
      <c r="S51" s="203"/>
      <c r="T51" s="205" t="s">
        <v>266</v>
      </c>
      <c r="U51" s="369">
        <f t="shared" si="0"/>
        <v>0</v>
      </c>
      <c r="V51" s="370"/>
      <c r="W51" s="1"/>
      <c r="X51" s="15"/>
      <c r="Y51" s="15"/>
      <c r="Z51" s="15"/>
      <c r="AA51" s="15"/>
      <c r="AB51" s="15"/>
      <c r="AC51" s="16"/>
      <c r="AG51" s="87"/>
      <c r="AH51" s="87"/>
    </row>
    <row r="52" spans="1:49" ht="8.15" customHeight="1" thickBot="1">
      <c r="A52" s="1"/>
      <c r="B52" s="4"/>
      <c r="C52" s="4"/>
      <c r="D52" s="4"/>
      <c r="E52" s="4"/>
      <c r="F52" s="4"/>
      <c r="G52" s="4"/>
      <c r="H52" s="4"/>
      <c r="I52" s="4"/>
      <c r="J52" s="4"/>
      <c r="K52" s="4"/>
      <c r="L52" s="4"/>
      <c r="M52" s="4"/>
      <c r="N52" s="4"/>
      <c r="O52" s="4"/>
      <c r="P52" s="4"/>
      <c r="Q52" s="4"/>
      <c r="R52" s="4"/>
      <c r="S52" s="4"/>
      <c r="T52" s="4"/>
      <c r="U52" s="4"/>
      <c r="V52" s="4"/>
      <c r="W52" s="1"/>
      <c r="X52" s="15"/>
      <c r="Y52" s="15"/>
      <c r="Z52" s="15"/>
      <c r="AA52" s="15"/>
      <c r="AB52" s="15"/>
      <c r="AC52" s="16"/>
      <c r="AG52" s="87"/>
      <c r="AH52" s="87"/>
    </row>
    <row r="53" spans="1:49" ht="18" customHeight="1">
      <c r="A53" s="1"/>
      <c r="B53" s="5" t="s">
        <v>460</v>
      </c>
      <c r="C53" s="1"/>
      <c r="D53" s="1"/>
      <c r="E53" s="1"/>
      <c r="F53" s="1"/>
      <c r="G53" s="1"/>
      <c r="H53" s="1"/>
      <c r="I53" s="19"/>
      <c r="J53" s="479" t="s">
        <v>177</v>
      </c>
      <c r="K53" s="479"/>
      <c r="L53" s="479"/>
      <c r="M53" s="479"/>
      <c r="N53" s="43"/>
      <c r="O53" s="1"/>
      <c r="P53" s="43"/>
      <c r="Q53" s="1"/>
      <c r="R53" s="19"/>
      <c r="S53" s="367"/>
      <c r="T53" s="49" t="s">
        <v>170</v>
      </c>
      <c r="U53" s="412">
        <f ca="1">ROUND(SUM(U55:U59),2)</f>
        <v>3356.74</v>
      </c>
      <c r="V53" s="413"/>
      <c r="W53" s="1"/>
      <c r="X53" s="15"/>
      <c r="Y53" s="15"/>
      <c r="Z53" s="15"/>
      <c r="AA53" s="15"/>
      <c r="AB53" s="15"/>
      <c r="AC53" s="16"/>
      <c r="AG53" s="87"/>
      <c r="AH53" s="87"/>
    </row>
    <row r="54" spans="1:49" s="105" customFormat="1" ht="13.5">
      <c r="A54" s="97"/>
      <c r="B54" s="102"/>
      <c r="C54" s="99" t="s">
        <v>450</v>
      </c>
      <c r="D54" s="97"/>
      <c r="E54" s="97"/>
      <c r="F54" s="97"/>
      <c r="G54" s="97"/>
      <c r="H54" s="97"/>
      <c r="I54" s="100" t="s">
        <v>117</v>
      </c>
      <c r="J54" s="368"/>
      <c r="K54" s="368"/>
      <c r="L54" s="368"/>
      <c r="M54" s="368"/>
      <c r="N54" s="100"/>
      <c r="O54" s="97"/>
      <c r="P54" s="97"/>
      <c r="Q54" s="97"/>
      <c r="R54" s="102"/>
      <c r="S54" s="102" t="s">
        <v>130</v>
      </c>
      <c r="T54" s="102" t="s">
        <v>35</v>
      </c>
      <c r="U54" s="98" t="s">
        <v>123</v>
      </c>
      <c r="V54" s="98"/>
      <c r="W54" s="97"/>
      <c r="X54" s="103"/>
      <c r="Y54" s="103"/>
      <c r="Z54" s="103"/>
      <c r="AA54" s="103"/>
      <c r="AB54" s="103"/>
      <c r="AC54" s="104"/>
      <c r="AD54" s="306"/>
      <c r="AE54" s="74"/>
      <c r="AF54" s="74"/>
      <c r="AG54" s="87"/>
      <c r="AH54" s="87"/>
      <c r="AI54" s="74"/>
      <c r="AJ54" s="74"/>
      <c r="AK54" s="74"/>
      <c r="AL54" s="74"/>
      <c r="AM54" s="74"/>
      <c r="AN54" s="74"/>
      <c r="AO54" s="74"/>
      <c r="AP54" s="74"/>
      <c r="AQ54" s="74"/>
      <c r="AR54" s="74"/>
      <c r="AS54" s="74"/>
      <c r="AT54" s="74"/>
      <c r="AU54" s="74"/>
      <c r="AV54" s="74"/>
      <c r="AW54" s="74"/>
    </row>
    <row r="55" spans="1:49">
      <c r="A55" s="1"/>
      <c r="B55" s="12" t="s">
        <v>451</v>
      </c>
      <c r="C55" s="440" t="s">
        <v>356</v>
      </c>
      <c r="D55" s="441"/>
      <c r="E55" s="441"/>
      <c r="F55" s="441"/>
      <c r="G55" s="441"/>
      <c r="H55" s="442"/>
      <c r="I55" s="440" t="s">
        <v>456</v>
      </c>
      <c r="J55" s="441"/>
      <c r="K55" s="441"/>
      <c r="L55" s="441"/>
      <c r="M55" s="441"/>
      <c r="N55" s="441"/>
      <c r="O55" s="441"/>
      <c r="P55" s="441"/>
      <c r="Q55" s="441"/>
      <c r="R55" s="442"/>
      <c r="S55" s="204">
        <f ca="1">IF((U34-U38-U47)&lt;=3500, 0, IF((U34-U38-U47)&lt;=10000, 16, IF((U34-U38-U47)&lt;30000, 22, 33)))</f>
        <v>16</v>
      </c>
      <c r="T55" s="205" t="s">
        <v>266</v>
      </c>
      <c r="U55" s="371">
        <f ca="1">IF(OR(C55="",C55="&lt;Select job title, if any&gt;"),0,IF(OR(T55="&lt;Select FY&gt;",T55=""),0,S55*VLOOKUP(C55,Clin5000Rates,VLOOKUP(T55,FiscalYearTable,2,FALSE),FALSE)))</f>
        <v>1623.04</v>
      </c>
      <c r="V55" s="372"/>
      <c r="W55" s="1"/>
      <c r="X55" s="32"/>
      <c r="Y55" s="15"/>
      <c r="Z55" s="15"/>
      <c r="AA55" s="15"/>
      <c r="AB55" s="15"/>
      <c r="AC55" s="16"/>
      <c r="AG55" s="87"/>
      <c r="AH55" s="87"/>
    </row>
    <row r="56" spans="1:49">
      <c r="A56" s="1"/>
      <c r="B56" s="12" t="s">
        <v>452</v>
      </c>
      <c r="C56" s="440" t="s">
        <v>357</v>
      </c>
      <c r="D56" s="441"/>
      <c r="E56" s="441"/>
      <c r="F56" s="441"/>
      <c r="G56" s="441"/>
      <c r="H56" s="442"/>
      <c r="I56" s="440" t="s">
        <v>457</v>
      </c>
      <c r="J56" s="441"/>
      <c r="K56" s="441"/>
      <c r="L56" s="441"/>
      <c r="M56" s="441"/>
      <c r="N56" s="441"/>
      <c r="O56" s="441"/>
      <c r="P56" s="441"/>
      <c r="Q56" s="441"/>
      <c r="R56" s="442"/>
      <c r="S56" s="204">
        <f ca="1">IF((U34-U38-U47)&lt;=3500, 0, IF((U34-U38-U47)&lt;=10000, 10.6, IF((U34-U38-U47)&lt;30000, 13.11, 16.44)))</f>
        <v>10.6</v>
      </c>
      <c r="T56" s="205" t="str">
        <f>T55</f>
        <v>FY2018</v>
      </c>
      <c r="U56" s="371">
        <f ca="1">IF(OR(C56="",C56="&lt;Select job title, if any&gt;"),0,IF(OR(T56="&lt;Select FY&gt;",T56=""),0,S56*VLOOKUP(C56,Clin5000Rates,VLOOKUP(T56,FiscalYearTable,2,FALSE),FALSE)))</f>
        <v>1272.53</v>
      </c>
      <c r="V56" s="372"/>
      <c r="W56" s="1"/>
      <c r="X56" s="15"/>
      <c r="Y56" s="15"/>
      <c r="Z56" s="15"/>
      <c r="AA56" s="15"/>
      <c r="AB56" s="15"/>
      <c r="AC56" s="16"/>
      <c r="AG56" s="87"/>
      <c r="AH56" s="87"/>
    </row>
    <row r="57" spans="1:49">
      <c r="A57" s="1"/>
      <c r="B57" s="12" t="s">
        <v>453</v>
      </c>
      <c r="C57" s="440" t="s">
        <v>356</v>
      </c>
      <c r="D57" s="441"/>
      <c r="E57" s="441"/>
      <c r="F57" s="441"/>
      <c r="G57" s="441"/>
      <c r="H57" s="442"/>
      <c r="I57" s="440" t="s">
        <v>458</v>
      </c>
      <c r="J57" s="441"/>
      <c r="K57" s="441"/>
      <c r="L57" s="441"/>
      <c r="M57" s="441"/>
      <c r="N57" s="441"/>
      <c r="O57" s="441"/>
      <c r="P57" s="441"/>
      <c r="Q57" s="441"/>
      <c r="R57" s="442"/>
      <c r="S57" s="204">
        <f ca="1">IF((U34-U38-U47)&lt;=3500, 0, IF((U34-U38-U47)&gt;3500, 0.96))</f>
        <v>0.96</v>
      </c>
      <c r="T57" s="205" t="str">
        <f>T56</f>
        <v>FY2018</v>
      </c>
      <c r="U57" s="371">
        <f ca="1">IF(OR(C57="",C57="&lt;Select job title, if any&gt;"),0,IF(OR(T57="&lt;Select FY&gt;",T57=""),0,S57*VLOOKUP(C57,Clin5000Rates,VLOOKUP(T57,FiscalYearTable,2,FALSE),FALSE)))</f>
        <v>97.38239999999999</v>
      </c>
      <c r="V57" s="372"/>
      <c r="W57" s="1"/>
      <c r="X57" s="15"/>
      <c r="Y57" s="15"/>
      <c r="Z57" s="15"/>
      <c r="AA57" s="15"/>
      <c r="AB57" s="15"/>
      <c r="AC57" s="16"/>
      <c r="AG57" s="87"/>
      <c r="AH57" s="87"/>
    </row>
    <row r="58" spans="1:49">
      <c r="A58" s="1"/>
      <c r="B58" s="12" t="s">
        <v>454</v>
      </c>
      <c r="C58" s="440" t="s">
        <v>356</v>
      </c>
      <c r="D58" s="441"/>
      <c r="E58" s="441"/>
      <c r="F58" s="441"/>
      <c r="G58" s="441"/>
      <c r="H58" s="442"/>
      <c r="I58" s="440" t="s">
        <v>459</v>
      </c>
      <c r="J58" s="441"/>
      <c r="K58" s="441"/>
      <c r="L58" s="441"/>
      <c r="M58" s="441"/>
      <c r="N58" s="441"/>
      <c r="O58" s="441"/>
      <c r="P58" s="441"/>
      <c r="Q58" s="441"/>
      <c r="R58" s="442"/>
      <c r="S58" s="204">
        <f ca="1">IF((U34-U38-U47)&lt;=3500, 0, IF((U34-U38-U47)&gt;3500, 2.475))</f>
        <v>2.4750000000000001</v>
      </c>
      <c r="T58" s="205" t="str">
        <f>T57</f>
        <v>FY2018</v>
      </c>
      <c r="U58" s="371">
        <f ca="1">IF(OR(C58="",C58="&lt;Select job title, if any&gt;"),0,IF(OR(T58="&lt;Select FY&gt;",T58=""),0,S58*VLOOKUP(C58,Clin5000Rates,VLOOKUP(T58,FiscalYearTable,2,FALSE),FALSE)))</f>
        <v>251.06399999999999</v>
      </c>
      <c r="V58" s="372"/>
      <c r="W58" s="1"/>
      <c r="X58" s="15"/>
      <c r="Y58" s="15"/>
      <c r="Z58" s="15"/>
      <c r="AA58" s="15"/>
      <c r="AB58" s="15"/>
      <c r="AC58" s="16"/>
      <c r="AG58" s="87"/>
      <c r="AH58" s="87"/>
    </row>
    <row r="59" spans="1:49">
      <c r="A59" s="1"/>
      <c r="B59" s="12" t="s">
        <v>455</v>
      </c>
      <c r="C59" s="438" t="s">
        <v>311</v>
      </c>
      <c r="D59" s="439"/>
      <c r="E59" s="439"/>
      <c r="F59" s="439"/>
      <c r="G59" s="439"/>
      <c r="H59" s="456"/>
      <c r="I59" s="438" t="s">
        <v>486</v>
      </c>
      <c r="J59" s="439"/>
      <c r="K59" s="439"/>
      <c r="L59" s="439"/>
      <c r="M59" s="439"/>
      <c r="N59" s="439"/>
      <c r="O59" s="439"/>
      <c r="P59" s="439"/>
      <c r="Q59" s="439"/>
      <c r="R59" s="439"/>
      <c r="S59" s="204">
        <f ca="1">IF((U34-U38-U47)&lt;=3500, 0, IF((U34-U38-U47)&gt;3500, 1.68))</f>
        <v>1.68</v>
      </c>
      <c r="T59" s="205" t="str">
        <f>T58</f>
        <v>FY2018</v>
      </c>
      <c r="U59" s="371">
        <f ca="1">IF(OR(C59="",C59="&lt;Select job title, if any&gt;"),0,IF(OR(T59="&lt;Select FY&gt;",T59=""),0,S59*VLOOKUP(C59,Clin5000Rates,VLOOKUP(T59,FiscalYearTable,2,FALSE),FALSE)))</f>
        <v>112.72799999999998</v>
      </c>
      <c r="V59" s="372"/>
      <c r="W59" s="1"/>
      <c r="X59" s="15"/>
      <c r="Y59" s="15"/>
      <c r="Z59" s="15"/>
      <c r="AA59" s="15"/>
      <c r="AB59" s="15"/>
      <c r="AC59" s="16"/>
      <c r="AG59" s="87"/>
      <c r="AH59" s="87"/>
    </row>
    <row r="60" spans="1:49" ht="8.15" customHeight="1" thickBot="1">
      <c r="A60" s="1"/>
      <c r="B60" s="4"/>
      <c r="C60" s="4"/>
      <c r="D60" s="4"/>
      <c r="E60" s="4"/>
      <c r="F60" s="4"/>
      <c r="G60" s="4"/>
      <c r="H60" s="4"/>
      <c r="I60" s="4"/>
      <c r="J60" s="4"/>
      <c r="K60" s="4"/>
      <c r="L60" s="4"/>
      <c r="M60" s="4"/>
      <c r="N60" s="4"/>
      <c r="O60" s="4"/>
      <c r="P60" s="4"/>
      <c r="Q60" s="4"/>
      <c r="R60" s="4"/>
      <c r="S60" s="4"/>
      <c r="T60" s="4"/>
      <c r="U60" s="4"/>
      <c r="V60" s="4"/>
      <c r="W60" s="1"/>
      <c r="X60" s="15"/>
      <c r="Y60" s="15"/>
      <c r="Z60" s="15"/>
      <c r="AA60" s="15"/>
      <c r="AB60" s="15"/>
      <c r="AC60" s="16"/>
      <c r="AG60" s="87"/>
      <c r="AH60" s="87"/>
    </row>
    <row r="61" spans="1:49" ht="18" customHeight="1">
      <c r="A61" s="1"/>
      <c r="B61" s="5" t="s">
        <v>101</v>
      </c>
      <c r="C61" s="1"/>
      <c r="D61" s="1"/>
      <c r="E61" s="1"/>
      <c r="F61" s="1"/>
      <c r="G61" s="1"/>
      <c r="H61" s="1"/>
      <c r="I61" s="19"/>
      <c r="J61" s="479" t="s">
        <v>177</v>
      </c>
      <c r="K61" s="479"/>
      <c r="L61" s="479"/>
      <c r="M61" s="479"/>
      <c r="N61" s="43" t="s">
        <v>172</v>
      </c>
      <c r="O61" s="1"/>
      <c r="P61" s="43" t="s">
        <v>171</v>
      </c>
      <c r="Q61" s="1"/>
      <c r="R61" s="17"/>
      <c r="S61" s="50"/>
      <c r="T61" s="49" t="s">
        <v>170</v>
      </c>
      <c r="U61" s="412">
        <f>ROUND(SUM(U63:U72),2)</f>
        <v>0</v>
      </c>
      <c r="V61" s="413"/>
      <c r="W61" s="1"/>
      <c r="X61" s="15"/>
      <c r="Y61" s="15"/>
      <c r="Z61" s="15"/>
      <c r="AA61" s="15"/>
      <c r="AB61" s="15"/>
      <c r="AC61" s="16"/>
      <c r="AG61" s="87"/>
      <c r="AH61" s="87"/>
    </row>
    <row r="62" spans="1:49" s="105" customFormat="1" ht="13.5" hidden="1">
      <c r="A62" s="97"/>
      <c r="B62" s="98"/>
      <c r="C62" s="99" t="s">
        <v>450</v>
      </c>
      <c r="D62" s="97"/>
      <c r="E62" s="97"/>
      <c r="F62" s="97"/>
      <c r="G62" s="97"/>
      <c r="H62" s="97"/>
      <c r="I62" s="100" t="s">
        <v>117</v>
      </c>
      <c r="J62" s="101"/>
      <c r="K62" s="101"/>
      <c r="L62" s="101"/>
      <c r="M62" s="101"/>
      <c r="N62" s="100"/>
      <c r="O62" s="97"/>
      <c r="P62" s="97"/>
      <c r="Q62" s="97"/>
      <c r="R62" s="98"/>
      <c r="S62" s="102" t="s">
        <v>130</v>
      </c>
      <c r="T62" s="102" t="s">
        <v>35</v>
      </c>
      <c r="U62" s="98" t="s">
        <v>123</v>
      </c>
      <c r="V62" s="98"/>
      <c r="W62" s="97"/>
      <c r="X62" s="103"/>
      <c r="Y62" s="103"/>
      <c r="Z62" s="103"/>
      <c r="AA62" s="103"/>
      <c r="AB62" s="103"/>
      <c r="AC62" s="104"/>
      <c r="AD62" s="306"/>
      <c r="AE62" s="74"/>
      <c r="AF62" s="74"/>
      <c r="AG62" s="87"/>
      <c r="AH62" s="87"/>
      <c r="AI62" s="74"/>
      <c r="AJ62" s="74"/>
      <c r="AK62" s="74"/>
      <c r="AL62" s="74"/>
      <c r="AM62" s="74"/>
      <c r="AN62" s="74"/>
      <c r="AO62" s="74"/>
      <c r="AP62" s="74"/>
      <c r="AQ62" s="74"/>
      <c r="AR62" s="74"/>
      <c r="AS62" s="74"/>
      <c r="AT62" s="74"/>
      <c r="AU62" s="74"/>
      <c r="AV62" s="74"/>
      <c r="AW62" s="74"/>
    </row>
    <row r="63" spans="1:49" hidden="1">
      <c r="A63" s="1"/>
      <c r="B63" s="12" t="s">
        <v>159</v>
      </c>
      <c r="C63" s="416" t="s">
        <v>133</v>
      </c>
      <c r="D63" s="446"/>
      <c r="E63" s="446"/>
      <c r="F63" s="446"/>
      <c r="G63" s="446"/>
      <c r="H63" s="447"/>
      <c r="I63" s="416"/>
      <c r="J63" s="446"/>
      <c r="K63" s="446"/>
      <c r="L63" s="446"/>
      <c r="M63" s="446"/>
      <c r="N63" s="446"/>
      <c r="O63" s="446"/>
      <c r="P63" s="446"/>
      <c r="Q63" s="446"/>
      <c r="R63" s="447"/>
      <c r="S63" s="203"/>
      <c r="T63" s="70" t="s">
        <v>36</v>
      </c>
      <c r="U63" s="369">
        <f t="shared" ref="U63:U72" si="1">IF(OR(C63="",C63="&lt;Select job title, if any&gt;"),0,IF(OR(T63="&lt;Select FY&gt;",T63=""),0,S63*VLOOKUP(C63,Clin5000Rates,VLOOKUP(T63,FiscalYearTable,2,FALSE),FALSE)))</f>
        <v>0</v>
      </c>
      <c r="V63" s="370"/>
      <c r="W63" s="1"/>
      <c r="X63" s="32"/>
      <c r="Y63" s="15"/>
      <c r="Z63" s="15"/>
      <c r="AA63" s="15"/>
      <c r="AB63" s="15"/>
      <c r="AC63" s="16"/>
      <c r="AG63" s="87"/>
      <c r="AH63" s="87"/>
    </row>
    <row r="64" spans="1:49" hidden="1">
      <c r="A64" s="1"/>
      <c r="B64" s="12" t="s">
        <v>160</v>
      </c>
      <c r="C64" s="416"/>
      <c r="D64" s="446"/>
      <c r="E64" s="446"/>
      <c r="F64" s="446"/>
      <c r="G64" s="446"/>
      <c r="H64" s="447"/>
      <c r="I64" s="416"/>
      <c r="J64" s="446"/>
      <c r="K64" s="446"/>
      <c r="L64" s="446"/>
      <c r="M64" s="446"/>
      <c r="N64" s="446"/>
      <c r="O64" s="446"/>
      <c r="P64" s="446"/>
      <c r="Q64" s="446"/>
      <c r="R64" s="446"/>
      <c r="S64" s="203"/>
      <c r="T64" s="70"/>
      <c r="U64" s="369">
        <f t="shared" si="1"/>
        <v>0</v>
      </c>
      <c r="V64" s="370"/>
      <c r="W64" s="1"/>
      <c r="X64" s="15"/>
      <c r="Y64" s="15"/>
      <c r="Z64" s="15"/>
      <c r="AA64" s="15"/>
      <c r="AB64" s="15"/>
      <c r="AC64" s="16"/>
      <c r="AG64" s="87"/>
      <c r="AH64" s="87"/>
    </row>
    <row r="65" spans="1:49" hidden="1">
      <c r="A65" s="1"/>
      <c r="B65" s="12" t="s">
        <v>161</v>
      </c>
      <c r="C65" s="416"/>
      <c r="D65" s="446"/>
      <c r="E65" s="446"/>
      <c r="F65" s="446"/>
      <c r="G65" s="446"/>
      <c r="H65" s="447"/>
      <c r="I65" s="416"/>
      <c r="J65" s="446"/>
      <c r="K65" s="446"/>
      <c r="L65" s="446"/>
      <c r="M65" s="446"/>
      <c r="N65" s="446"/>
      <c r="O65" s="446"/>
      <c r="P65" s="446"/>
      <c r="Q65" s="446"/>
      <c r="R65" s="446"/>
      <c r="S65" s="203"/>
      <c r="T65" s="70"/>
      <c r="U65" s="369">
        <f t="shared" si="1"/>
        <v>0</v>
      </c>
      <c r="V65" s="370"/>
      <c r="W65" s="1"/>
      <c r="X65" s="15"/>
      <c r="Y65" s="15"/>
      <c r="Z65" s="15"/>
      <c r="AA65" s="15"/>
      <c r="AB65" s="15"/>
      <c r="AC65" s="16"/>
      <c r="AG65" s="87"/>
      <c r="AH65" s="87"/>
    </row>
    <row r="66" spans="1:49" hidden="1">
      <c r="A66" s="1"/>
      <c r="B66" s="12" t="s">
        <v>162</v>
      </c>
      <c r="C66" s="416"/>
      <c r="D66" s="446"/>
      <c r="E66" s="446"/>
      <c r="F66" s="446"/>
      <c r="G66" s="446"/>
      <c r="H66" s="447"/>
      <c r="I66" s="416"/>
      <c r="J66" s="446"/>
      <c r="K66" s="446"/>
      <c r="L66" s="446"/>
      <c r="M66" s="446"/>
      <c r="N66" s="446"/>
      <c r="O66" s="446"/>
      <c r="P66" s="446"/>
      <c r="Q66" s="446"/>
      <c r="R66" s="446"/>
      <c r="S66" s="203"/>
      <c r="T66" s="70"/>
      <c r="U66" s="369">
        <f t="shared" si="1"/>
        <v>0</v>
      </c>
      <c r="V66" s="370"/>
      <c r="W66" s="1"/>
      <c r="X66" s="15"/>
      <c r="Y66" s="15"/>
      <c r="Z66" s="15"/>
      <c r="AA66" s="15"/>
      <c r="AB66" s="15"/>
      <c r="AC66" s="16"/>
      <c r="AG66" s="87"/>
      <c r="AH66" s="87"/>
    </row>
    <row r="67" spans="1:49" hidden="1">
      <c r="A67" s="1"/>
      <c r="B67" s="12" t="s">
        <v>163</v>
      </c>
      <c r="C67" s="416"/>
      <c r="D67" s="446"/>
      <c r="E67" s="446"/>
      <c r="F67" s="446"/>
      <c r="G67" s="446"/>
      <c r="H67" s="447"/>
      <c r="I67" s="416"/>
      <c r="J67" s="446"/>
      <c r="K67" s="446"/>
      <c r="L67" s="446"/>
      <c r="M67" s="446"/>
      <c r="N67" s="446"/>
      <c r="O67" s="446"/>
      <c r="P67" s="446"/>
      <c r="Q67" s="446"/>
      <c r="R67" s="446"/>
      <c r="S67" s="203"/>
      <c r="T67" s="70"/>
      <c r="U67" s="369">
        <f t="shared" si="1"/>
        <v>0</v>
      </c>
      <c r="V67" s="370"/>
      <c r="W67" s="1"/>
      <c r="X67" s="15"/>
      <c r="Y67" s="15"/>
      <c r="Z67" s="15"/>
      <c r="AA67" s="15"/>
      <c r="AB67" s="15"/>
      <c r="AC67" s="16"/>
      <c r="AG67" s="87"/>
      <c r="AH67" s="87"/>
    </row>
    <row r="68" spans="1:49" hidden="1">
      <c r="A68" s="1"/>
      <c r="B68" s="12" t="s">
        <v>164</v>
      </c>
      <c r="C68" s="416"/>
      <c r="D68" s="446"/>
      <c r="E68" s="446"/>
      <c r="F68" s="446"/>
      <c r="G68" s="446"/>
      <c r="H68" s="447"/>
      <c r="I68" s="416"/>
      <c r="J68" s="446"/>
      <c r="K68" s="446"/>
      <c r="L68" s="446"/>
      <c r="M68" s="446"/>
      <c r="N68" s="446"/>
      <c r="O68" s="446"/>
      <c r="P68" s="446"/>
      <c r="Q68" s="446"/>
      <c r="R68" s="446"/>
      <c r="S68" s="203"/>
      <c r="T68" s="70"/>
      <c r="U68" s="369">
        <f t="shared" si="1"/>
        <v>0</v>
      </c>
      <c r="V68" s="370"/>
      <c r="W68" s="1"/>
      <c r="X68" s="15"/>
      <c r="Y68" s="15"/>
      <c r="Z68" s="15"/>
      <c r="AA68" s="15"/>
      <c r="AB68" s="15"/>
      <c r="AC68" s="16"/>
      <c r="AG68" s="87"/>
      <c r="AH68" s="87"/>
    </row>
    <row r="69" spans="1:49" hidden="1">
      <c r="A69" s="1"/>
      <c r="B69" s="12" t="s">
        <v>165</v>
      </c>
      <c r="C69" s="416"/>
      <c r="D69" s="446"/>
      <c r="E69" s="446"/>
      <c r="F69" s="446"/>
      <c r="G69" s="446"/>
      <c r="H69" s="447"/>
      <c r="I69" s="416"/>
      <c r="J69" s="446"/>
      <c r="K69" s="446"/>
      <c r="L69" s="446"/>
      <c r="M69" s="446"/>
      <c r="N69" s="446"/>
      <c r="O69" s="446"/>
      <c r="P69" s="446"/>
      <c r="Q69" s="446"/>
      <c r="R69" s="446"/>
      <c r="S69" s="203"/>
      <c r="T69" s="70"/>
      <c r="U69" s="369">
        <f t="shared" si="1"/>
        <v>0</v>
      </c>
      <c r="V69" s="370"/>
      <c r="W69" s="1"/>
      <c r="X69" s="15"/>
      <c r="Y69" s="15"/>
      <c r="Z69" s="15"/>
      <c r="AA69" s="15"/>
      <c r="AB69" s="15"/>
      <c r="AC69" s="16"/>
      <c r="AG69" s="87"/>
      <c r="AH69" s="87"/>
    </row>
    <row r="70" spans="1:49" hidden="1">
      <c r="A70" s="1"/>
      <c r="B70" s="12" t="s">
        <v>166</v>
      </c>
      <c r="C70" s="416"/>
      <c r="D70" s="446"/>
      <c r="E70" s="446"/>
      <c r="F70" s="446"/>
      <c r="G70" s="446"/>
      <c r="H70" s="447"/>
      <c r="I70" s="416"/>
      <c r="J70" s="446"/>
      <c r="K70" s="446"/>
      <c r="L70" s="446"/>
      <c r="M70" s="446"/>
      <c r="N70" s="446"/>
      <c r="O70" s="446"/>
      <c r="P70" s="446"/>
      <c r="Q70" s="446"/>
      <c r="R70" s="446"/>
      <c r="S70" s="203"/>
      <c r="T70" s="70"/>
      <c r="U70" s="369">
        <f t="shared" si="1"/>
        <v>0</v>
      </c>
      <c r="V70" s="370"/>
      <c r="W70" s="1"/>
      <c r="X70" s="15"/>
      <c r="Y70" s="15"/>
      <c r="Z70" s="15"/>
      <c r="AA70" s="15"/>
      <c r="AB70" s="15"/>
      <c r="AC70" s="16"/>
      <c r="AG70" s="87"/>
      <c r="AH70" s="87"/>
    </row>
    <row r="71" spans="1:49" hidden="1">
      <c r="A71" s="1"/>
      <c r="B71" s="12" t="s">
        <v>54</v>
      </c>
      <c r="C71" s="416"/>
      <c r="D71" s="446"/>
      <c r="E71" s="446"/>
      <c r="F71" s="446"/>
      <c r="G71" s="446"/>
      <c r="H71" s="447"/>
      <c r="I71" s="416"/>
      <c r="J71" s="446"/>
      <c r="K71" s="446"/>
      <c r="L71" s="446"/>
      <c r="M71" s="446"/>
      <c r="N71" s="446"/>
      <c r="O71" s="446"/>
      <c r="P71" s="446"/>
      <c r="Q71" s="446"/>
      <c r="R71" s="446"/>
      <c r="S71" s="203"/>
      <c r="T71" s="70"/>
      <c r="U71" s="369">
        <f t="shared" si="1"/>
        <v>0</v>
      </c>
      <c r="V71" s="370"/>
      <c r="W71" s="1"/>
      <c r="X71" s="15"/>
      <c r="Y71" s="15"/>
      <c r="Z71" s="15"/>
      <c r="AA71" s="15"/>
      <c r="AB71" s="15"/>
      <c r="AC71" s="16"/>
      <c r="AG71" s="87"/>
      <c r="AH71" s="87"/>
    </row>
    <row r="72" spans="1:49" hidden="1">
      <c r="A72" s="1"/>
      <c r="B72" s="12" t="s">
        <v>55</v>
      </c>
      <c r="C72" s="416"/>
      <c r="D72" s="446"/>
      <c r="E72" s="446"/>
      <c r="F72" s="446"/>
      <c r="G72" s="446"/>
      <c r="H72" s="447"/>
      <c r="I72" s="416"/>
      <c r="J72" s="446"/>
      <c r="K72" s="446"/>
      <c r="L72" s="446"/>
      <c r="M72" s="446"/>
      <c r="N72" s="446"/>
      <c r="O72" s="446"/>
      <c r="P72" s="446"/>
      <c r="Q72" s="446"/>
      <c r="R72" s="446"/>
      <c r="S72" s="203"/>
      <c r="T72" s="70"/>
      <c r="U72" s="369">
        <f t="shared" si="1"/>
        <v>0</v>
      </c>
      <c r="V72" s="370"/>
      <c r="W72" s="1"/>
      <c r="X72" s="15"/>
      <c r="Y72" s="15"/>
      <c r="Z72" s="15"/>
      <c r="AA72" s="15"/>
      <c r="AB72" s="15"/>
      <c r="AC72" s="16"/>
      <c r="AG72" s="87"/>
      <c r="AH72" s="87"/>
    </row>
    <row r="73" spans="1:49" ht="4.5" customHeight="1" thickBot="1">
      <c r="A73" s="1"/>
      <c r="B73" s="4"/>
      <c r="C73" s="4"/>
      <c r="D73" s="4"/>
      <c r="E73" s="4"/>
      <c r="F73" s="4"/>
      <c r="G73" s="4"/>
      <c r="H73" s="4"/>
      <c r="I73" s="4"/>
      <c r="J73" s="4"/>
      <c r="K73" s="4"/>
      <c r="L73" s="4"/>
      <c r="M73" s="4"/>
      <c r="N73" s="4"/>
      <c r="O73" s="4"/>
      <c r="P73" s="4"/>
      <c r="Q73" s="4"/>
      <c r="R73" s="4"/>
      <c r="S73" s="4"/>
      <c r="T73" s="4"/>
      <c r="U73" s="4"/>
      <c r="V73" s="4"/>
      <c r="W73" s="1"/>
      <c r="X73" s="15"/>
      <c r="Y73" s="15"/>
      <c r="Z73" s="15"/>
      <c r="AA73" s="15"/>
      <c r="AB73" s="15"/>
      <c r="AC73" s="16"/>
      <c r="AG73" s="87"/>
      <c r="AH73" s="87"/>
    </row>
    <row r="74" spans="1:49" ht="18" customHeight="1">
      <c r="A74" s="1"/>
      <c r="B74" s="20" t="s">
        <v>143</v>
      </c>
      <c r="C74" s="8"/>
      <c r="D74" s="8"/>
      <c r="E74" s="8"/>
      <c r="F74" s="8"/>
      <c r="G74" s="8"/>
      <c r="H74" s="8"/>
      <c r="I74" s="8"/>
      <c r="J74" s="479" t="s">
        <v>462</v>
      </c>
      <c r="K74" s="479"/>
      <c r="L74" s="479"/>
      <c r="M74" s="479"/>
      <c r="N74" s="43" t="s">
        <v>172</v>
      </c>
      <c r="O74" s="24"/>
      <c r="P74" s="43" t="s">
        <v>171</v>
      </c>
      <c r="Q74" s="9"/>
      <c r="R74" s="9"/>
      <c r="S74" s="48" t="str">
        <f>IF(AD74&gt;0,"INC","")</f>
        <v/>
      </c>
      <c r="T74" s="49" t="s">
        <v>170</v>
      </c>
      <c r="U74" s="412">
        <f>ROUND(SUM(U77:U91)+SUM(U93:U142),2)</f>
        <v>5616.91</v>
      </c>
      <c r="V74" s="413"/>
      <c r="W74" s="1"/>
      <c r="X74" s="15"/>
      <c r="Y74" s="15"/>
      <c r="Z74" s="15"/>
      <c r="AA74" s="15"/>
      <c r="AB74" s="15"/>
      <c r="AC74" s="16"/>
      <c r="AD74" s="307">
        <f>SUM(AD75:AD142)</f>
        <v>0</v>
      </c>
      <c r="AG74" s="87"/>
      <c r="AH74" s="87"/>
    </row>
    <row r="75" spans="1:49" ht="18" customHeight="1" collapsed="1">
      <c r="A75" s="1"/>
      <c r="B75" s="12"/>
      <c r="C75" s="1"/>
      <c r="D75" s="1"/>
      <c r="E75" s="1"/>
      <c r="F75" s="1"/>
      <c r="G75" s="1"/>
      <c r="H75" s="1"/>
      <c r="I75" s="1"/>
      <c r="J75" s="428" t="s">
        <v>174</v>
      </c>
      <c r="K75" s="428"/>
      <c r="L75" s="428"/>
      <c r="M75" s="428"/>
      <c r="N75" s="44" t="s">
        <v>172</v>
      </c>
      <c r="O75" s="1"/>
      <c r="P75" s="44" t="s">
        <v>171</v>
      </c>
      <c r="Q75" s="1"/>
      <c r="R75" s="1"/>
      <c r="S75" s="206"/>
      <c r="T75" s="1"/>
      <c r="U75" s="1"/>
      <c r="V75" s="1"/>
      <c r="W75" s="1"/>
      <c r="X75" s="15"/>
      <c r="Y75" s="15"/>
      <c r="Z75" s="15"/>
      <c r="AA75" s="15"/>
      <c r="AB75" s="15"/>
      <c r="AC75" s="16"/>
      <c r="AG75" s="87"/>
      <c r="AH75" s="87"/>
    </row>
    <row r="76" spans="1:49" s="105" customFormat="1" ht="21">
      <c r="A76" s="97"/>
      <c r="B76" s="98"/>
      <c r="C76" s="99" t="s">
        <v>461</v>
      </c>
      <c r="D76" s="97"/>
      <c r="E76" s="97"/>
      <c r="F76" s="97"/>
      <c r="G76" s="97"/>
      <c r="H76" s="97"/>
      <c r="I76" s="97"/>
      <c r="J76" s="97"/>
      <c r="K76" s="97"/>
      <c r="L76" s="97"/>
      <c r="M76" s="97" t="s">
        <v>250</v>
      </c>
      <c r="N76" s="98"/>
      <c r="O76" s="207"/>
      <c r="P76" s="98"/>
      <c r="R76" s="109"/>
      <c r="S76" s="96" t="s">
        <v>182</v>
      </c>
      <c r="T76" s="98" t="s">
        <v>127</v>
      </c>
      <c r="U76" s="98" t="s">
        <v>123</v>
      </c>
      <c r="V76" s="98"/>
      <c r="W76" s="97"/>
      <c r="X76" s="103"/>
      <c r="Y76" s="103"/>
      <c r="Z76" s="103"/>
      <c r="AA76" s="103"/>
      <c r="AB76" s="103"/>
      <c r="AC76" s="104"/>
      <c r="AD76" s="306"/>
      <c r="AE76" s="74"/>
      <c r="AF76" s="74"/>
      <c r="AG76" s="87"/>
      <c r="AH76" s="87"/>
      <c r="AI76" s="74"/>
      <c r="AJ76" s="74"/>
      <c r="AK76" s="74"/>
      <c r="AL76" s="74"/>
      <c r="AM76" s="74"/>
      <c r="AN76" s="74"/>
      <c r="AO76" s="74"/>
      <c r="AP76" s="74"/>
      <c r="AQ76" s="74"/>
      <c r="AR76" s="74"/>
      <c r="AS76" s="74"/>
      <c r="AT76" s="74"/>
      <c r="AU76" s="74"/>
      <c r="AV76" s="74"/>
      <c r="AW76" s="74"/>
    </row>
    <row r="77" spans="1:49">
      <c r="A77" s="1"/>
      <c r="B77" s="12" t="s">
        <v>144</v>
      </c>
      <c r="C77" s="416" t="s">
        <v>538</v>
      </c>
      <c r="D77" s="417"/>
      <c r="E77" s="417"/>
      <c r="F77" s="417"/>
      <c r="G77" s="417"/>
      <c r="H77" s="417"/>
      <c r="I77" s="417"/>
      <c r="J77" s="417"/>
      <c r="K77" s="417"/>
      <c r="L77" s="418"/>
      <c r="M77" s="417" t="s">
        <v>2701</v>
      </c>
      <c r="N77" s="417"/>
      <c r="O77" s="417"/>
      <c r="P77" s="417"/>
      <c r="Q77" s="417"/>
      <c r="R77" s="418"/>
      <c r="S77" s="69"/>
      <c r="T77" s="40">
        <v>24</v>
      </c>
      <c r="U77" s="369">
        <f t="shared" ref="U77:U91" si="2">IF(OR(C77="",C77="&lt;Select ISP/OSP fixed price line item, if any&gt;"),0,T77*VLOOKUP(C77,ISP_OSP_Tasks_Price,2,FALSE)*IF(S77="",1,0))</f>
        <v>2176.08</v>
      </c>
      <c r="V77" s="370"/>
      <c r="W77" s="1"/>
      <c r="X77" s="15"/>
      <c r="Y77" s="15"/>
      <c r="Z77" s="15"/>
      <c r="AA77" s="15"/>
      <c r="AB77" s="15"/>
      <c r="AC77" s="16"/>
      <c r="AD77" s="307">
        <f>IF(U77="TBD",1,0)</f>
        <v>0</v>
      </c>
      <c r="AG77" s="87"/>
      <c r="AH77" s="87"/>
    </row>
    <row r="78" spans="1:49">
      <c r="A78" s="1"/>
      <c r="B78" s="12" t="s">
        <v>145</v>
      </c>
      <c r="C78" s="416" t="s">
        <v>2421</v>
      </c>
      <c r="D78" s="417"/>
      <c r="E78" s="417"/>
      <c r="F78" s="417"/>
      <c r="G78" s="417"/>
      <c r="H78" s="417"/>
      <c r="I78" s="417"/>
      <c r="J78" s="417"/>
      <c r="K78" s="417"/>
      <c r="L78" s="418"/>
      <c r="M78" s="417" t="s">
        <v>2700</v>
      </c>
      <c r="N78" s="417"/>
      <c r="O78" s="417"/>
      <c r="P78" s="417"/>
      <c r="Q78" s="417"/>
      <c r="R78" s="418"/>
      <c r="S78" s="69"/>
      <c r="T78" s="40">
        <v>1</v>
      </c>
      <c r="U78" s="369">
        <f t="shared" si="2"/>
        <v>30.48</v>
      </c>
      <c r="V78" s="370"/>
      <c r="W78" s="1"/>
      <c r="X78" s="15"/>
      <c r="Y78" s="15"/>
      <c r="Z78" s="15"/>
      <c r="AA78" s="15"/>
      <c r="AB78" s="15"/>
      <c r="AC78" s="16"/>
      <c r="AG78" s="87"/>
      <c r="AH78" s="87"/>
    </row>
    <row r="79" spans="1:49">
      <c r="A79" s="1"/>
      <c r="B79" s="12" t="s">
        <v>146</v>
      </c>
      <c r="C79" s="416" t="s">
        <v>395</v>
      </c>
      <c r="D79" s="417"/>
      <c r="E79" s="417"/>
      <c r="F79" s="417"/>
      <c r="G79" s="417"/>
      <c r="H79" s="417"/>
      <c r="I79" s="417"/>
      <c r="J79" s="417"/>
      <c r="K79" s="417"/>
      <c r="L79" s="418"/>
      <c r="M79" s="417" t="s">
        <v>2700</v>
      </c>
      <c r="N79" s="417"/>
      <c r="O79" s="417"/>
      <c r="P79" s="417"/>
      <c r="Q79" s="417"/>
      <c r="R79" s="418"/>
      <c r="S79" s="69"/>
      <c r="T79" s="40">
        <v>24</v>
      </c>
      <c r="U79" s="369">
        <f t="shared" si="2"/>
        <v>2176.08</v>
      </c>
      <c r="V79" s="370"/>
      <c r="W79" s="1"/>
      <c r="X79" s="15"/>
      <c r="Y79" s="15"/>
      <c r="Z79" s="15"/>
      <c r="AA79" s="15"/>
      <c r="AB79" s="15"/>
      <c r="AC79" s="16"/>
      <c r="AG79" s="87"/>
      <c r="AH79" s="87"/>
    </row>
    <row r="80" spans="1:49">
      <c r="A80" s="1"/>
      <c r="B80" s="12" t="s">
        <v>147</v>
      </c>
      <c r="C80" s="416" t="s">
        <v>538</v>
      </c>
      <c r="D80" s="417"/>
      <c r="E80" s="417"/>
      <c r="F80" s="417"/>
      <c r="G80" s="417"/>
      <c r="H80" s="417"/>
      <c r="I80" s="417"/>
      <c r="J80" s="417"/>
      <c r="K80" s="417"/>
      <c r="L80" s="418"/>
      <c r="M80" s="417" t="s">
        <v>2702</v>
      </c>
      <c r="N80" s="417"/>
      <c r="O80" s="417"/>
      <c r="P80" s="417"/>
      <c r="Q80" s="417"/>
      <c r="R80" s="418"/>
      <c r="S80" s="69"/>
      <c r="T80" s="40">
        <v>6</v>
      </c>
      <c r="U80" s="369">
        <f t="shared" si="2"/>
        <v>544.02</v>
      </c>
      <c r="V80" s="370"/>
      <c r="W80" s="1"/>
      <c r="X80" s="15"/>
      <c r="Y80" s="15"/>
      <c r="Z80" s="15"/>
      <c r="AA80" s="15"/>
      <c r="AB80" s="15"/>
      <c r="AC80" s="16"/>
      <c r="AG80" s="87"/>
      <c r="AH80" s="87"/>
    </row>
    <row r="81" spans="1:49">
      <c r="A81" s="1"/>
      <c r="B81" s="12" t="s">
        <v>148</v>
      </c>
      <c r="C81" s="416" t="s">
        <v>540</v>
      </c>
      <c r="D81" s="417"/>
      <c r="E81" s="417"/>
      <c r="F81" s="417"/>
      <c r="G81" s="417"/>
      <c r="H81" s="417"/>
      <c r="I81" s="417"/>
      <c r="J81" s="417"/>
      <c r="K81" s="417"/>
      <c r="L81" s="418"/>
      <c r="M81" s="417" t="s">
        <v>2702</v>
      </c>
      <c r="N81" s="417"/>
      <c r="O81" s="417"/>
      <c r="P81" s="417"/>
      <c r="Q81" s="417"/>
      <c r="R81" s="418"/>
      <c r="S81" s="69"/>
      <c r="T81" s="40">
        <v>6</v>
      </c>
      <c r="U81" s="369">
        <f t="shared" si="2"/>
        <v>215.16</v>
      </c>
      <c r="V81" s="370"/>
      <c r="W81" s="1"/>
      <c r="X81" s="15"/>
      <c r="Y81" s="15"/>
      <c r="Z81" s="15"/>
      <c r="AA81" s="15"/>
      <c r="AB81" s="15"/>
      <c r="AC81" s="16"/>
      <c r="AG81" s="87"/>
      <c r="AH81" s="87"/>
    </row>
    <row r="82" spans="1:49">
      <c r="A82" s="1"/>
      <c r="B82" s="12" t="s">
        <v>149</v>
      </c>
      <c r="C82" s="416" t="s">
        <v>541</v>
      </c>
      <c r="D82" s="417"/>
      <c r="E82" s="417"/>
      <c r="F82" s="417"/>
      <c r="G82" s="417"/>
      <c r="H82" s="417"/>
      <c r="I82" s="417"/>
      <c r="J82" s="417"/>
      <c r="K82" s="417"/>
      <c r="L82" s="418"/>
      <c r="M82" s="417" t="s">
        <v>2706</v>
      </c>
      <c r="N82" s="417"/>
      <c r="O82" s="417"/>
      <c r="P82" s="417"/>
      <c r="Q82" s="417"/>
      <c r="R82" s="418"/>
      <c r="S82" s="69"/>
      <c r="T82" s="40">
        <v>4</v>
      </c>
      <c r="U82" s="369">
        <f t="shared" si="2"/>
        <v>203.08</v>
      </c>
      <c r="V82" s="370"/>
      <c r="W82" s="1"/>
      <c r="X82" s="15"/>
      <c r="Y82" s="15"/>
      <c r="Z82" s="15"/>
      <c r="AA82" s="15"/>
      <c r="AB82" s="15"/>
      <c r="AC82" s="16"/>
      <c r="AG82" s="87"/>
      <c r="AH82" s="87"/>
    </row>
    <row r="83" spans="1:49">
      <c r="A83" s="1"/>
      <c r="B83" s="12" t="s">
        <v>150</v>
      </c>
      <c r="C83" s="416" t="s">
        <v>539</v>
      </c>
      <c r="D83" s="417"/>
      <c r="E83" s="417"/>
      <c r="F83" s="417"/>
      <c r="G83" s="417"/>
      <c r="H83" s="417"/>
      <c r="I83" s="417"/>
      <c r="J83" s="417"/>
      <c r="K83" s="417"/>
      <c r="L83" s="418"/>
      <c r="M83" s="417" t="s">
        <v>2706</v>
      </c>
      <c r="N83" s="417"/>
      <c r="O83" s="417"/>
      <c r="P83" s="417"/>
      <c r="Q83" s="417"/>
      <c r="R83" s="418"/>
      <c r="S83" s="69"/>
      <c r="T83" s="40">
        <v>3</v>
      </c>
      <c r="U83" s="369">
        <f t="shared" si="2"/>
        <v>272.01</v>
      </c>
      <c r="V83" s="370"/>
      <c r="W83" s="1"/>
      <c r="X83" s="15"/>
      <c r="Y83" s="15"/>
      <c r="Z83" s="15"/>
      <c r="AA83" s="15"/>
      <c r="AB83" s="15"/>
      <c r="AC83" s="16"/>
      <c r="AG83" s="87"/>
      <c r="AH83" s="87"/>
    </row>
    <row r="84" spans="1:49" hidden="1">
      <c r="A84" s="1"/>
      <c r="B84" s="12" t="s">
        <v>151</v>
      </c>
      <c r="C84" s="416"/>
      <c r="D84" s="417"/>
      <c r="E84" s="417"/>
      <c r="F84" s="417"/>
      <c r="G84" s="417"/>
      <c r="H84" s="417"/>
      <c r="I84" s="417"/>
      <c r="J84" s="417"/>
      <c r="K84" s="417"/>
      <c r="L84" s="418"/>
      <c r="M84" s="417"/>
      <c r="N84" s="417"/>
      <c r="O84" s="417"/>
      <c r="P84" s="417"/>
      <c r="Q84" s="417"/>
      <c r="R84" s="418"/>
      <c r="S84" s="69"/>
      <c r="T84" s="40"/>
      <c r="U84" s="369">
        <f t="shared" si="2"/>
        <v>0</v>
      </c>
      <c r="V84" s="370"/>
      <c r="W84" s="1"/>
      <c r="X84" s="15"/>
      <c r="Y84" s="15"/>
      <c r="Z84" s="15"/>
      <c r="AA84" s="15"/>
      <c r="AB84" s="15"/>
      <c r="AC84" s="16"/>
      <c r="AG84" s="87"/>
      <c r="AH84" s="87"/>
    </row>
    <row r="85" spans="1:49" hidden="1">
      <c r="A85" s="1"/>
      <c r="B85" s="12" t="s">
        <v>152</v>
      </c>
      <c r="C85" s="416"/>
      <c r="D85" s="417"/>
      <c r="E85" s="417"/>
      <c r="F85" s="417"/>
      <c r="G85" s="417"/>
      <c r="H85" s="417"/>
      <c r="I85" s="417"/>
      <c r="J85" s="417"/>
      <c r="K85" s="417"/>
      <c r="L85" s="418"/>
      <c r="M85" s="417"/>
      <c r="N85" s="417"/>
      <c r="O85" s="417"/>
      <c r="P85" s="417"/>
      <c r="Q85" s="417"/>
      <c r="R85" s="418"/>
      <c r="S85" s="69"/>
      <c r="T85" s="40"/>
      <c r="U85" s="369">
        <f t="shared" si="2"/>
        <v>0</v>
      </c>
      <c r="V85" s="370"/>
      <c r="W85" s="1"/>
      <c r="X85" s="15"/>
      <c r="Y85" s="15"/>
      <c r="Z85" s="15"/>
      <c r="AA85" s="15"/>
      <c r="AB85" s="15"/>
      <c r="AC85" s="16"/>
      <c r="AG85" s="87"/>
      <c r="AH85" s="87"/>
    </row>
    <row r="86" spans="1:49" hidden="1">
      <c r="A86" s="1"/>
      <c r="B86" s="12" t="s">
        <v>153</v>
      </c>
      <c r="C86" s="429"/>
      <c r="D86" s="430"/>
      <c r="E86" s="430"/>
      <c r="F86" s="430"/>
      <c r="G86" s="430"/>
      <c r="H86" s="430"/>
      <c r="I86" s="430"/>
      <c r="J86" s="430"/>
      <c r="K86" s="430"/>
      <c r="L86" s="431"/>
      <c r="M86" s="417"/>
      <c r="N86" s="417"/>
      <c r="O86" s="417"/>
      <c r="P86" s="417"/>
      <c r="Q86" s="417"/>
      <c r="R86" s="418"/>
      <c r="S86" s="69"/>
      <c r="T86" s="40"/>
      <c r="U86" s="369">
        <f t="shared" si="2"/>
        <v>0</v>
      </c>
      <c r="V86" s="370"/>
      <c r="W86" s="1"/>
      <c r="X86" s="15"/>
      <c r="Y86" s="15"/>
      <c r="Z86" s="15"/>
      <c r="AA86" s="15"/>
      <c r="AB86" s="15"/>
      <c r="AC86" s="16"/>
      <c r="AG86" s="87"/>
      <c r="AH86" s="87"/>
    </row>
    <row r="87" spans="1:49" hidden="1">
      <c r="A87" s="1"/>
      <c r="B87" s="12" t="s">
        <v>154</v>
      </c>
      <c r="C87" s="416"/>
      <c r="D87" s="417"/>
      <c r="E87" s="417"/>
      <c r="F87" s="417"/>
      <c r="G87" s="417"/>
      <c r="H87" s="417"/>
      <c r="I87" s="417"/>
      <c r="J87" s="417"/>
      <c r="K87" s="417"/>
      <c r="L87" s="418"/>
      <c r="M87" s="417"/>
      <c r="N87" s="417"/>
      <c r="O87" s="417"/>
      <c r="P87" s="417"/>
      <c r="Q87" s="417"/>
      <c r="R87" s="418"/>
      <c r="S87" s="69"/>
      <c r="T87" s="40"/>
      <c r="U87" s="369">
        <f t="shared" si="2"/>
        <v>0</v>
      </c>
      <c r="V87" s="370"/>
      <c r="W87" s="1"/>
      <c r="X87" s="15"/>
      <c r="Y87" s="15"/>
      <c r="Z87" s="15"/>
      <c r="AA87" s="15"/>
      <c r="AB87" s="15"/>
      <c r="AC87" s="16"/>
      <c r="AG87" s="87"/>
      <c r="AH87" s="87"/>
    </row>
    <row r="88" spans="1:49" hidden="1">
      <c r="A88" s="1"/>
      <c r="B88" s="12" t="s">
        <v>155</v>
      </c>
      <c r="C88" s="416"/>
      <c r="D88" s="417"/>
      <c r="E88" s="417"/>
      <c r="F88" s="417"/>
      <c r="G88" s="417"/>
      <c r="H88" s="417"/>
      <c r="I88" s="417"/>
      <c r="J88" s="417"/>
      <c r="K88" s="417"/>
      <c r="L88" s="418"/>
      <c r="M88" s="417"/>
      <c r="N88" s="417"/>
      <c r="O88" s="417"/>
      <c r="P88" s="417"/>
      <c r="Q88" s="417"/>
      <c r="R88" s="418"/>
      <c r="S88" s="69"/>
      <c r="T88" s="40"/>
      <c r="U88" s="369">
        <f t="shared" si="2"/>
        <v>0</v>
      </c>
      <c r="V88" s="370"/>
      <c r="W88" s="1"/>
      <c r="X88" s="15"/>
      <c r="Y88" s="15"/>
      <c r="Z88" s="15"/>
      <c r="AA88" s="15"/>
      <c r="AB88" s="15"/>
      <c r="AC88" s="16"/>
      <c r="AG88" s="87"/>
      <c r="AH88" s="87"/>
    </row>
    <row r="89" spans="1:49" hidden="1">
      <c r="A89" s="1"/>
      <c r="B89" s="12" t="s">
        <v>95</v>
      </c>
      <c r="C89" s="416"/>
      <c r="D89" s="417"/>
      <c r="E89" s="417"/>
      <c r="F89" s="417"/>
      <c r="G89" s="417"/>
      <c r="H89" s="417"/>
      <c r="I89" s="417"/>
      <c r="J89" s="417"/>
      <c r="K89" s="417"/>
      <c r="L89" s="418"/>
      <c r="M89" s="417"/>
      <c r="N89" s="417"/>
      <c r="O89" s="417"/>
      <c r="P89" s="417"/>
      <c r="Q89" s="417"/>
      <c r="R89" s="418"/>
      <c r="S89" s="69"/>
      <c r="T89" s="40"/>
      <c r="U89" s="369">
        <f t="shared" si="2"/>
        <v>0</v>
      </c>
      <c r="V89" s="370"/>
      <c r="W89" s="1"/>
      <c r="X89" s="15"/>
      <c r="Y89" s="15"/>
      <c r="Z89" s="15"/>
      <c r="AA89" s="15"/>
      <c r="AB89" s="15"/>
      <c r="AC89" s="16"/>
      <c r="AG89" s="87"/>
      <c r="AH89" s="87"/>
    </row>
    <row r="90" spans="1:49" hidden="1">
      <c r="A90" s="1"/>
      <c r="B90" s="12" t="s">
        <v>96</v>
      </c>
      <c r="C90" s="416"/>
      <c r="D90" s="417"/>
      <c r="E90" s="417"/>
      <c r="F90" s="417"/>
      <c r="G90" s="417"/>
      <c r="H90" s="417"/>
      <c r="I90" s="417"/>
      <c r="J90" s="417"/>
      <c r="K90" s="417"/>
      <c r="L90" s="418"/>
      <c r="M90" s="417"/>
      <c r="N90" s="417"/>
      <c r="O90" s="417"/>
      <c r="P90" s="417"/>
      <c r="Q90" s="417"/>
      <c r="R90" s="418"/>
      <c r="S90" s="69"/>
      <c r="T90" s="40"/>
      <c r="U90" s="369">
        <f t="shared" si="2"/>
        <v>0</v>
      </c>
      <c r="V90" s="370"/>
      <c r="W90" s="1"/>
      <c r="X90" s="15"/>
      <c r="Y90" s="15"/>
      <c r="Z90" s="15"/>
      <c r="AA90" s="15"/>
      <c r="AB90" s="15"/>
      <c r="AC90" s="16"/>
      <c r="AG90" s="87"/>
      <c r="AH90" s="87"/>
    </row>
    <row r="91" spans="1:49" hidden="1">
      <c r="A91" s="1"/>
      <c r="B91" s="12" t="s">
        <v>97</v>
      </c>
      <c r="C91" s="416"/>
      <c r="D91" s="417"/>
      <c r="E91" s="417"/>
      <c r="F91" s="417"/>
      <c r="G91" s="417"/>
      <c r="H91" s="417"/>
      <c r="I91" s="417"/>
      <c r="J91" s="417"/>
      <c r="K91" s="417"/>
      <c r="L91" s="418"/>
      <c r="M91" s="417"/>
      <c r="N91" s="417"/>
      <c r="O91" s="417"/>
      <c r="P91" s="417"/>
      <c r="Q91" s="417"/>
      <c r="R91" s="418"/>
      <c r="S91" s="69"/>
      <c r="T91" s="40"/>
      <c r="U91" s="369">
        <f t="shared" si="2"/>
        <v>0</v>
      </c>
      <c r="V91" s="370"/>
      <c r="W91" s="1"/>
      <c r="X91" s="15"/>
      <c r="Y91" s="15"/>
      <c r="Z91" s="15"/>
      <c r="AA91" s="15"/>
      <c r="AB91" s="15"/>
      <c r="AC91" s="16"/>
      <c r="AG91" s="87"/>
      <c r="AH91" s="87"/>
    </row>
    <row r="92" spans="1:49" s="105" customFormat="1" ht="21" hidden="1">
      <c r="A92" s="97"/>
      <c r="B92" s="98"/>
      <c r="C92" s="107" t="s">
        <v>173</v>
      </c>
      <c r="D92" s="97"/>
      <c r="E92" s="97"/>
      <c r="F92" s="97"/>
      <c r="G92" s="97"/>
      <c r="H92" s="97"/>
      <c r="I92" s="97"/>
      <c r="J92" s="97"/>
      <c r="K92" s="97"/>
      <c r="L92" s="97"/>
      <c r="M92" s="97" t="s">
        <v>250</v>
      </c>
      <c r="N92" s="98"/>
      <c r="O92" s="106"/>
      <c r="P92" s="98"/>
      <c r="Q92" s="98"/>
      <c r="R92" s="109"/>
      <c r="S92" s="96" t="s">
        <v>182</v>
      </c>
      <c r="T92" s="98" t="s">
        <v>127</v>
      </c>
      <c r="U92" s="98" t="s">
        <v>123</v>
      </c>
      <c r="V92" s="98"/>
      <c r="W92" s="97"/>
      <c r="X92" s="103"/>
      <c r="Y92" s="103"/>
      <c r="Z92" s="103"/>
      <c r="AA92" s="103"/>
      <c r="AB92" s="103"/>
      <c r="AC92" s="104"/>
      <c r="AD92" s="306"/>
      <c r="AE92" s="74"/>
      <c r="AF92" s="74"/>
      <c r="AG92" s="87"/>
      <c r="AH92" s="87"/>
      <c r="AI92" s="74"/>
      <c r="AJ92" s="74"/>
      <c r="AK92" s="74"/>
      <c r="AL92" s="74"/>
      <c r="AM92" s="74"/>
      <c r="AN92" s="74"/>
      <c r="AO92" s="74"/>
      <c r="AP92" s="74"/>
      <c r="AQ92" s="74"/>
      <c r="AR92" s="74"/>
      <c r="AS92" s="74"/>
      <c r="AT92" s="74"/>
      <c r="AU92" s="74"/>
      <c r="AV92" s="74"/>
      <c r="AW92" s="74"/>
    </row>
    <row r="93" spans="1:49" hidden="1">
      <c r="A93" s="1"/>
      <c r="B93" s="12" t="s">
        <v>98</v>
      </c>
      <c r="C93" s="416"/>
      <c r="D93" s="417"/>
      <c r="E93" s="417"/>
      <c r="F93" s="417"/>
      <c r="G93" s="417"/>
      <c r="H93" s="417"/>
      <c r="I93" s="417"/>
      <c r="J93" s="417"/>
      <c r="K93" s="417"/>
      <c r="L93" s="418"/>
      <c r="M93" s="417"/>
      <c r="N93" s="417"/>
      <c r="O93" s="417"/>
      <c r="P93" s="417"/>
      <c r="Q93" s="417"/>
      <c r="R93" s="418"/>
      <c r="S93" s="69"/>
      <c r="T93" s="23"/>
      <c r="U93" s="373" t="str">
        <f t="shared" ref="U93:U103" si="3">IF(T93="","",IF(S93="","TBD",0))</f>
        <v/>
      </c>
      <c r="V93" s="370"/>
      <c r="W93" s="1"/>
      <c r="X93" s="15"/>
      <c r="Y93" s="15"/>
      <c r="Z93" s="15"/>
      <c r="AA93" s="15"/>
      <c r="AB93" s="15"/>
      <c r="AC93" s="16"/>
      <c r="AD93" s="307">
        <f>IF(U93="TBD",1,0)</f>
        <v>0</v>
      </c>
      <c r="AG93" s="87"/>
      <c r="AH93" s="87"/>
    </row>
    <row r="94" spans="1:49" hidden="1">
      <c r="A94" s="1"/>
      <c r="B94" s="12" t="s">
        <v>73</v>
      </c>
      <c r="C94" s="416"/>
      <c r="D94" s="417"/>
      <c r="E94" s="417"/>
      <c r="F94" s="417"/>
      <c r="G94" s="417"/>
      <c r="H94" s="417"/>
      <c r="I94" s="417"/>
      <c r="J94" s="417"/>
      <c r="K94" s="417"/>
      <c r="L94" s="418"/>
      <c r="M94" s="417"/>
      <c r="N94" s="417"/>
      <c r="O94" s="417"/>
      <c r="P94" s="417"/>
      <c r="Q94" s="417"/>
      <c r="R94" s="418"/>
      <c r="S94" s="69"/>
      <c r="T94" s="23"/>
      <c r="U94" s="373" t="str">
        <f t="shared" si="3"/>
        <v/>
      </c>
      <c r="V94" s="370"/>
      <c r="W94" s="1"/>
      <c r="X94" s="15"/>
      <c r="Y94" s="15"/>
      <c r="Z94" s="15"/>
      <c r="AA94" s="15"/>
      <c r="AB94" s="15"/>
      <c r="AC94" s="16"/>
      <c r="AD94" s="307">
        <f t="shared" ref="AD94:AD142" si="4">IF(U94="TBD",1,0)</f>
        <v>0</v>
      </c>
      <c r="AG94" s="87"/>
      <c r="AH94" s="87"/>
    </row>
    <row r="95" spans="1:49" hidden="1">
      <c r="A95" s="1"/>
      <c r="B95" s="12" t="s">
        <v>74</v>
      </c>
      <c r="C95" s="416"/>
      <c r="D95" s="417"/>
      <c r="E95" s="417"/>
      <c r="F95" s="417"/>
      <c r="G95" s="417"/>
      <c r="H95" s="417"/>
      <c r="I95" s="417"/>
      <c r="J95" s="417"/>
      <c r="K95" s="417"/>
      <c r="L95" s="418"/>
      <c r="M95" s="417"/>
      <c r="N95" s="417"/>
      <c r="O95" s="417"/>
      <c r="P95" s="417"/>
      <c r="Q95" s="417"/>
      <c r="R95" s="418"/>
      <c r="S95" s="69"/>
      <c r="T95" s="23"/>
      <c r="U95" s="373" t="str">
        <f t="shared" si="3"/>
        <v/>
      </c>
      <c r="V95" s="370"/>
      <c r="W95" s="1"/>
      <c r="X95" s="15"/>
      <c r="Y95" s="15"/>
      <c r="Z95" s="15"/>
      <c r="AA95" s="15"/>
      <c r="AB95" s="15"/>
      <c r="AC95" s="16"/>
      <c r="AD95" s="307">
        <f t="shared" si="4"/>
        <v>0</v>
      </c>
      <c r="AG95" s="87"/>
      <c r="AH95" s="87"/>
    </row>
    <row r="96" spans="1:49" hidden="1">
      <c r="A96" s="1"/>
      <c r="B96" s="12" t="s">
        <v>75</v>
      </c>
      <c r="C96" s="416"/>
      <c r="D96" s="417"/>
      <c r="E96" s="417"/>
      <c r="F96" s="417"/>
      <c r="G96" s="417"/>
      <c r="H96" s="417"/>
      <c r="I96" s="417"/>
      <c r="J96" s="417"/>
      <c r="K96" s="417"/>
      <c r="L96" s="418"/>
      <c r="M96" s="417"/>
      <c r="N96" s="417"/>
      <c r="O96" s="417"/>
      <c r="P96" s="417"/>
      <c r="Q96" s="417"/>
      <c r="R96" s="418"/>
      <c r="S96" s="69"/>
      <c r="T96" s="23"/>
      <c r="U96" s="373" t="str">
        <f t="shared" si="3"/>
        <v/>
      </c>
      <c r="V96" s="370"/>
      <c r="W96" s="1"/>
      <c r="X96" s="15"/>
      <c r="Y96" s="15"/>
      <c r="Z96" s="15"/>
      <c r="AA96" s="15"/>
      <c r="AB96" s="15"/>
      <c r="AC96" s="16"/>
      <c r="AD96" s="307">
        <f t="shared" si="4"/>
        <v>0</v>
      </c>
      <c r="AG96" s="87"/>
      <c r="AH96" s="87"/>
    </row>
    <row r="97" spans="1:34" hidden="1">
      <c r="A97" s="1"/>
      <c r="B97" s="12" t="s">
        <v>76</v>
      </c>
      <c r="C97" s="416"/>
      <c r="D97" s="417"/>
      <c r="E97" s="417"/>
      <c r="F97" s="417"/>
      <c r="G97" s="417"/>
      <c r="H97" s="417"/>
      <c r="I97" s="417"/>
      <c r="J97" s="417"/>
      <c r="K97" s="417"/>
      <c r="L97" s="418"/>
      <c r="M97" s="417"/>
      <c r="N97" s="417"/>
      <c r="O97" s="417"/>
      <c r="P97" s="417"/>
      <c r="Q97" s="417"/>
      <c r="R97" s="418"/>
      <c r="S97" s="69"/>
      <c r="T97" s="23"/>
      <c r="U97" s="373" t="str">
        <f t="shared" si="3"/>
        <v/>
      </c>
      <c r="V97" s="370"/>
      <c r="W97" s="1"/>
      <c r="X97" s="15"/>
      <c r="Y97" s="15"/>
      <c r="Z97" s="15"/>
      <c r="AA97" s="15"/>
      <c r="AB97" s="15"/>
      <c r="AC97" s="16"/>
      <c r="AD97" s="307">
        <f t="shared" si="4"/>
        <v>0</v>
      </c>
      <c r="AG97" s="87"/>
      <c r="AH97" s="87"/>
    </row>
    <row r="98" spans="1:34" hidden="1">
      <c r="A98" s="1"/>
      <c r="B98" s="12" t="s">
        <v>77</v>
      </c>
      <c r="C98" s="416"/>
      <c r="D98" s="417"/>
      <c r="E98" s="417"/>
      <c r="F98" s="417"/>
      <c r="G98" s="417"/>
      <c r="H98" s="417"/>
      <c r="I98" s="417"/>
      <c r="J98" s="417"/>
      <c r="K98" s="417"/>
      <c r="L98" s="418"/>
      <c r="M98" s="417"/>
      <c r="N98" s="417"/>
      <c r="O98" s="417"/>
      <c r="P98" s="417"/>
      <c r="Q98" s="417"/>
      <c r="R98" s="418"/>
      <c r="S98" s="69"/>
      <c r="T98" s="23"/>
      <c r="U98" s="373" t="str">
        <f t="shared" si="3"/>
        <v/>
      </c>
      <c r="V98" s="370"/>
      <c r="W98" s="1"/>
      <c r="X98" s="15"/>
      <c r="Y98" s="15"/>
      <c r="Z98" s="15"/>
      <c r="AA98" s="15"/>
      <c r="AB98" s="15"/>
      <c r="AC98" s="16"/>
      <c r="AD98" s="307">
        <f t="shared" si="4"/>
        <v>0</v>
      </c>
      <c r="AG98" s="87"/>
      <c r="AH98" s="87"/>
    </row>
    <row r="99" spans="1:34" hidden="1">
      <c r="A99" s="1"/>
      <c r="B99" s="12" t="s">
        <v>78</v>
      </c>
      <c r="C99" s="416"/>
      <c r="D99" s="417"/>
      <c r="E99" s="417"/>
      <c r="F99" s="417"/>
      <c r="G99" s="417"/>
      <c r="H99" s="417"/>
      <c r="I99" s="417"/>
      <c r="J99" s="417"/>
      <c r="K99" s="417"/>
      <c r="L99" s="418"/>
      <c r="M99" s="417"/>
      <c r="N99" s="417"/>
      <c r="O99" s="417"/>
      <c r="P99" s="417"/>
      <c r="Q99" s="417"/>
      <c r="R99" s="418"/>
      <c r="S99" s="69"/>
      <c r="T99" s="23"/>
      <c r="U99" s="373" t="str">
        <f t="shared" si="3"/>
        <v/>
      </c>
      <c r="V99" s="370"/>
      <c r="W99" s="1"/>
      <c r="X99" s="15"/>
      <c r="Y99" s="15"/>
      <c r="Z99" s="15"/>
      <c r="AA99" s="15"/>
      <c r="AB99" s="15"/>
      <c r="AC99" s="16"/>
      <c r="AD99" s="307">
        <f t="shared" si="4"/>
        <v>0</v>
      </c>
      <c r="AG99" s="87"/>
      <c r="AH99" s="87"/>
    </row>
    <row r="100" spans="1:34" hidden="1">
      <c r="A100" s="1"/>
      <c r="B100" s="12" t="s">
        <v>79</v>
      </c>
      <c r="C100" s="416"/>
      <c r="D100" s="417"/>
      <c r="E100" s="417"/>
      <c r="F100" s="417"/>
      <c r="G100" s="417"/>
      <c r="H100" s="417"/>
      <c r="I100" s="417"/>
      <c r="J100" s="417"/>
      <c r="K100" s="417"/>
      <c r="L100" s="418"/>
      <c r="M100" s="417"/>
      <c r="N100" s="417"/>
      <c r="O100" s="417"/>
      <c r="P100" s="417"/>
      <c r="Q100" s="417"/>
      <c r="R100" s="418"/>
      <c r="S100" s="69"/>
      <c r="T100" s="23"/>
      <c r="U100" s="373" t="str">
        <f t="shared" si="3"/>
        <v/>
      </c>
      <c r="V100" s="370"/>
      <c r="W100" s="1"/>
      <c r="X100" s="15"/>
      <c r="Y100" s="15"/>
      <c r="Z100" s="15"/>
      <c r="AA100" s="15"/>
      <c r="AB100" s="15"/>
      <c r="AC100" s="16"/>
      <c r="AD100" s="307">
        <f t="shared" si="4"/>
        <v>0</v>
      </c>
      <c r="AG100" s="87"/>
      <c r="AH100" s="87"/>
    </row>
    <row r="101" spans="1:34" hidden="1">
      <c r="A101" s="1"/>
      <c r="B101" s="12" t="s">
        <v>80</v>
      </c>
      <c r="C101" s="416"/>
      <c r="D101" s="417"/>
      <c r="E101" s="417"/>
      <c r="F101" s="417"/>
      <c r="G101" s="417"/>
      <c r="H101" s="417"/>
      <c r="I101" s="417"/>
      <c r="J101" s="417"/>
      <c r="K101" s="417"/>
      <c r="L101" s="418"/>
      <c r="M101" s="417"/>
      <c r="N101" s="417"/>
      <c r="O101" s="417"/>
      <c r="P101" s="417"/>
      <c r="Q101" s="417"/>
      <c r="R101" s="418"/>
      <c r="S101" s="69"/>
      <c r="T101" s="23"/>
      <c r="U101" s="373" t="str">
        <f t="shared" si="3"/>
        <v/>
      </c>
      <c r="V101" s="370"/>
      <c r="W101" s="1"/>
      <c r="X101" s="15"/>
      <c r="Y101" s="15"/>
      <c r="Z101" s="15"/>
      <c r="AA101" s="15"/>
      <c r="AB101" s="15"/>
      <c r="AC101" s="16"/>
      <c r="AD101" s="307">
        <f t="shared" si="4"/>
        <v>0</v>
      </c>
      <c r="AG101" s="87"/>
      <c r="AH101" s="87"/>
    </row>
    <row r="102" spans="1:34" hidden="1">
      <c r="A102" s="1"/>
      <c r="B102" s="12" t="s">
        <v>81</v>
      </c>
      <c r="C102" s="416"/>
      <c r="D102" s="417"/>
      <c r="E102" s="417"/>
      <c r="F102" s="417"/>
      <c r="G102" s="417"/>
      <c r="H102" s="417"/>
      <c r="I102" s="417"/>
      <c r="J102" s="417"/>
      <c r="K102" s="417"/>
      <c r="L102" s="418"/>
      <c r="M102" s="417"/>
      <c r="N102" s="417"/>
      <c r="O102" s="417"/>
      <c r="P102" s="417"/>
      <c r="Q102" s="417"/>
      <c r="R102" s="418"/>
      <c r="S102" s="69"/>
      <c r="T102" s="23"/>
      <c r="U102" s="373" t="str">
        <f t="shared" si="3"/>
        <v/>
      </c>
      <c r="V102" s="370"/>
      <c r="W102" s="1"/>
      <c r="X102" s="15"/>
      <c r="Y102" s="15"/>
      <c r="Z102" s="15"/>
      <c r="AA102" s="15"/>
      <c r="AB102" s="15"/>
      <c r="AC102" s="16"/>
      <c r="AD102" s="307">
        <f t="shared" si="4"/>
        <v>0</v>
      </c>
      <c r="AG102" s="87"/>
      <c r="AH102" s="87"/>
    </row>
    <row r="103" spans="1:34" hidden="1">
      <c r="A103" s="1"/>
      <c r="B103" s="12" t="s">
        <v>640</v>
      </c>
      <c r="C103" s="416"/>
      <c r="D103" s="417"/>
      <c r="E103" s="417"/>
      <c r="F103" s="417"/>
      <c r="G103" s="417"/>
      <c r="H103" s="417"/>
      <c r="I103" s="417"/>
      <c r="J103" s="417"/>
      <c r="K103" s="417"/>
      <c r="L103" s="418"/>
      <c r="M103" s="417"/>
      <c r="N103" s="417"/>
      <c r="O103" s="417"/>
      <c r="P103" s="417"/>
      <c r="Q103" s="417"/>
      <c r="R103" s="418"/>
      <c r="S103" s="69"/>
      <c r="T103" s="23"/>
      <c r="U103" s="373" t="str">
        <f t="shared" si="3"/>
        <v/>
      </c>
      <c r="V103" s="370"/>
      <c r="W103" s="1"/>
      <c r="X103" s="15"/>
      <c r="Y103" s="15"/>
      <c r="Z103" s="15"/>
      <c r="AA103" s="15"/>
      <c r="AB103" s="15"/>
      <c r="AC103" s="16"/>
      <c r="AD103" s="307">
        <f t="shared" si="4"/>
        <v>0</v>
      </c>
      <c r="AG103" s="87"/>
      <c r="AH103" s="87"/>
    </row>
    <row r="104" spans="1:34" hidden="1">
      <c r="A104" s="1"/>
      <c r="B104" s="12" t="s">
        <v>641</v>
      </c>
      <c r="C104" s="416"/>
      <c r="D104" s="417"/>
      <c r="E104" s="417"/>
      <c r="F104" s="417"/>
      <c r="G104" s="417"/>
      <c r="H104" s="417"/>
      <c r="I104" s="417"/>
      <c r="J104" s="417"/>
      <c r="K104" s="417"/>
      <c r="L104" s="418"/>
      <c r="M104" s="417"/>
      <c r="N104" s="417"/>
      <c r="O104" s="417"/>
      <c r="P104" s="417"/>
      <c r="Q104" s="417"/>
      <c r="R104" s="418"/>
      <c r="S104" s="69"/>
      <c r="T104" s="23"/>
      <c r="U104" s="373" t="str">
        <f t="shared" ref="U104:U142" si="5">IF(T104="","",IF(S104="","TBD",0))</f>
        <v/>
      </c>
      <c r="V104" s="370"/>
      <c r="W104" s="1"/>
      <c r="X104" s="15"/>
      <c r="Y104" s="15"/>
      <c r="Z104" s="15"/>
      <c r="AA104" s="15"/>
      <c r="AB104" s="15"/>
      <c r="AC104" s="16"/>
      <c r="AD104" s="307">
        <f t="shared" si="4"/>
        <v>0</v>
      </c>
      <c r="AG104" s="87"/>
      <c r="AH104" s="87"/>
    </row>
    <row r="105" spans="1:34" hidden="1">
      <c r="A105" s="1"/>
      <c r="B105" s="12" t="s">
        <v>642</v>
      </c>
      <c r="C105" s="416"/>
      <c r="D105" s="417"/>
      <c r="E105" s="417"/>
      <c r="F105" s="417"/>
      <c r="G105" s="417"/>
      <c r="H105" s="417"/>
      <c r="I105" s="417"/>
      <c r="J105" s="417"/>
      <c r="K105" s="417"/>
      <c r="L105" s="418"/>
      <c r="M105" s="417"/>
      <c r="N105" s="417"/>
      <c r="O105" s="417"/>
      <c r="P105" s="417"/>
      <c r="Q105" s="417"/>
      <c r="R105" s="418"/>
      <c r="S105" s="69"/>
      <c r="T105" s="23"/>
      <c r="U105" s="373" t="str">
        <f t="shared" si="5"/>
        <v/>
      </c>
      <c r="V105" s="370"/>
      <c r="W105" s="1"/>
      <c r="X105" s="15"/>
      <c r="Y105" s="15"/>
      <c r="Z105" s="15"/>
      <c r="AA105" s="15"/>
      <c r="AB105" s="15"/>
      <c r="AC105" s="16"/>
      <c r="AD105" s="307">
        <f t="shared" si="4"/>
        <v>0</v>
      </c>
      <c r="AG105" s="87"/>
      <c r="AH105" s="87"/>
    </row>
    <row r="106" spans="1:34" hidden="1">
      <c r="A106" s="1"/>
      <c r="B106" s="12" t="s">
        <v>643</v>
      </c>
      <c r="C106" s="416"/>
      <c r="D106" s="417"/>
      <c r="E106" s="417"/>
      <c r="F106" s="417"/>
      <c r="G106" s="417"/>
      <c r="H106" s="417"/>
      <c r="I106" s="417"/>
      <c r="J106" s="417"/>
      <c r="K106" s="417"/>
      <c r="L106" s="418"/>
      <c r="M106" s="417"/>
      <c r="N106" s="417"/>
      <c r="O106" s="417"/>
      <c r="P106" s="417"/>
      <c r="Q106" s="417"/>
      <c r="R106" s="418"/>
      <c r="S106" s="69"/>
      <c r="T106" s="23"/>
      <c r="U106" s="373" t="str">
        <f t="shared" si="5"/>
        <v/>
      </c>
      <c r="V106" s="370"/>
      <c r="W106" s="1"/>
      <c r="X106" s="15"/>
      <c r="Y106" s="15"/>
      <c r="Z106" s="15"/>
      <c r="AA106" s="15"/>
      <c r="AB106" s="15"/>
      <c r="AC106" s="16"/>
      <c r="AD106" s="307">
        <f t="shared" si="4"/>
        <v>0</v>
      </c>
      <c r="AG106" s="87"/>
      <c r="AH106" s="87"/>
    </row>
    <row r="107" spans="1:34" hidden="1">
      <c r="A107" s="1"/>
      <c r="B107" s="12" t="s">
        <v>644</v>
      </c>
      <c r="C107" s="416"/>
      <c r="D107" s="417"/>
      <c r="E107" s="417"/>
      <c r="F107" s="417"/>
      <c r="G107" s="417"/>
      <c r="H107" s="417"/>
      <c r="I107" s="417"/>
      <c r="J107" s="417"/>
      <c r="K107" s="417"/>
      <c r="L107" s="418"/>
      <c r="M107" s="417"/>
      <c r="N107" s="417"/>
      <c r="O107" s="417"/>
      <c r="P107" s="417"/>
      <c r="Q107" s="417"/>
      <c r="R107" s="418"/>
      <c r="S107" s="69"/>
      <c r="T107" s="23"/>
      <c r="U107" s="373" t="str">
        <f t="shared" si="5"/>
        <v/>
      </c>
      <c r="V107" s="370"/>
      <c r="W107" s="1"/>
      <c r="X107" s="15"/>
      <c r="Y107" s="15"/>
      <c r="Z107" s="15"/>
      <c r="AA107" s="15"/>
      <c r="AB107" s="15"/>
      <c r="AC107" s="16"/>
      <c r="AD107" s="307">
        <f t="shared" si="4"/>
        <v>0</v>
      </c>
      <c r="AG107" s="87"/>
      <c r="AH107" s="87"/>
    </row>
    <row r="108" spans="1:34" hidden="1">
      <c r="A108" s="1"/>
      <c r="B108" s="12" t="s">
        <v>645</v>
      </c>
      <c r="C108" s="416"/>
      <c r="D108" s="417"/>
      <c r="E108" s="417"/>
      <c r="F108" s="417"/>
      <c r="G108" s="417"/>
      <c r="H108" s="417"/>
      <c r="I108" s="417"/>
      <c r="J108" s="417"/>
      <c r="K108" s="417"/>
      <c r="L108" s="418"/>
      <c r="M108" s="417"/>
      <c r="N108" s="417"/>
      <c r="O108" s="417"/>
      <c r="P108" s="417"/>
      <c r="Q108" s="417"/>
      <c r="R108" s="418"/>
      <c r="S108" s="69"/>
      <c r="T108" s="23"/>
      <c r="U108" s="373" t="str">
        <f t="shared" si="5"/>
        <v/>
      </c>
      <c r="V108" s="370"/>
      <c r="W108" s="1"/>
      <c r="X108" s="15"/>
      <c r="Y108" s="15"/>
      <c r="Z108" s="15"/>
      <c r="AA108" s="15"/>
      <c r="AB108" s="15"/>
      <c r="AC108" s="16"/>
      <c r="AD108" s="307">
        <f t="shared" si="4"/>
        <v>0</v>
      </c>
      <c r="AG108" s="87"/>
      <c r="AH108" s="87"/>
    </row>
    <row r="109" spans="1:34" hidden="1">
      <c r="A109" s="1"/>
      <c r="B109" s="12" t="s">
        <v>646</v>
      </c>
      <c r="C109" s="416"/>
      <c r="D109" s="417"/>
      <c r="E109" s="417"/>
      <c r="F109" s="417"/>
      <c r="G109" s="417"/>
      <c r="H109" s="417"/>
      <c r="I109" s="417"/>
      <c r="J109" s="417"/>
      <c r="K109" s="417"/>
      <c r="L109" s="418"/>
      <c r="M109" s="417"/>
      <c r="N109" s="417"/>
      <c r="O109" s="417"/>
      <c r="P109" s="417"/>
      <c r="Q109" s="417"/>
      <c r="R109" s="418"/>
      <c r="S109" s="69"/>
      <c r="T109" s="23"/>
      <c r="U109" s="373" t="str">
        <f t="shared" si="5"/>
        <v/>
      </c>
      <c r="V109" s="370"/>
      <c r="W109" s="1"/>
      <c r="X109" s="15"/>
      <c r="Y109" s="15"/>
      <c r="Z109" s="15"/>
      <c r="AA109" s="15"/>
      <c r="AB109" s="15"/>
      <c r="AC109" s="16"/>
      <c r="AD109" s="307">
        <f t="shared" si="4"/>
        <v>0</v>
      </c>
      <c r="AG109" s="87"/>
      <c r="AH109" s="87"/>
    </row>
    <row r="110" spans="1:34" hidden="1">
      <c r="A110" s="1"/>
      <c r="B110" s="12" t="s">
        <v>647</v>
      </c>
      <c r="C110" s="416"/>
      <c r="D110" s="417"/>
      <c r="E110" s="417"/>
      <c r="F110" s="417"/>
      <c r="G110" s="417"/>
      <c r="H110" s="417"/>
      <c r="I110" s="417"/>
      <c r="J110" s="417"/>
      <c r="K110" s="417"/>
      <c r="L110" s="418"/>
      <c r="M110" s="417"/>
      <c r="N110" s="417"/>
      <c r="O110" s="417"/>
      <c r="P110" s="417"/>
      <c r="Q110" s="417"/>
      <c r="R110" s="418"/>
      <c r="S110" s="69"/>
      <c r="T110" s="23"/>
      <c r="U110" s="373" t="str">
        <f t="shared" si="5"/>
        <v/>
      </c>
      <c r="V110" s="370"/>
      <c r="W110" s="1"/>
      <c r="X110" s="15"/>
      <c r="Y110" s="15"/>
      <c r="Z110" s="15"/>
      <c r="AA110" s="15"/>
      <c r="AB110" s="15"/>
      <c r="AC110" s="16"/>
      <c r="AD110" s="307">
        <f t="shared" si="4"/>
        <v>0</v>
      </c>
      <c r="AG110" s="87"/>
      <c r="AH110" s="87"/>
    </row>
    <row r="111" spans="1:34" hidden="1">
      <c r="A111" s="1"/>
      <c r="B111" s="12" t="s">
        <v>648</v>
      </c>
      <c r="C111" s="416"/>
      <c r="D111" s="417"/>
      <c r="E111" s="417"/>
      <c r="F111" s="417"/>
      <c r="G111" s="417"/>
      <c r="H111" s="417"/>
      <c r="I111" s="417"/>
      <c r="J111" s="417"/>
      <c r="K111" s="417"/>
      <c r="L111" s="418"/>
      <c r="M111" s="417"/>
      <c r="N111" s="417"/>
      <c r="O111" s="417"/>
      <c r="P111" s="417"/>
      <c r="Q111" s="417"/>
      <c r="R111" s="418"/>
      <c r="S111" s="69"/>
      <c r="T111" s="23"/>
      <c r="U111" s="373" t="str">
        <f t="shared" si="5"/>
        <v/>
      </c>
      <c r="V111" s="370"/>
      <c r="W111" s="1"/>
      <c r="X111" s="15"/>
      <c r="Y111" s="15"/>
      <c r="Z111" s="15"/>
      <c r="AA111" s="15"/>
      <c r="AB111" s="15"/>
      <c r="AC111" s="16"/>
      <c r="AD111" s="307">
        <f t="shared" si="4"/>
        <v>0</v>
      </c>
      <c r="AG111" s="87"/>
      <c r="AH111" s="87"/>
    </row>
    <row r="112" spans="1:34" hidden="1">
      <c r="A112" s="1"/>
      <c r="B112" s="12" t="s">
        <v>649</v>
      </c>
      <c r="C112" s="416"/>
      <c r="D112" s="417"/>
      <c r="E112" s="417"/>
      <c r="F112" s="417"/>
      <c r="G112" s="417"/>
      <c r="H112" s="417"/>
      <c r="I112" s="417"/>
      <c r="J112" s="417"/>
      <c r="K112" s="417"/>
      <c r="L112" s="418"/>
      <c r="M112" s="417"/>
      <c r="N112" s="417"/>
      <c r="O112" s="417"/>
      <c r="P112" s="417"/>
      <c r="Q112" s="417"/>
      <c r="R112" s="418"/>
      <c r="S112" s="69"/>
      <c r="T112" s="23"/>
      <c r="U112" s="373" t="str">
        <f t="shared" si="5"/>
        <v/>
      </c>
      <c r="V112" s="370"/>
      <c r="W112" s="1"/>
      <c r="X112" s="15"/>
      <c r="Y112" s="15"/>
      <c r="Z112" s="15"/>
      <c r="AA112" s="15"/>
      <c r="AB112" s="15"/>
      <c r="AC112" s="16"/>
      <c r="AD112" s="307">
        <f t="shared" si="4"/>
        <v>0</v>
      </c>
      <c r="AG112" s="87"/>
      <c r="AH112" s="87"/>
    </row>
    <row r="113" spans="1:34" hidden="1">
      <c r="A113" s="1"/>
      <c r="B113" s="12" t="s">
        <v>650</v>
      </c>
      <c r="C113" s="416"/>
      <c r="D113" s="417"/>
      <c r="E113" s="417"/>
      <c r="F113" s="417"/>
      <c r="G113" s="417"/>
      <c r="H113" s="417"/>
      <c r="I113" s="417"/>
      <c r="J113" s="417"/>
      <c r="K113" s="417"/>
      <c r="L113" s="418"/>
      <c r="M113" s="417"/>
      <c r="N113" s="417"/>
      <c r="O113" s="417"/>
      <c r="P113" s="417"/>
      <c r="Q113" s="417"/>
      <c r="R113" s="418"/>
      <c r="S113" s="69"/>
      <c r="T113" s="23"/>
      <c r="U113" s="373" t="str">
        <f t="shared" si="5"/>
        <v/>
      </c>
      <c r="V113" s="370"/>
      <c r="W113" s="1"/>
      <c r="X113" s="15"/>
      <c r="Y113" s="15"/>
      <c r="Z113" s="15"/>
      <c r="AA113" s="15"/>
      <c r="AB113" s="15"/>
      <c r="AC113" s="16"/>
      <c r="AD113" s="307">
        <f t="shared" si="4"/>
        <v>0</v>
      </c>
      <c r="AG113" s="87"/>
      <c r="AH113" s="87"/>
    </row>
    <row r="114" spans="1:34" hidden="1">
      <c r="A114" s="1"/>
      <c r="B114" s="12" t="s">
        <v>651</v>
      </c>
      <c r="C114" s="416"/>
      <c r="D114" s="417"/>
      <c r="E114" s="417"/>
      <c r="F114" s="417"/>
      <c r="G114" s="417"/>
      <c r="H114" s="417"/>
      <c r="I114" s="417"/>
      <c r="J114" s="417"/>
      <c r="K114" s="417"/>
      <c r="L114" s="418"/>
      <c r="M114" s="417"/>
      <c r="N114" s="417"/>
      <c r="O114" s="417"/>
      <c r="P114" s="417"/>
      <c r="Q114" s="417"/>
      <c r="R114" s="418"/>
      <c r="S114" s="69"/>
      <c r="T114" s="23"/>
      <c r="U114" s="373" t="str">
        <f t="shared" si="5"/>
        <v/>
      </c>
      <c r="V114" s="370"/>
      <c r="W114" s="1"/>
      <c r="X114" s="15"/>
      <c r="Y114" s="15"/>
      <c r="Z114" s="15"/>
      <c r="AA114" s="15"/>
      <c r="AB114" s="15"/>
      <c r="AC114" s="16"/>
      <c r="AD114" s="307">
        <f t="shared" si="4"/>
        <v>0</v>
      </c>
      <c r="AG114" s="87"/>
      <c r="AH114" s="87"/>
    </row>
    <row r="115" spans="1:34" hidden="1">
      <c r="A115" s="1"/>
      <c r="B115" s="12" t="s">
        <v>652</v>
      </c>
      <c r="C115" s="416"/>
      <c r="D115" s="417"/>
      <c r="E115" s="417"/>
      <c r="F115" s="417"/>
      <c r="G115" s="417"/>
      <c r="H115" s="417"/>
      <c r="I115" s="417"/>
      <c r="J115" s="417"/>
      <c r="K115" s="417"/>
      <c r="L115" s="418"/>
      <c r="M115" s="417"/>
      <c r="N115" s="417"/>
      <c r="O115" s="417"/>
      <c r="P115" s="417"/>
      <c r="Q115" s="417"/>
      <c r="R115" s="418"/>
      <c r="S115" s="69"/>
      <c r="T115" s="23"/>
      <c r="U115" s="373" t="str">
        <f t="shared" si="5"/>
        <v/>
      </c>
      <c r="V115" s="370"/>
      <c r="W115" s="1"/>
      <c r="X115" s="15"/>
      <c r="Y115" s="15"/>
      <c r="Z115" s="15"/>
      <c r="AA115" s="15"/>
      <c r="AB115" s="15"/>
      <c r="AC115" s="16"/>
      <c r="AD115" s="307">
        <f t="shared" si="4"/>
        <v>0</v>
      </c>
      <c r="AG115" s="87"/>
      <c r="AH115" s="87"/>
    </row>
    <row r="116" spans="1:34" hidden="1">
      <c r="A116" s="1"/>
      <c r="B116" s="12" t="s">
        <v>653</v>
      </c>
      <c r="C116" s="416"/>
      <c r="D116" s="417"/>
      <c r="E116" s="417"/>
      <c r="F116" s="417"/>
      <c r="G116" s="417"/>
      <c r="H116" s="417"/>
      <c r="I116" s="417"/>
      <c r="J116" s="417"/>
      <c r="K116" s="417"/>
      <c r="L116" s="418"/>
      <c r="M116" s="417"/>
      <c r="N116" s="417"/>
      <c r="O116" s="417"/>
      <c r="P116" s="417"/>
      <c r="Q116" s="417"/>
      <c r="R116" s="418"/>
      <c r="S116" s="69"/>
      <c r="T116" s="23"/>
      <c r="U116" s="373" t="str">
        <f t="shared" si="5"/>
        <v/>
      </c>
      <c r="V116" s="370"/>
      <c r="W116" s="1"/>
      <c r="X116" s="15"/>
      <c r="Y116" s="15"/>
      <c r="Z116" s="15"/>
      <c r="AA116" s="15"/>
      <c r="AB116" s="15"/>
      <c r="AC116" s="16"/>
      <c r="AD116" s="307">
        <f t="shared" si="4"/>
        <v>0</v>
      </c>
      <c r="AG116" s="87"/>
      <c r="AH116" s="87"/>
    </row>
    <row r="117" spans="1:34" hidden="1">
      <c r="A117" s="1"/>
      <c r="B117" s="12" t="s">
        <v>654</v>
      </c>
      <c r="C117" s="416"/>
      <c r="D117" s="417"/>
      <c r="E117" s="417"/>
      <c r="F117" s="417"/>
      <c r="G117" s="417"/>
      <c r="H117" s="417"/>
      <c r="I117" s="417"/>
      <c r="J117" s="417"/>
      <c r="K117" s="417"/>
      <c r="L117" s="418"/>
      <c r="M117" s="417"/>
      <c r="N117" s="417"/>
      <c r="O117" s="417"/>
      <c r="P117" s="417"/>
      <c r="Q117" s="417"/>
      <c r="R117" s="418"/>
      <c r="S117" s="69"/>
      <c r="T117" s="23"/>
      <c r="U117" s="373" t="str">
        <f t="shared" si="5"/>
        <v/>
      </c>
      <c r="V117" s="370"/>
      <c r="W117" s="1"/>
      <c r="X117" s="15"/>
      <c r="Y117" s="15"/>
      <c r="Z117" s="15"/>
      <c r="AA117" s="15"/>
      <c r="AB117" s="15"/>
      <c r="AC117" s="16"/>
      <c r="AD117" s="307">
        <f t="shared" si="4"/>
        <v>0</v>
      </c>
      <c r="AG117" s="87"/>
      <c r="AH117" s="87"/>
    </row>
    <row r="118" spans="1:34" hidden="1">
      <c r="A118" s="1"/>
      <c r="B118" s="12" t="s">
        <v>766</v>
      </c>
      <c r="C118" s="416"/>
      <c r="D118" s="417"/>
      <c r="E118" s="417"/>
      <c r="F118" s="417"/>
      <c r="G118" s="417"/>
      <c r="H118" s="417"/>
      <c r="I118" s="417"/>
      <c r="J118" s="417"/>
      <c r="K118" s="417"/>
      <c r="L118" s="418"/>
      <c r="M118" s="417"/>
      <c r="N118" s="417"/>
      <c r="O118" s="417"/>
      <c r="P118" s="417"/>
      <c r="Q118" s="417"/>
      <c r="R118" s="418"/>
      <c r="S118" s="69"/>
      <c r="T118" s="23"/>
      <c r="U118" s="373" t="str">
        <f t="shared" si="5"/>
        <v/>
      </c>
      <c r="V118" s="370"/>
      <c r="W118" s="1"/>
      <c r="X118" s="15"/>
      <c r="Y118" s="15"/>
      <c r="Z118" s="15"/>
      <c r="AA118" s="15"/>
      <c r="AB118" s="15"/>
      <c r="AC118" s="16"/>
      <c r="AD118" s="307">
        <f t="shared" si="4"/>
        <v>0</v>
      </c>
      <c r="AG118" s="87"/>
      <c r="AH118" s="87"/>
    </row>
    <row r="119" spans="1:34" hidden="1">
      <c r="A119" s="1"/>
      <c r="B119" s="12" t="s">
        <v>767</v>
      </c>
      <c r="C119" s="416"/>
      <c r="D119" s="417"/>
      <c r="E119" s="417"/>
      <c r="F119" s="417"/>
      <c r="G119" s="417"/>
      <c r="H119" s="417"/>
      <c r="I119" s="417"/>
      <c r="J119" s="417"/>
      <c r="K119" s="417"/>
      <c r="L119" s="418"/>
      <c r="M119" s="417"/>
      <c r="N119" s="417"/>
      <c r="O119" s="417"/>
      <c r="P119" s="417"/>
      <c r="Q119" s="417"/>
      <c r="R119" s="418"/>
      <c r="S119" s="69"/>
      <c r="T119" s="23"/>
      <c r="U119" s="373" t="str">
        <f t="shared" si="5"/>
        <v/>
      </c>
      <c r="V119" s="370"/>
      <c r="W119" s="1"/>
      <c r="X119" s="15"/>
      <c r="Y119" s="15"/>
      <c r="Z119" s="15"/>
      <c r="AA119" s="15"/>
      <c r="AB119" s="15"/>
      <c r="AC119" s="16"/>
      <c r="AD119" s="307">
        <f t="shared" si="4"/>
        <v>0</v>
      </c>
      <c r="AG119" s="87"/>
      <c r="AH119" s="87"/>
    </row>
    <row r="120" spans="1:34" hidden="1">
      <c r="A120" s="1"/>
      <c r="B120" s="12" t="s">
        <v>768</v>
      </c>
      <c r="C120" s="416"/>
      <c r="D120" s="417"/>
      <c r="E120" s="417"/>
      <c r="F120" s="417"/>
      <c r="G120" s="417"/>
      <c r="H120" s="417"/>
      <c r="I120" s="417"/>
      <c r="J120" s="417"/>
      <c r="K120" s="417"/>
      <c r="L120" s="418"/>
      <c r="M120" s="417"/>
      <c r="N120" s="417"/>
      <c r="O120" s="417"/>
      <c r="P120" s="417"/>
      <c r="Q120" s="417"/>
      <c r="R120" s="418"/>
      <c r="S120" s="69"/>
      <c r="T120" s="23"/>
      <c r="U120" s="373" t="str">
        <f t="shared" si="5"/>
        <v/>
      </c>
      <c r="V120" s="370"/>
      <c r="W120" s="1"/>
      <c r="X120" s="15"/>
      <c r="Y120" s="15"/>
      <c r="Z120" s="15"/>
      <c r="AA120" s="15"/>
      <c r="AB120" s="15"/>
      <c r="AC120" s="16"/>
      <c r="AD120" s="307">
        <f t="shared" si="4"/>
        <v>0</v>
      </c>
      <c r="AG120" s="87"/>
      <c r="AH120" s="87"/>
    </row>
    <row r="121" spans="1:34" hidden="1">
      <c r="A121" s="1"/>
      <c r="B121" s="12" t="s">
        <v>769</v>
      </c>
      <c r="C121" s="416"/>
      <c r="D121" s="417"/>
      <c r="E121" s="417"/>
      <c r="F121" s="417"/>
      <c r="G121" s="417"/>
      <c r="H121" s="417"/>
      <c r="I121" s="417"/>
      <c r="J121" s="417"/>
      <c r="K121" s="417"/>
      <c r="L121" s="418"/>
      <c r="M121" s="417"/>
      <c r="N121" s="417"/>
      <c r="O121" s="417"/>
      <c r="P121" s="417"/>
      <c r="Q121" s="417"/>
      <c r="R121" s="418"/>
      <c r="S121" s="69"/>
      <c r="T121" s="23"/>
      <c r="U121" s="373" t="str">
        <f t="shared" si="5"/>
        <v/>
      </c>
      <c r="V121" s="370"/>
      <c r="W121" s="1"/>
      <c r="X121" s="15"/>
      <c r="Y121" s="15"/>
      <c r="Z121" s="15"/>
      <c r="AA121" s="15"/>
      <c r="AB121" s="15"/>
      <c r="AC121" s="16"/>
      <c r="AD121" s="307">
        <f t="shared" si="4"/>
        <v>0</v>
      </c>
      <c r="AG121" s="87"/>
      <c r="AH121" s="87"/>
    </row>
    <row r="122" spans="1:34" hidden="1">
      <c r="A122" s="1"/>
      <c r="B122" s="12" t="s">
        <v>770</v>
      </c>
      <c r="C122" s="416"/>
      <c r="D122" s="417"/>
      <c r="E122" s="417"/>
      <c r="F122" s="417"/>
      <c r="G122" s="417"/>
      <c r="H122" s="417"/>
      <c r="I122" s="417"/>
      <c r="J122" s="417"/>
      <c r="K122" s="417"/>
      <c r="L122" s="418"/>
      <c r="M122" s="417"/>
      <c r="N122" s="417"/>
      <c r="O122" s="417"/>
      <c r="P122" s="417"/>
      <c r="Q122" s="417"/>
      <c r="R122" s="418"/>
      <c r="S122" s="69"/>
      <c r="T122" s="23"/>
      <c r="U122" s="373" t="str">
        <f t="shared" si="5"/>
        <v/>
      </c>
      <c r="V122" s="370"/>
      <c r="W122" s="1"/>
      <c r="X122" s="15"/>
      <c r="Y122" s="15"/>
      <c r="Z122" s="15"/>
      <c r="AA122" s="15"/>
      <c r="AB122" s="15"/>
      <c r="AC122" s="16"/>
      <c r="AD122" s="307">
        <f t="shared" si="4"/>
        <v>0</v>
      </c>
      <c r="AG122" s="87"/>
      <c r="AH122" s="87"/>
    </row>
    <row r="123" spans="1:34" hidden="1">
      <c r="A123" s="1"/>
      <c r="B123" s="12" t="s">
        <v>771</v>
      </c>
      <c r="C123" s="416"/>
      <c r="D123" s="417"/>
      <c r="E123" s="417"/>
      <c r="F123" s="417"/>
      <c r="G123" s="417"/>
      <c r="H123" s="417"/>
      <c r="I123" s="417"/>
      <c r="J123" s="417"/>
      <c r="K123" s="417"/>
      <c r="L123" s="418"/>
      <c r="M123" s="417"/>
      <c r="N123" s="417"/>
      <c r="O123" s="417"/>
      <c r="P123" s="417"/>
      <c r="Q123" s="417"/>
      <c r="R123" s="418"/>
      <c r="S123" s="69"/>
      <c r="T123" s="23"/>
      <c r="U123" s="373" t="str">
        <f t="shared" si="5"/>
        <v/>
      </c>
      <c r="V123" s="370"/>
      <c r="W123" s="1"/>
      <c r="X123" s="15"/>
      <c r="Y123" s="15"/>
      <c r="Z123" s="15"/>
      <c r="AA123" s="15"/>
      <c r="AB123" s="15"/>
      <c r="AC123" s="16"/>
      <c r="AD123" s="307">
        <f t="shared" si="4"/>
        <v>0</v>
      </c>
      <c r="AG123" s="87"/>
      <c r="AH123" s="87"/>
    </row>
    <row r="124" spans="1:34" hidden="1">
      <c r="A124" s="1"/>
      <c r="B124" s="12" t="s">
        <v>772</v>
      </c>
      <c r="C124" s="416"/>
      <c r="D124" s="417"/>
      <c r="E124" s="417"/>
      <c r="F124" s="417"/>
      <c r="G124" s="417"/>
      <c r="H124" s="417"/>
      <c r="I124" s="417"/>
      <c r="J124" s="417"/>
      <c r="K124" s="417"/>
      <c r="L124" s="418"/>
      <c r="M124" s="417"/>
      <c r="N124" s="417"/>
      <c r="O124" s="417"/>
      <c r="P124" s="417"/>
      <c r="Q124" s="417"/>
      <c r="R124" s="418"/>
      <c r="S124" s="69"/>
      <c r="T124" s="23"/>
      <c r="U124" s="373" t="str">
        <f t="shared" si="5"/>
        <v/>
      </c>
      <c r="V124" s="370"/>
      <c r="W124" s="1"/>
      <c r="X124" s="15"/>
      <c r="Y124" s="15"/>
      <c r="Z124" s="15"/>
      <c r="AA124" s="15"/>
      <c r="AB124" s="15"/>
      <c r="AC124" s="16"/>
      <c r="AD124" s="307">
        <f t="shared" si="4"/>
        <v>0</v>
      </c>
      <c r="AG124" s="87"/>
      <c r="AH124" s="87"/>
    </row>
    <row r="125" spans="1:34" hidden="1">
      <c r="A125" s="1"/>
      <c r="B125" s="12" t="s">
        <v>773</v>
      </c>
      <c r="C125" s="416"/>
      <c r="D125" s="417"/>
      <c r="E125" s="417"/>
      <c r="F125" s="417"/>
      <c r="G125" s="417"/>
      <c r="H125" s="417"/>
      <c r="I125" s="417"/>
      <c r="J125" s="417"/>
      <c r="K125" s="417"/>
      <c r="L125" s="418"/>
      <c r="M125" s="417"/>
      <c r="N125" s="417"/>
      <c r="O125" s="417"/>
      <c r="P125" s="417"/>
      <c r="Q125" s="417"/>
      <c r="R125" s="418"/>
      <c r="S125" s="69"/>
      <c r="T125" s="23"/>
      <c r="U125" s="373" t="str">
        <f t="shared" si="5"/>
        <v/>
      </c>
      <c r="V125" s="370"/>
      <c r="W125" s="1"/>
      <c r="X125" s="15"/>
      <c r="Y125" s="15"/>
      <c r="Z125" s="15"/>
      <c r="AA125" s="15"/>
      <c r="AB125" s="15"/>
      <c r="AC125" s="16"/>
      <c r="AD125" s="307">
        <f t="shared" si="4"/>
        <v>0</v>
      </c>
      <c r="AG125" s="87"/>
      <c r="AH125" s="87"/>
    </row>
    <row r="126" spans="1:34" hidden="1">
      <c r="A126" s="1"/>
      <c r="B126" s="12" t="s">
        <v>774</v>
      </c>
      <c r="C126" s="416"/>
      <c r="D126" s="417"/>
      <c r="E126" s="417"/>
      <c r="F126" s="417"/>
      <c r="G126" s="417"/>
      <c r="H126" s="417"/>
      <c r="I126" s="417"/>
      <c r="J126" s="417"/>
      <c r="K126" s="417"/>
      <c r="L126" s="418"/>
      <c r="M126" s="417"/>
      <c r="N126" s="417"/>
      <c r="O126" s="417"/>
      <c r="P126" s="417"/>
      <c r="Q126" s="417"/>
      <c r="R126" s="418"/>
      <c r="S126" s="69"/>
      <c r="T126" s="23"/>
      <c r="U126" s="373" t="str">
        <f t="shared" si="5"/>
        <v/>
      </c>
      <c r="V126" s="370"/>
      <c r="W126" s="1"/>
      <c r="X126" s="15"/>
      <c r="Y126" s="15"/>
      <c r="Z126" s="15"/>
      <c r="AA126" s="15"/>
      <c r="AB126" s="15"/>
      <c r="AC126" s="16"/>
      <c r="AD126" s="307">
        <f t="shared" si="4"/>
        <v>0</v>
      </c>
      <c r="AG126" s="87"/>
      <c r="AH126" s="87"/>
    </row>
    <row r="127" spans="1:34" hidden="1">
      <c r="A127" s="1"/>
      <c r="B127" s="12" t="s">
        <v>775</v>
      </c>
      <c r="C127" s="416"/>
      <c r="D127" s="417"/>
      <c r="E127" s="417"/>
      <c r="F127" s="417"/>
      <c r="G127" s="417"/>
      <c r="H127" s="417"/>
      <c r="I127" s="417"/>
      <c r="J127" s="417"/>
      <c r="K127" s="417"/>
      <c r="L127" s="418"/>
      <c r="M127" s="417"/>
      <c r="N127" s="417"/>
      <c r="O127" s="417"/>
      <c r="P127" s="417"/>
      <c r="Q127" s="417"/>
      <c r="R127" s="418"/>
      <c r="S127" s="69"/>
      <c r="T127" s="23"/>
      <c r="U127" s="373" t="str">
        <f t="shared" si="5"/>
        <v/>
      </c>
      <c r="V127" s="370"/>
      <c r="W127" s="1"/>
      <c r="X127" s="15"/>
      <c r="Y127" s="15"/>
      <c r="Z127" s="15"/>
      <c r="AA127" s="15"/>
      <c r="AB127" s="15"/>
      <c r="AC127" s="16"/>
      <c r="AD127" s="307">
        <f t="shared" si="4"/>
        <v>0</v>
      </c>
      <c r="AG127" s="87"/>
      <c r="AH127" s="87"/>
    </row>
    <row r="128" spans="1:34" hidden="1">
      <c r="A128" s="1"/>
      <c r="B128" s="12" t="s">
        <v>776</v>
      </c>
      <c r="C128" s="416"/>
      <c r="D128" s="417"/>
      <c r="E128" s="417"/>
      <c r="F128" s="417"/>
      <c r="G128" s="417"/>
      <c r="H128" s="417"/>
      <c r="I128" s="417"/>
      <c r="J128" s="417"/>
      <c r="K128" s="417"/>
      <c r="L128" s="418"/>
      <c r="M128" s="417"/>
      <c r="N128" s="417"/>
      <c r="O128" s="417"/>
      <c r="P128" s="417"/>
      <c r="Q128" s="417"/>
      <c r="R128" s="418"/>
      <c r="S128" s="69"/>
      <c r="T128" s="23"/>
      <c r="U128" s="373" t="str">
        <f t="shared" si="5"/>
        <v/>
      </c>
      <c r="V128" s="370"/>
      <c r="W128" s="1"/>
      <c r="X128" s="15"/>
      <c r="Y128" s="15"/>
      <c r="Z128" s="15"/>
      <c r="AA128" s="15"/>
      <c r="AB128" s="15"/>
      <c r="AC128" s="16"/>
      <c r="AD128" s="307">
        <f t="shared" si="4"/>
        <v>0</v>
      </c>
      <c r="AG128" s="87"/>
      <c r="AH128" s="87"/>
    </row>
    <row r="129" spans="1:34" hidden="1">
      <c r="A129" s="1"/>
      <c r="B129" s="12" t="s">
        <v>777</v>
      </c>
      <c r="C129" s="416"/>
      <c r="D129" s="417"/>
      <c r="E129" s="417"/>
      <c r="F129" s="417"/>
      <c r="G129" s="417"/>
      <c r="H129" s="417"/>
      <c r="I129" s="417"/>
      <c r="J129" s="417"/>
      <c r="K129" s="417"/>
      <c r="L129" s="418"/>
      <c r="M129" s="417"/>
      <c r="N129" s="417"/>
      <c r="O129" s="417"/>
      <c r="P129" s="417"/>
      <c r="Q129" s="417"/>
      <c r="R129" s="418"/>
      <c r="S129" s="69"/>
      <c r="T129" s="23"/>
      <c r="U129" s="373" t="str">
        <f t="shared" si="5"/>
        <v/>
      </c>
      <c r="V129" s="370"/>
      <c r="W129" s="1"/>
      <c r="X129" s="15"/>
      <c r="Y129" s="15"/>
      <c r="Z129" s="15"/>
      <c r="AA129" s="15"/>
      <c r="AB129" s="15"/>
      <c r="AC129" s="16"/>
      <c r="AD129" s="307">
        <f t="shared" si="4"/>
        <v>0</v>
      </c>
      <c r="AG129" s="87"/>
      <c r="AH129" s="87"/>
    </row>
    <row r="130" spans="1:34" hidden="1">
      <c r="A130" s="1"/>
      <c r="B130" s="12" t="s">
        <v>778</v>
      </c>
      <c r="C130" s="416"/>
      <c r="D130" s="417"/>
      <c r="E130" s="417"/>
      <c r="F130" s="417"/>
      <c r="G130" s="417"/>
      <c r="H130" s="417"/>
      <c r="I130" s="417"/>
      <c r="J130" s="417"/>
      <c r="K130" s="417"/>
      <c r="L130" s="418"/>
      <c r="M130" s="417"/>
      <c r="N130" s="417"/>
      <c r="O130" s="417"/>
      <c r="P130" s="417"/>
      <c r="Q130" s="417"/>
      <c r="R130" s="418"/>
      <c r="S130" s="69"/>
      <c r="T130" s="23"/>
      <c r="U130" s="373" t="str">
        <f t="shared" si="5"/>
        <v/>
      </c>
      <c r="V130" s="370"/>
      <c r="W130" s="1"/>
      <c r="X130" s="15"/>
      <c r="Y130" s="15"/>
      <c r="Z130" s="15"/>
      <c r="AA130" s="15"/>
      <c r="AB130" s="15"/>
      <c r="AC130" s="16"/>
      <c r="AD130" s="307">
        <f t="shared" si="4"/>
        <v>0</v>
      </c>
      <c r="AG130" s="87"/>
      <c r="AH130" s="87"/>
    </row>
    <row r="131" spans="1:34" hidden="1">
      <c r="A131" s="1"/>
      <c r="B131" s="12" t="s">
        <v>779</v>
      </c>
      <c r="C131" s="416"/>
      <c r="D131" s="417"/>
      <c r="E131" s="417"/>
      <c r="F131" s="417"/>
      <c r="G131" s="417"/>
      <c r="H131" s="417"/>
      <c r="I131" s="417"/>
      <c r="J131" s="417"/>
      <c r="K131" s="417"/>
      <c r="L131" s="418"/>
      <c r="M131" s="417"/>
      <c r="N131" s="417"/>
      <c r="O131" s="417"/>
      <c r="P131" s="417"/>
      <c r="Q131" s="417"/>
      <c r="R131" s="418"/>
      <c r="S131" s="69"/>
      <c r="T131" s="23"/>
      <c r="U131" s="373" t="str">
        <f t="shared" si="5"/>
        <v/>
      </c>
      <c r="V131" s="370"/>
      <c r="W131" s="1"/>
      <c r="X131" s="15"/>
      <c r="Y131" s="15"/>
      <c r="Z131" s="15"/>
      <c r="AA131" s="15"/>
      <c r="AB131" s="15"/>
      <c r="AC131" s="16"/>
      <c r="AD131" s="307">
        <f t="shared" si="4"/>
        <v>0</v>
      </c>
      <c r="AG131" s="87"/>
      <c r="AH131" s="87"/>
    </row>
    <row r="132" spans="1:34" hidden="1">
      <c r="A132" s="1"/>
      <c r="B132" s="12" t="s">
        <v>780</v>
      </c>
      <c r="C132" s="416"/>
      <c r="D132" s="417"/>
      <c r="E132" s="417"/>
      <c r="F132" s="417"/>
      <c r="G132" s="417"/>
      <c r="H132" s="417"/>
      <c r="I132" s="417"/>
      <c r="J132" s="417"/>
      <c r="K132" s="417"/>
      <c r="L132" s="418"/>
      <c r="M132" s="417"/>
      <c r="N132" s="417"/>
      <c r="O132" s="417"/>
      <c r="P132" s="417"/>
      <c r="Q132" s="417"/>
      <c r="R132" s="418"/>
      <c r="S132" s="69"/>
      <c r="T132" s="23"/>
      <c r="U132" s="373" t="str">
        <f t="shared" si="5"/>
        <v/>
      </c>
      <c r="V132" s="370"/>
      <c r="W132" s="1"/>
      <c r="X132" s="15"/>
      <c r="Y132" s="15"/>
      <c r="Z132" s="15"/>
      <c r="AA132" s="15"/>
      <c r="AB132" s="15"/>
      <c r="AC132" s="16"/>
      <c r="AD132" s="307">
        <f t="shared" si="4"/>
        <v>0</v>
      </c>
      <c r="AG132" s="87"/>
      <c r="AH132" s="87"/>
    </row>
    <row r="133" spans="1:34" hidden="1">
      <c r="A133" s="1"/>
      <c r="B133" s="12" t="s">
        <v>781</v>
      </c>
      <c r="C133" s="416"/>
      <c r="D133" s="417"/>
      <c r="E133" s="417"/>
      <c r="F133" s="417"/>
      <c r="G133" s="417"/>
      <c r="H133" s="417"/>
      <c r="I133" s="417"/>
      <c r="J133" s="417"/>
      <c r="K133" s="417"/>
      <c r="L133" s="418"/>
      <c r="M133" s="417"/>
      <c r="N133" s="417"/>
      <c r="O133" s="417"/>
      <c r="P133" s="417"/>
      <c r="Q133" s="417"/>
      <c r="R133" s="418"/>
      <c r="S133" s="69"/>
      <c r="T133" s="23"/>
      <c r="U133" s="373" t="str">
        <f t="shared" si="5"/>
        <v/>
      </c>
      <c r="V133" s="370"/>
      <c r="W133" s="1"/>
      <c r="X133" s="15"/>
      <c r="Y133" s="15"/>
      <c r="Z133" s="15"/>
      <c r="AA133" s="15"/>
      <c r="AB133" s="15"/>
      <c r="AC133" s="16"/>
      <c r="AD133" s="307">
        <f t="shared" si="4"/>
        <v>0</v>
      </c>
      <c r="AG133" s="87"/>
      <c r="AH133" s="87"/>
    </row>
    <row r="134" spans="1:34" hidden="1">
      <c r="A134" s="1"/>
      <c r="B134" s="12" t="s">
        <v>782</v>
      </c>
      <c r="C134" s="416"/>
      <c r="D134" s="417"/>
      <c r="E134" s="417"/>
      <c r="F134" s="417"/>
      <c r="G134" s="417"/>
      <c r="H134" s="417"/>
      <c r="I134" s="417"/>
      <c r="J134" s="417"/>
      <c r="K134" s="417"/>
      <c r="L134" s="418"/>
      <c r="M134" s="417"/>
      <c r="N134" s="417"/>
      <c r="O134" s="417"/>
      <c r="P134" s="417"/>
      <c r="Q134" s="417"/>
      <c r="R134" s="418"/>
      <c r="S134" s="69"/>
      <c r="T134" s="23"/>
      <c r="U134" s="373" t="str">
        <f t="shared" si="5"/>
        <v/>
      </c>
      <c r="V134" s="370"/>
      <c r="W134" s="1"/>
      <c r="X134" s="15"/>
      <c r="Y134" s="15"/>
      <c r="Z134" s="15"/>
      <c r="AA134" s="15"/>
      <c r="AB134" s="15"/>
      <c r="AC134" s="16"/>
      <c r="AD134" s="307">
        <f t="shared" si="4"/>
        <v>0</v>
      </c>
      <c r="AG134" s="87"/>
      <c r="AH134" s="87"/>
    </row>
    <row r="135" spans="1:34" hidden="1">
      <c r="A135" s="1"/>
      <c r="B135" s="12" t="s">
        <v>783</v>
      </c>
      <c r="C135" s="416"/>
      <c r="D135" s="417"/>
      <c r="E135" s="417"/>
      <c r="F135" s="417"/>
      <c r="G135" s="417"/>
      <c r="H135" s="417"/>
      <c r="I135" s="417"/>
      <c r="J135" s="417"/>
      <c r="K135" s="417"/>
      <c r="L135" s="418"/>
      <c r="M135" s="417"/>
      <c r="N135" s="417"/>
      <c r="O135" s="417"/>
      <c r="P135" s="417"/>
      <c r="Q135" s="417"/>
      <c r="R135" s="418"/>
      <c r="S135" s="69"/>
      <c r="T135" s="23"/>
      <c r="U135" s="373" t="str">
        <f t="shared" si="5"/>
        <v/>
      </c>
      <c r="V135" s="370"/>
      <c r="W135" s="1"/>
      <c r="X135" s="15"/>
      <c r="Y135" s="15"/>
      <c r="Z135" s="15"/>
      <c r="AA135" s="15"/>
      <c r="AB135" s="15"/>
      <c r="AC135" s="16"/>
      <c r="AD135" s="307">
        <f t="shared" si="4"/>
        <v>0</v>
      </c>
      <c r="AG135" s="87"/>
      <c r="AH135" s="87"/>
    </row>
    <row r="136" spans="1:34" hidden="1">
      <c r="A136" s="1"/>
      <c r="B136" s="12" t="s">
        <v>784</v>
      </c>
      <c r="C136" s="416"/>
      <c r="D136" s="417"/>
      <c r="E136" s="417"/>
      <c r="F136" s="417"/>
      <c r="G136" s="417"/>
      <c r="H136" s="417"/>
      <c r="I136" s="417"/>
      <c r="J136" s="417"/>
      <c r="K136" s="417"/>
      <c r="L136" s="418"/>
      <c r="M136" s="417"/>
      <c r="N136" s="417"/>
      <c r="O136" s="417"/>
      <c r="P136" s="417"/>
      <c r="Q136" s="417"/>
      <c r="R136" s="418"/>
      <c r="S136" s="69"/>
      <c r="T136" s="23"/>
      <c r="U136" s="373" t="str">
        <f t="shared" si="5"/>
        <v/>
      </c>
      <c r="V136" s="370"/>
      <c r="W136" s="1"/>
      <c r="X136" s="15"/>
      <c r="Y136" s="15"/>
      <c r="Z136" s="15"/>
      <c r="AA136" s="15"/>
      <c r="AB136" s="15"/>
      <c r="AC136" s="16"/>
      <c r="AD136" s="307">
        <f t="shared" si="4"/>
        <v>0</v>
      </c>
      <c r="AG136" s="87"/>
      <c r="AH136" s="87"/>
    </row>
    <row r="137" spans="1:34" hidden="1">
      <c r="A137" s="1"/>
      <c r="B137" s="12" t="s">
        <v>785</v>
      </c>
      <c r="C137" s="416"/>
      <c r="D137" s="417"/>
      <c r="E137" s="417"/>
      <c r="F137" s="417"/>
      <c r="G137" s="417"/>
      <c r="H137" s="417"/>
      <c r="I137" s="417"/>
      <c r="J137" s="417"/>
      <c r="K137" s="417"/>
      <c r="L137" s="418"/>
      <c r="M137" s="417"/>
      <c r="N137" s="417"/>
      <c r="O137" s="417"/>
      <c r="P137" s="417"/>
      <c r="Q137" s="417"/>
      <c r="R137" s="418"/>
      <c r="S137" s="69"/>
      <c r="T137" s="23"/>
      <c r="U137" s="373" t="str">
        <f t="shared" si="5"/>
        <v/>
      </c>
      <c r="V137" s="370"/>
      <c r="W137" s="1"/>
      <c r="X137" s="15"/>
      <c r="Y137" s="15"/>
      <c r="Z137" s="15"/>
      <c r="AA137" s="15"/>
      <c r="AB137" s="15"/>
      <c r="AC137" s="16"/>
      <c r="AD137" s="307">
        <f t="shared" si="4"/>
        <v>0</v>
      </c>
      <c r="AG137" s="87"/>
      <c r="AH137" s="87"/>
    </row>
    <row r="138" spans="1:34" hidden="1">
      <c r="A138" s="1"/>
      <c r="B138" s="12" t="s">
        <v>786</v>
      </c>
      <c r="C138" s="416"/>
      <c r="D138" s="417"/>
      <c r="E138" s="417"/>
      <c r="F138" s="417"/>
      <c r="G138" s="417"/>
      <c r="H138" s="417"/>
      <c r="I138" s="417"/>
      <c r="J138" s="417"/>
      <c r="K138" s="417"/>
      <c r="L138" s="418"/>
      <c r="M138" s="417"/>
      <c r="N138" s="417"/>
      <c r="O138" s="417"/>
      <c r="P138" s="417"/>
      <c r="Q138" s="417"/>
      <c r="R138" s="418"/>
      <c r="S138" s="69"/>
      <c r="T138" s="23"/>
      <c r="U138" s="373" t="str">
        <f t="shared" si="5"/>
        <v/>
      </c>
      <c r="V138" s="370"/>
      <c r="W138" s="1"/>
      <c r="X138" s="15"/>
      <c r="Y138" s="15"/>
      <c r="Z138" s="15"/>
      <c r="AA138" s="15"/>
      <c r="AB138" s="15"/>
      <c r="AC138" s="16"/>
      <c r="AD138" s="307">
        <f t="shared" si="4"/>
        <v>0</v>
      </c>
      <c r="AG138" s="87"/>
      <c r="AH138" s="87"/>
    </row>
    <row r="139" spans="1:34" hidden="1">
      <c r="A139" s="1"/>
      <c r="B139" s="12" t="s">
        <v>787</v>
      </c>
      <c r="C139" s="416"/>
      <c r="D139" s="417"/>
      <c r="E139" s="417"/>
      <c r="F139" s="417"/>
      <c r="G139" s="417"/>
      <c r="H139" s="417"/>
      <c r="I139" s="417"/>
      <c r="J139" s="417"/>
      <c r="K139" s="417"/>
      <c r="L139" s="418"/>
      <c r="M139" s="417"/>
      <c r="N139" s="417"/>
      <c r="O139" s="417"/>
      <c r="P139" s="417"/>
      <c r="Q139" s="417"/>
      <c r="R139" s="418"/>
      <c r="S139" s="69"/>
      <c r="T139" s="23"/>
      <c r="U139" s="373" t="str">
        <f t="shared" si="5"/>
        <v/>
      </c>
      <c r="V139" s="370"/>
      <c r="W139" s="1"/>
      <c r="X139" s="15"/>
      <c r="Y139" s="15"/>
      <c r="Z139" s="15"/>
      <c r="AA139" s="15"/>
      <c r="AB139" s="15"/>
      <c r="AC139" s="16"/>
      <c r="AD139" s="307">
        <f t="shared" si="4"/>
        <v>0</v>
      </c>
      <c r="AG139" s="87"/>
      <c r="AH139" s="87"/>
    </row>
    <row r="140" spans="1:34" hidden="1">
      <c r="A140" s="1"/>
      <c r="B140" s="12" t="s">
        <v>788</v>
      </c>
      <c r="C140" s="416"/>
      <c r="D140" s="417"/>
      <c r="E140" s="417"/>
      <c r="F140" s="417"/>
      <c r="G140" s="417"/>
      <c r="H140" s="417"/>
      <c r="I140" s="417"/>
      <c r="J140" s="417"/>
      <c r="K140" s="417"/>
      <c r="L140" s="418"/>
      <c r="M140" s="417"/>
      <c r="N140" s="417"/>
      <c r="O140" s="417"/>
      <c r="P140" s="417"/>
      <c r="Q140" s="417"/>
      <c r="R140" s="418"/>
      <c r="S140" s="69"/>
      <c r="T140" s="23"/>
      <c r="U140" s="373" t="str">
        <f t="shared" si="5"/>
        <v/>
      </c>
      <c r="V140" s="370"/>
      <c r="W140" s="1"/>
      <c r="X140" s="15"/>
      <c r="Y140" s="15"/>
      <c r="Z140" s="15"/>
      <c r="AA140" s="15"/>
      <c r="AB140" s="15"/>
      <c r="AC140" s="16"/>
      <c r="AD140" s="307">
        <f t="shared" si="4"/>
        <v>0</v>
      </c>
      <c r="AG140" s="87"/>
      <c r="AH140" s="87"/>
    </row>
    <row r="141" spans="1:34" hidden="1">
      <c r="A141" s="1"/>
      <c r="B141" s="12" t="s">
        <v>789</v>
      </c>
      <c r="C141" s="416"/>
      <c r="D141" s="417"/>
      <c r="E141" s="417"/>
      <c r="F141" s="417"/>
      <c r="G141" s="417"/>
      <c r="H141" s="417"/>
      <c r="I141" s="417"/>
      <c r="J141" s="417"/>
      <c r="K141" s="417"/>
      <c r="L141" s="418"/>
      <c r="M141" s="417"/>
      <c r="N141" s="417"/>
      <c r="O141" s="417"/>
      <c r="P141" s="417"/>
      <c r="Q141" s="417"/>
      <c r="R141" s="418"/>
      <c r="S141" s="69"/>
      <c r="T141" s="23"/>
      <c r="U141" s="373" t="str">
        <f t="shared" si="5"/>
        <v/>
      </c>
      <c r="V141" s="370"/>
      <c r="W141" s="1"/>
      <c r="X141" s="15"/>
      <c r="Y141" s="15"/>
      <c r="Z141" s="15"/>
      <c r="AA141" s="15"/>
      <c r="AB141" s="15"/>
      <c r="AC141" s="16"/>
      <c r="AD141" s="307">
        <f t="shared" si="4"/>
        <v>0</v>
      </c>
      <c r="AG141" s="87"/>
      <c r="AH141" s="87"/>
    </row>
    <row r="142" spans="1:34" hidden="1">
      <c r="A142" s="1"/>
      <c r="B142" s="12" t="s">
        <v>790</v>
      </c>
      <c r="C142" s="416"/>
      <c r="D142" s="417"/>
      <c r="E142" s="417"/>
      <c r="F142" s="417"/>
      <c r="G142" s="417"/>
      <c r="H142" s="417"/>
      <c r="I142" s="417"/>
      <c r="J142" s="417"/>
      <c r="K142" s="417"/>
      <c r="L142" s="418"/>
      <c r="M142" s="417"/>
      <c r="N142" s="417"/>
      <c r="O142" s="417"/>
      <c r="P142" s="417"/>
      <c r="Q142" s="417"/>
      <c r="R142" s="418"/>
      <c r="S142" s="69"/>
      <c r="T142" s="23"/>
      <c r="U142" s="373" t="str">
        <f t="shared" si="5"/>
        <v/>
      </c>
      <c r="V142" s="370"/>
      <c r="W142" s="1"/>
      <c r="X142" s="15"/>
      <c r="Y142" s="15"/>
      <c r="Z142" s="15"/>
      <c r="AA142" s="15"/>
      <c r="AB142" s="15"/>
      <c r="AC142" s="16"/>
      <c r="AD142" s="307">
        <f t="shared" si="4"/>
        <v>0</v>
      </c>
      <c r="AG142" s="87"/>
      <c r="AH142" s="87"/>
    </row>
    <row r="143" spans="1:34" ht="4.5" customHeight="1" thickBot="1">
      <c r="A143" s="1"/>
      <c r="B143" s="4"/>
      <c r="C143" s="4"/>
      <c r="D143" s="4"/>
      <c r="E143" s="4"/>
      <c r="F143" s="4"/>
      <c r="G143" s="4"/>
      <c r="H143" s="4"/>
      <c r="I143" s="4"/>
      <c r="J143" s="4"/>
      <c r="K143" s="4"/>
      <c r="L143" s="4"/>
      <c r="M143" s="4"/>
      <c r="N143" s="4"/>
      <c r="O143" s="4"/>
      <c r="P143" s="4"/>
      <c r="Q143" s="4"/>
      <c r="R143" s="4"/>
      <c r="S143" s="4"/>
      <c r="T143" s="4"/>
      <c r="U143" s="4"/>
      <c r="V143" s="4"/>
      <c r="W143" s="1"/>
      <c r="X143" s="15"/>
      <c r="Y143" s="15"/>
      <c r="Z143" s="15"/>
      <c r="AA143" s="15"/>
      <c r="AB143" s="15"/>
      <c r="AC143" s="16"/>
      <c r="AG143" s="87"/>
      <c r="AH143" s="87"/>
    </row>
    <row r="144" spans="1:34" ht="18" customHeight="1">
      <c r="A144" s="1"/>
      <c r="B144" s="20" t="s">
        <v>5</v>
      </c>
      <c r="C144" s="8"/>
      <c r="D144" s="8"/>
      <c r="E144" s="8"/>
      <c r="F144" s="8"/>
      <c r="G144" s="8"/>
      <c r="H144" s="8"/>
      <c r="I144" s="8"/>
      <c r="J144" s="479" t="s">
        <v>462</v>
      </c>
      <c r="K144" s="479"/>
      <c r="L144" s="479"/>
      <c r="M144" s="479"/>
      <c r="N144" s="43" t="s">
        <v>172</v>
      </c>
      <c r="O144" s="24"/>
      <c r="P144" s="43" t="s">
        <v>171</v>
      </c>
      <c r="Q144" s="9"/>
      <c r="R144" s="9"/>
      <c r="S144" s="48" t="str">
        <f>IF(AD144&gt;0,"INC","")</f>
        <v/>
      </c>
      <c r="T144" s="49" t="s">
        <v>170</v>
      </c>
      <c r="U144" s="412">
        <f>ROUND(SUM(U147:U156)+SUM(U158:U207),2)</f>
        <v>0</v>
      </c>
      <c r="V144" s="413"/>
      <c r="W144" s="1"/>
      <c r="X144" s="15"/>
      <c r="Y144" s="15"/>
      <c r="Z144" s="15"/>
      <c r="AA144" s="15"/>
      <c r="AB144" s="15"/>
      <c r="AC144" s="16"/>
      <c r="AD144" s="307">
        <f>SUM(AD145:AD207)</f>
        <v>0</v>
      </c>
      <c r="AG144" s="87"/>
      <c r="AH144" s="87"/>
    </row>
    <row r="145" spans="1:49" ht="18" customHeight="1" collapsed="1">
      <c r="A145" s="1"/>
      <c r="B145" s="12"/>
      <c r="C145" s="1"/>
      <c r="D145" s="1"/>
      <c r="E145" s="1"/>
      <c r="F145" s="1"/>
      <c r="G145" s="1"/>
      <c r="H145" s="1"/>
      <c r="I145" s="1"/>
      <c r="J145" s="428" t="s">
        <v>174</v>
      </c>
      <c r="K145" s="428"/>
      <c r="L145" s="428"/>
      <c r="M145" s="428"/>
      <c r="N145" s="44" t="s">
        <v>172</v>
      </c>
      <c r="O145" s="1"/>
      <c r="P145" s="44" t="s">
        <v>171</v>
      </c>
      <c r="Q145" s="1"/>
      <c r="R145" s="1"/>
      <c r="S145" s="206"/>
      <c r="T145" s="1"/>
      <c r="U145" s="1"/>
      <c r="V145" s="1"/>
      <c r="W145" s="1"/>
      <c r="X145" s="15"/>
      <c r="Y145" s="15"/>
      <c r="Z145" s="15"/>
      <c r="AA145" s="15"/>
      <c r="AB145" s="15"/>
      <c r="AC145" s="16"/>
      <c r="AG145" s="87"/>
      <c r="AH145" s="87"/>
    </row>
    <row r="146" spans="1:49" s="105" customFormat="1" ht="21" hidden="1">
      <c r="A146" s="97"/>
      <c r="B146" s="98"/>
      <c r="C146" s="99" t="s">
        <v>461</v>
      </c>
      <c r="D146" s="97"/>
      <c r="E146" s="97"/>
      <c r="F146" s="97"/>
      <c r="G146" s="97"/>
      <c r="H146" s="97"/>
      <c r="I146" s="97"/>
      <c r="J146" s="97"/>
      <c r="K146" s="97"/>
      <c r="L146" s="97"/>
      <c r="M146" s="97" t="s">
        <v>250</v>
      </c>
      <c r="N146" s="98"/>
      <c r="O146" s="106"/>
      <c r="P146" s="98"/>
      <c r="Q146" s="98"/>
      <c r="R146" s="109"/>
      <c r="S146" s="96" t="s">
        <v>182</v>
      </c>
      <c r="T146" s="98" t="s">
        <v>127</v>
      </c>
      <c r="U146" s="98" t="s">
        <v>123</v>
      </c>
      <c r="V146" s="98"/>
      <c r="W146" s="97"/>
      <c r="X146" s="103"/>
      <c r="Y146" s="103"/>
      <c r="Z146" s="103"/>
      <c r="AA146" s="103"/>
      <c r="AB146" s="103"/>
      <c r="AC146" s="104"/>
      <c r="AD146" s="307"/>
      <c r="AE146" s="74"/>
      <c r="AF146" s="74"/>
      <c r="AG146" s="87"/>
      <c r="AH146" s="87"/>
      <c r="AI146" s="74"/>
      <c r="AJ146" s="74"/>
      <c r="AK146" s="74"/>
      <c r="AL146" s="74"/>
      <c r="AM146" s="74"/>
      <c r="AN146" s="74"/>
      <c r="AO146" s="74"/>
      <c r="AP146" s="74"/>
      <c r="AQ146" s="74"/>
      <c r="AR146" s="74"/>
      <c r="AS146" s="74"/>
      <c r="AT146" s="74"/>
      <c r="AU146" s="74"/>
      <c r="AV146" s="74"/>
      <c r="AW146" s="74"/>
    </row>
    <row r="147" spans="1:49" hidden="1">
      <c r="A147" s="1"/>
      <c r="B147" s="12" t="s">
        <v>7</v>
      </c>
      <c r="C147" s="429" t="s">
        <v>6</v>
      </c>
      <c r="D147" s="430"/>
      <c r="E147" s="430"/>
      <c r="F147" s="430"/>
      <c r="G147" s="430"/>
      <c r="H147" s="430"/>
      <c r="I147" s="430"/>
      <c r="J147" s="430"/>
      <c r="K147" s="430"/>
      <c r="L147" s="431"/>
      <c r="M147" s="416"/>
      <c r="N147" s="417"/>
      <c r="O147" s="417"/>
      <c r="P147" s="417"/>
      <c r="Q147" s="417"/>
      <c r="R147" s="418"/>
      <c r="S147" s="69"/>
      <c r="T147" s="23"/>
      <c r="U147" s="369">
        <f t="shared" ref="U147" si="6">IF(OR(C147="",C147="&lt;Select Facilities tasks, if any&gt;"),0,T147*VLOOKUP(C147,Facilities_Tasks_Price,2,FALSE)*IF(S147="",1,0))</f>
        <v>0</v>
      </c>
      <c r="V147" s="370"/>
      <c r="W147" s="1"/>
      <c r="X147" s="15"/>
      <c r="Y147" s="15"/>
      <c r="Z147" s="15"/>
      <c r="AA147" s="15"/>
      <c r="AB147" s="15"/>
      <c r="AC147" s="16"/>
      <c r="AD147" s="307"/>
      <c r="AG147" s="87"/>
      <c r="AH147" s="87"/>
    </row>
    <row r="148" spans="1:49" hidden="1">
      <c r="A148" s="1"/>
      <c r="B148" s="12" t="s">
        <v>8</v>
      </c>
      <c r="C148" s="429"/>
      <c r="D148" s="430"/>
      <c r="E148" s="430"/>
      <c r="F148" s="430"/>
      <c r="G148" s="430"/>
      <c r="H148" s="430"/>
      <c r="I148" s="430"/>
      <c r="J148" s="430"/>
      <c r="K148" s="430"/>
      <c r="L148" s="431"/>
      <c r="M148" s="416"/>
      <c r="N148" s="417"/>
      <c r="O148" s="417"/>
      <c r="P148" s="417"/>
      <c r="Q148" s="417"/>
      <c r="R148" s="418"/>
      <c r="S148" s="69"/>
      <c r="T148" s="23"/>
      <c r="U148" s="369">
        <f t="shared" ref="U148:U156" si="7">IF(OR(C148="",C148="&lt;Select Facilities tasks, if any&gt;"),0,T148*VLOOKUP(C148,Facilities_Tasks_Price,2,FALSE)*IF(S148="",1,0))</f>
        <v>0</v>
      </c>
      <c r="V148" s="370"/>
      <c r="W148" s="1"/>
      <c r="X148" s="15"/>
      <c r="Y148" s="15"/>
      <c r="Z148" s="15"/>
      <c r="AA148" s="15"/>
      <c r="AB148" s="15"/>
      <c r="AC148" s="16"/>
      <c r="AG148" s="87"/>
      <c r="AH148" s="87"/>
    </row>
    <row r="149" spans="1:49" hidden="1">
      <c r="A149" s="1"/>
      <c r="B149" s="12" t="s">
        <v>9</v>
      </c>
      <c r="C149" s="429"/>
      <c r="D149" s="430"/>
      <c r="E149" s="430"/>
      <c r="F149" s="430"/>
      <c r="G149" s="430"/>
      <c r="H149" s="430"/>
      <c r="I149" s="430"/>
      <c r="J149" s="430"/>
      <c r="K149" s="430"/>
      <c r="L149" s="431"/>
      <c r="M149" s="416"/>
      <c r="N149" s="417"/>
      <c r="O149" s="417"/>
      <c r="P149" s="417"/>
      <c r="Q149" s="417"/>
      <c r="R149" s="418"/>
      <c r="S149" s="69"/>
      <c r="T149" s="23"/>
      <c r="U149" s="369">
        <f t="shared" si="7"/>
        <v>0</v>
      </c>
      <c r="V149" s="370"/>
      <c r="W149" s="1"/>
      <c r="X149" s="15"/>
      <c r="Y149" s="15"/>
      <c r="Z149" s="15"/>
      <c r="AA149" s="15"/>
      <c r="AB149" s="15"/>
      <c r="AC149" s="16"/>
      <c r="AG149" s="87"/>
      <c r="AH149" s="87"/>
    </row>
    <row r="150" spans="1:49" hidden="1">
      <c r="A150" s="1"/>
      <c r="B150" s="12" t="s">
        <v>10</v>
      </c>
      <c r="C150" s="429"/>
      <c r="D150" s="430"/>
      <c r="E150" s="430"/>
      <c r="F150" s="430"/>
      <c r="G150" s="430"/>
      <c r="H150" s="430"/>
      <c r="I150" s="430"/>
      <c r="J150" s="430"/>
      <c r="K150" s="430"/>
      <c r="L150" s="431"/>
      <c r="M150" s="416"/>
      <c r="N150" s="417"/>
      <c r="O150" s="417"/>
      <c r="P150" s="417"/>
      <c r="Q150" s="417"/>
      <c r="R150" s="418"/>
      <c r="S150" s="69"/>
      <c r="T150" s="23"/>
      <c r="U150" s="369">
        <f t="shared" si="7"/>
        <v>0</v>
      </c>
      <c r="V150" s="370"/>
      <c r="W150" s="1"/>
      <c r="X150" s="15"/>
      <c r="Y150" s="15"/>
      <c r="Z150" s="15"/>
      <c r="AA150" s="15"/>
      <c r="AB150" s="15"/>
      <c r="AC150" s="16"/>
      <c r="AG150" s="87"/>
      <c r="AH150" s="87"/>
    </row>
    <row r="151" spans="1:49" hidden="1">
      <c r="A151" s="1"/>
      <c r="B151" s="12" t="s">
        <v>11</v>
      </c>
      <c r="C151" s="429"/>
      <c r="D151" s="430"/>
      <c r="E151" s="430"/>
      <c r="F151" s="430"/>
      <c r="G151" s="430"/>
      <c r="H151" s="430"/>
      <c r="I151" s="430"/>
      <c r="J151" s="430"/>
      <c r="K151" s="430"/>
      <c r="L151" s="431"/>
      <c r="M151" s="416"/>
      <c r="N151" s="417"/>
      <c r="O151" s="417"/>
      <c r="P151" s="417"/>
      <c r="Q151" s="417"/>
      <c r="R151" s="418"/>
      <c r="S151" s="69"/>
      <c r="T151" s="23"/>
      <c r="U151" s="369">
        <f t="shared" si="7"/>
        <v>0</v>
      </c>
      <c r="V151" s="370"/>
      <c r="W151" s="1"/>
      <c r="X151" s="15"/>
      <c r="Y151" s="15"/>
      <c r="Z151" s="15"/>
      <c r="AA151" s="15"/>
      <c r="AB151" s="15"/>
      <c r="AC151" s="16"/>
      <c r="AG151" s="87"/>
      <c r="AH151" s="87"/>
    </row>
    <row r="152" spans="1:49" hidden="1">
      <c r="A152" s="1"/>
      <c r="B152" s="12" t="s">
        <v>12</v>
      </c>
      <c r="C152" s="429"/>
      <c r="D152" s="430"/>
      <c r="E152" s="430"/>
      <c r="F152" s="430"/>
      <c r="G152" s="430"/>
      <c r="H152" s="430"/>
      <c r="I152" s="430"/>
      <c r="J152" s="430"/>
      <c r="K152" s="430"/>
      <c r="L152" s="431"/>
      <c r="M152" s="416"/>
      <c r="N152" s="417"/>
      <c r="O152" s="417"/>
      <c r="P152" s="417"/>
      <c r="Q152" s="417"/>
      <c r="R152" s="418"/>
      <c r="S152" s="69"/>
      <c r="T152" s="23"/>
      <c r="U152" s="369">
        <f t="shared" si="7"/>
        <v>0</v>
      </c>
      <c r="V152" s="370"/>
      <c r="W152" s="1"/>
      <c r="X152" s="15"/>
      <c r="Y152" s="15"/>
      <c r="Z152" s="15"/>
      <c r="AA152" s="15"/>
      <c r="AB152" s="15"/>
      <c r="AC152" s="16"/>
      <c r="AG152" s="87"/>
      <c r="AH152" s="87"/>
    </row>
    <row r="153" spans="1:49" hidden="1">
      <c r="A153" s="1"/>
      <c r="B153" s="12" t="s">
        <v>13</v>
      </c>
      <c r="C153" s="429"/>
      <c r="D153" s="430"/>
      <c r="E153" s="430"/>
      <c r="F153" s="430"/>
      <c r="G153" s="430"/>
      <c r="H153" s="430"/>
      <c r="I153" s="430"/>
      <c r="J153" s="430"/>
      <c r="K153" s="430"/>
      <c r="L153" s="431"/>
      <c r="M153" s="416"/>
      <c r="N153" s="417"/>
      <c r="O153" s="417"/>
      <c r="P153" s="417"/>
      <c r="Q153" s="417"/>
      <c r="R153" s="418"/>
      <c r="S153" s="69"/>
      <c r="T153" s="23"/>
      <c r="U153" s="369">
        <f t="shared" si="7"/>
        <v>0</v>
      </c>
      <c r="V153" s="370"/>
      <c r="W153" s="1"/>
      <c r="X153" s="15"/>
      <c r="Y153" s="15"/>
      <c r="Z153" s="15"/>
      <c r="AA153" s="15"/>
      <c r="AB153" s="15"/>
      <c r="AC153" s="16"/>
      <c r="AG153" s="87"/>
      <c r="AH153" s="87"/>
    </row>
    <row r="154" spans="1:49" hidden="1">
      <c r="A154" s="1"/>
      <c r="B154" s="12" t="s">
        <v>14</v>
      </c>
      <c r="C154" s="429"/>
      <c r="D154" s="430"/>
      <c r="E154" s="430"/>
      <c r="F154" s="430"/>
      <c r="G154" s="430"/>
      <c r="H154" s="430"/>
      <c r="I154" s="430"/>
      <c r="J154" s="430"/>
      <c r="K154" s="430"/>
      <c r="L154" s="431"/>
      <c r="M154" s="416"/>
      <c r="N154" s="417"/>
      <c r="O154" s="417"/>
      <c r="P154" s="417"/>
      <c r="Q154" s="417"/>
      <c r="R154" s="418"/>
      <c r="S154" s="69"/>
      <c r="T154" s="23"/>
      <c r="U154" s="369">
        <f t="shared" si="7"/>
        <v>0</v>
      </c>
      <c r="V154" s="370"/>
      <c r="W154" s="1"/>
      <c r="X154" s="15"/>
      <c r="Y154" s="15"/>
      <c r="Z154" s="15"/>
      <c r="AA154" s="15"/>
      <c r="AB154" s="15"/>
      <c r="AC154" s="16"/>
      <c r="AG154" s="87"/>
      <c r="AH154" s="87"/>
    </row>
    <row r="155" spans="1:49" hidden="1">
      <c r="A155" s="1"/>
      <c r="B155" s="12" t="s">
        <v>15</v>
      </c>
      <c r="C155" s="429"/>
      <c r="D155" s="430"/>
      <c r="E155" s="430"/>
      <c r="F155" s="430"/>
      <c r="G155" s="430"/>
      <c r="H155" s="430"/>
      <c r="I155" s="430"/>
      <c r="J155" s="430"/>
      <c r="K155" s="430"/>
      <c r="L155" s="431"/>
      <c r="M155" s="416"/>
      <c r="N155" s="417"/>
      <c r="O155" s="417"/>
      <c r="P155" s="417"/>
      <c r="Q155" s="417"/>
      <c r="R155" s="418"/>
      <c r="S155" s="69"/>
      <c r="T155" s="23"/>
      <c r="U155" s="369">
        <f t="shared" si="7"/>
        <v>0</v>
      </c>
      <c r="V155" s="370"/>
      <c r="W155" s="1"/>
      <c r="X155" s="15"/>
      <c r="Y155" s="15"/>
      <c r="Z155" s="15"/>
      <c r="AA155" s="15"/>
      <c r="AB155" s="15"/>
      <c r="AC155" s="16"/>
      <c r="AG155" s="87"/>
      <c r="AH155" s="87"/>
    </row>
    <row r="156" spans="1:49" hidden="1">
      <c r="A156" s="1"/>
      <c r="B156" s="12" t="s">
        <v>17</v>
      </c>
      <c r="C156" s="429"/>
      <c r="D156" s="430"/>
      <c r="E156" s="430"/>
      <c r="F156" s="430"/>
      <c r="G156" s="430"/>
      <c r="H156" s="430"/>
      <c r="I156" s="430"/>
      <c r="J156" s="430"/>
      <c r="K156" s="430"/>
      <c r="L156" s="431"/>
      <c r="M156" s="416"/>
      <c r="N156" s="417"/>
      <c r="O156" s="417"/>
      <c r="P156" s="417"/>
      <c r="Q156" s="417"/>
      <c r="R156" s="418"/>
      <c r="S156" s="69"/>
      <c r="T156" s="23"/>
      <c r="U156" s="369">
        <f t="shared" si="7"/>
        <v>0</v>
      </c>
      <c r="V156" s="370"/>
      <c r="W156" s="1"/>
      <c r="X156" s="15"/>
      <c r="Y156" s="15"/>
      <c r="Z156" s="15"/>
      <c r="AA156" s="15"/>
      <c r="AB156" s="15"/>
      <c r="AC156" s="16"/>
      <c r="AG156" s="87"/>
      <c r="AH156" s="87"/>
    </row>
    <row r="157" spans="1:49" s="105" customFormat="1" ht="21" hidden="1">
      <c r="A157" s="97"/>
      <c r="B157" s="98"/>
      <c r="C157" s="107" t="s">
        <v>173</v>
      </c>
      <c r="D157" s="97"/>
      <c r="E157" s="97"/>
      <c r="F157" s="97"/>
      <c r="G157" s="97"/>
      <c r="H157" s="97"/>
      <c r="I157" s="97"/>
      <c r="J157" s="97"/>
      <c r="K157" s="97"/>
      <c r="L157" s="97"/>
      <c r="M157" s="97" t="s">
        <v>250</v>
      </c>
      <c r="N157" s="98"/>
      <c r="O157" s="106"/>
      <c r="P157" s="98"/>
      <c r="Q157" s="98"/>
      <c r="R157" s="109"/>
      <c r="S157" s="96" t="s">
        <v>182</v>
      </c>
      <c r="T157" s="98" t="s">
        <v>127</v>
      </c>
      <c r="U157" s="98" t="s">
        <v>123</v>
      </c>
      <c r="V157" s="98"/>
      <c r="W157" s="97"/>
      <c r="X157" s="103"/>
      <c r="Y157" s="103"/>
      <c r="Z157" s="103"/>
      <c r="AA157" s="103"/>
      <c r="AB157" s="103"/>
      <c r="AC157" s="104"/>
      <c r="AD157" s="306"/>
      <c r="AE157" s="74"/>
      <c r="AF157" s="74"/>
      <c r="AG157" s="87"/>
      <c r="AH157" s="87"/>
      <c r="AI157" s="74"/>
      <c r="AJ157" s="74"/>
      <c r="AK157" s="74"/>
      <c r="AL157" s="74"/>
      <c r="AM157" s="74"/>
      <c r="AN157" s="74"/>
      <c r="AO157" s="74"/>
      <c r="AP157" s="74"/>
      <c r="AQ157" s="74"/>
      <c r="AR157" s="74"/>
      <c r="AS157" s="74"/>
      <c r="AT157" s="74"/>
      <c r="AU157" s="74"/>
      <c r="AV157" s="74"/>
      <c r="AW157" s="74"/>
    </row>
    <row r="158" spans="1:49" hidden="1">
      <c r="A158" s="1"/>
      <c r="B158" s="12" t="s">
        <v>68</v>
      </c>
      <c r="C158" s="416"/>
      <c r="D158" s="417"/>
      <c r="E158" s="417"/>
      <c r="F158" s="417"/>
      <c r="G158" s="417"/>
      <c r="H158" s="417"/>
      <c r="I158" s="417"/>
      <c r="J158" s="417"/>
      <c r="K158" s="417"/>
      <c r="L158" s="418"/>
      <c r="M158" s="416"/>
      <c r="N158" s="417"/>
      <c r="O158" s="417"/>
      <c r="P158" s="417"/>
      <c r="Q158" s="417"/>
      <c r="R158" s="418"/>
      <c r="S158" s="69"/>
      <c r="T158" s="23"/>
      <c r="U158" s="373" t="str">
        <f t="shared" ref="U158" si="8">IF(T158="","",IF(S158="","TBD",0))</f>
        <v/>
      </c>
      <c r="V158" s="370"/>
      <c r="W158" s="1"/>
      <c r="X158" s="15"/>
      <c r="Y158" s="15"/>
      <c r="Z158" s="15"/>
      <c r="AA158" s="15"/>
      <c r="AB158" s="15"/>
      <c r="AC158" s="16"/>
      <c r="AD158" s="307">
        <f>IF(U158="TBD",1,0)</f>
        <v>0</v>
      </c>
      <c r="AG158" s="87"/>
      <c r="AH158" s="87"/>
    </row>
    <row r="159" spans="1:49" hidden="1">
      <c r="A159" s="1"/>
      <c r="B159" s="12" t="s">
        <v>69</v>
      </c>
      <c r="C159" s="416"/>
      <c r="D159" s="417"/>
      <c r="E159" s="417"/>
      <c r="F159" s="417"/>
      <c r="G159" s="417"/>
      <c r="H159" s="417"/>
      <c r="I159" s="417"/>
      <c r="J159" s="417"/>
      <c r="K159" s="417"/>
      <c r="L159" s="418"/>
      <c r="M159" s="416"/>
      <c r="N159" s="417"/>
      <c r="O159" s="417"/>
      <c r="P159" s="417"/>
      <c r="Q159" s="417"/>
      <c r="R159" s="418"/>
      <c r="S159" s="69"/>
      <c r="T159" s="23"/>
      <c r="U159" s="373" t="str">
        <f t="shared" ref="U159:U207" si="9">IF(T159="","",IF(S159="","TBD",0))</f>
        <v/>
      </c>
      <c r="V159" s="370"/>
      <c r="W159" s="1"/>
      <c r="X159" s="15"/>
      <c r="Y159" s="15"/>
      <c r="Z159" s="15"/>
      <c r="AA159" s="15"/>
      <c r="AB159" s="15"/>
      <c r="AC159" s="16"/>
      <c r="AD159" s="307">
        <f t="shared" ref="AD159:AD260" si="10">IF(U159="TBD",1,0)</f>
        <v>0</v>
      </c>
      <c r="AG159" s="87"/>
      <c r="AH159" s="87"/>
    </row>
    <row r="160" spans="1:49" hidden="1">
      <c r="A160" s="1"/>
      <c r="B160" s="12" t="s">
        <v>70</v>
      </c>
      <c r="C160" s="416"/>
      <c r="D160" s="417"/>
      <c r="E160" s="417"/>
      <c r="F160" s="417"/>
      <c r="G160" s="417"/>
      <c r="H160" s="417"/>
      <c r="I160" s="417"/>
      <c r="J160" s="417"/>
      <c r="K160" s="417"/>
      <c r="L160" s="418"/>
      <c r="M160" s="416"/>
      <c r="N160" s="417"/>
      <c r="O160" s="417"/>
      <c r="P160" s="417"/>
      <c r="Q160" s="417"/>
      <c r="R160" s="418"/>
      <c r="S160" s="69"/>
      <c r="T160" s="23"/>
      <c r="U160" s="373" t="str">
        <f t="shared" si="9"/>
        <v/>
      </c>
      <c r="V160" s="370"/>
      <c r="W160" s="1"/>
      <c r="X160" s="15"/>
      <c r="Y160" s="15"/>
      <c r="Z160" s="15"/>
      <c r="AA160" s="15"/>
      <c r="AB160" s="15"/>
      <c r="AC160" s="16"/>
      <c r="AD160" s="307">
        <f t="shared" si="10"/>
        <v>0</v>
      </c>
      <c r="AG160" s="87"/>
      <c r="AH160" s="87"/>
    </row>
    <row r="161" spans="1:34" hidden="1">
      <c r="A161" s="1"/>
      <c r="B161" s="12" t="s">
        <v>71</v>
      </c>
      <c r="C161" s="416"/>
      <c r="D161" s="417"/>
      <c r="E161" s="417"/>
      <c r="F161" s="417"/>
      <c r="G161" s="417"/>
      <c r="H161" s="417"/>
      <c r="I161" s="417"/>
      <c r="J161" s="417"/>
      <c r="K161" s="417"/>
      <c r="L161" s="418"/>
      <c r="M161" s="416"/>
      <c r="N161" s="417"/>
      <c r="O161" s="417"/>
      <c r="P161" s="417"/>
      <c r="Q161" s="417"/>
      <c r="R161" s="418"/>
      <c r="S161" s="69"/>
      <c r="T161" s="23"/>
      <c r="U161" s="373" t="str">
        <f t="shared" si="9"/>
        <v/>
      </c>
      <c r="V161" s="370"/>
      <c r="W161" s="1"/>
      <c r="X161" s="15"/>
      <c r="Y161" s="15"/>
      <c r="Z161" s="15"/>
      <c r="AA161" s="15"/>
      <c r="AB161" s="15"/>
      <c r="AC161" s="16"/>
      <c r="AD161" s="307">
        <f t="shared" si="10"/>
        <v>0</v>
      </c>
      <c r="AG161" s="87"/>
      <c r="AH161" s="87"/>
    </row>
    <row r="162" spans="1:34" hidden="1">
      <c r="A162" s="1"/>
      <c r="B162" s="12" t="s">
        <v>72</v>
      </c>
      <c r="C162" s="416"/>
      <c r="D162" s="417"/>
      <c r="E162" s="417"/>
      <c r="F162" s="417"/>
      <c r="G162" s="417"/>
      <c r="H162" s="417"/>
      <c r="I162" s="417"/>
      <c r="J162" s="417"/>
      <c r="K162" s="417"/>
      <c r="L162" s="418"/>
      <c r="M162" s="416"/>
      <c r="N162" s="417"/>
      <c r="O162" s="417"/>
      <c r="P162" s="417"/>
      <c r="Q162" s="417"/>
      <c r="R162" s="418"/>
      <c r="S162" s="69"/>
      <c r="T162" s="23"/>
      <c r="U162" s="373" t="str">
        <f t="shared" si="9"/>
        <v/>
      </c>
      <c r="V162" s="370"/>
      <c r="W162" s="1"/>
      <c r="X162" s="15"/>
      <c r="Y162" s="15"/>
      <c r="Z162" s="15"/>
      <c r="AA162" s="15"/>
      <c r="AB162" s="15"/>
      <c r="AC162" s="16"/>
      <c r="AD162" s="307">
        <f t="shared" si="10"/>
        <v>0</v>
      </c>
      <c r="AG162" s="87"/>
      <c r="AH162" s="87"/>
    </row>
    <row r="163" spans="1:34" hidden="1">
      <c r="A163" s="1"/>
      <c r="B163" s="12" t="s">
        <v>82</v>
      </c>
      <c r="C163" s="416"/>
      <c r="D163" s="417"/>
      <c r="E163" s="417"/>
      <c r="F163" s="417"/>
      <c r="G163" s="417"/>
      <c r="H163" s="417"/>
      <c r="I163" s="417"/>
      <c r="J163" s="417"/>
      <c r="K163" s="417"/>
      <c r="L163" s="418"/>
      <c r="M163" s="416"/>
      <c r="N163" s="417"/>
      <c r="O163" s="417"/>
      <c r="P163" s="417"/>
      <c r="Q163" s="417"/>
      <c r="R163" s="418"/>
      <c r="S163" s="69"/>
      <c r="T163" s="23"/>
      <c r="U163" s="373" t="str">
        <f t="shared" si="9"/>
        <v/>
      </c>
      <c r="V163" s="370"/>
      <c r="W163" s="1"/>
      <c r="X163" s="15"/>
      <c r="Y163" s="15"/>
      <c r="Z163" s="15"/>
      <c r="AA163" s="15"/>
      <c r="AB163" s="15"/>
      <c r="AC163" s="16"/>
      <c r="AD163" s="307">
        <f t="shared" si="10"/>
        <v>0</v>
      </c>
      <c r="AG163" s="87"/>
      <c r="AH163" s="87"/>
    </row>
    <row r="164" spans="1:34" hidden="1">
      <c r="A164" s="1"/>
      <c r="B164" s="12" t="s">
        <v>83</v>
      </c>
      <c r="C164" s="416"/>
      <c r="D164" s="417"/>
      <c r="E164" s="417"/>
      <c r="F164" s="417"/>
      <c r="G164" s="417"/>
      <c r="H164" s="417"/>
      <c r="I164" s="417"/>
      <c r="J164" s="417"/>
      <c r="K164" s="417"/>
      <c r="L164" s="418"/>
      <c r="M164" s="416"/>
      <c r="N164" s="417"/>
      <c r="O164" s="417"/>
      <c r="P164" s="417"/>
      <c r="Q164" s="417"/>
      <c r="R164" s="418"/>
      <c r="S164" s="69"/>
      <c r="T164" s="23"/>
      <c r="U164" s="373" t="str">
        <f t="shared" si="9"/>
        <v/>
      </c>
      <c r="V164" s="370"/>
      <c r="W164" s="1"/>
      <c r="X164" s="15"/>
      <c r="Y164" s="15"/>
      <c r="Z164" s="15"/>
      <c r="AA164" s="15"/>
      <c r="AB164" s="15"/>
      <c r="AC164" s="16"/>
      <c r="AD164" s="307">
        <f t="shared" si="10"/>
        <v>0</v>
      </c>
      <c r="AG164" s="87"/>
      <c r="AH164" s="87"/>
    </row>
    <row r="165" spans="1:34" hidden="1">
      <c r="A165" s="1"/>
      <c r="B165" s="12" t="s">
        <v>84</v>
      </c>
      <c r="C165" s="416"/>
      <c r="D165" s="417"/>
      <c r="E165" s="417"/>
      <c r="F165" s="417"/>
      <c r="G165" s="417"/>
      <c r="H165" s="417"/>
      <c r="I165" s="417"/>
      <c r="J165" s="417"/>
      <c r="K165" s="417"/>
      <c r="L165" s="418"/>
      <c r="M165" s="416"/>
      <c r="N165" s="417"/>
      <c r="O165" s="417"/>
      <c r="P165" s="417"/>
      <c r="Q165" s="417"/>
      <c r="R165" s="418"/>
      <c r="S165" s="69"/>
      <c r="T165" s="23"/>
      <c r="U165" s="373" t="str">
        <f t="shared" si="9"/>
        <v/>
      </c>
      <c r="V165" s="370"/>
      <c r="W165" s="1"/>
      <c r="X165" s="15"/>
      <c r="Y165" s="15"/>
      <c r="Z165" s="15"/>
      <c r="AA165" s="15"/>
      <c r="AB165" s="15"/>
      <c r="AC165" s="16"/>
      <c r="AD165" s="307">
        <f t="shared" si="10"/>
        <v>0</v>
      </c>
      <c r="AG165" s="87"/>
      <c r="AH165" s="87"/>
    </row>
    <row r="166" spans="1:34" hidden="1">
      <c r="A166" s="1"/>
      <c r="B166" s="12" t="s">
        <v>85</v>
      </c>
      <c r="C166" s="416"/>
      <c r="D166" s="417"/>
      <c r="E166" s="417"/>
      <c r="F166" s="417"/>
      <c r="G166" s="417"/>
      <c r="H166" s="417"/>
      <c r="I166" s="417"/>
      <c r="J166" s="417"/>
      <c r="K166" s="417"/>
      <c r="L166" s="418"/>
      <c r="M166" s="416"/>
      <c r="N166" s="417"/>
      <c r="O166" s="417"/>
      <c r="P166" s="417"/>
      <c r="Q166" s="417"/>
      <c r="R166" s="418"/>
      <c r="S166" s="69"/>
      <c r="T166" s="23"/>
      <c r="U166" s="373" t="str">
        <f t="shared" si="9"/>
        <v/>
      </c>
      <c r="V166" s="370"/>
      <c r="W166" s="1"/>
      <c r="X166" s="15"/>
      <c r="Y166" s="15"/>
      <c r="Z166" s="15"/>
      <c r="AA166" s="15"/>
      <c r="AB166" s="15"/>
      <c r="AC166" s="16"/>
      <c r="AD166" s="307">
        <f t="shared" si="10"/>
        <v>0</v>
      </c>
      <c r="AG166" s="87"/>
      <c r="AH166" s="87"/>
    </row>
    <row r="167" spans="1:34" hidden="1">
      <c r="A167" s="1"/>
      <c r="B167" s="12" t="s">
        <v>86</v>
      </c>
      <c r="C167" s="416"/>
      <c r="D167" s="417"/>
      <c r="E167" s="417"/>
      <c r="F167" s="417"/>
      <c r="G167" s="417"/>
      <c r="H167" s="417"/>
      <c r="I167" s="417"/>
      <c r="J167" s="417"/>
      <c r="K167" s="417"/>
      <c r="L167" s="418"/>
      <c r="M167" s="416"/>
      <c r="N167" s="417"/>
      <c r="O167" s="417"/>
      <c r="P167" s="417"/>
      <c r="Q167" s="417"/>
      <c r="R167" s="418"/>
      <c r="S167" s="69"/>
      <c r="T167" s="23"/>
      <c r="U167" s="373" t="str">
        <f t="shared" si="9"/>
        <v/>
      </c>
      <c r="V167" s="370"/>
      <c r="W167" s="1"/>
      <c r="X167" s="15"/>
      <c r="Y167" s="15"/>
      <c r="Z167" s="15"/>
      <c r="AA167" s="15"/>
      <c r="AB167" s="15"/>
      <c r="AC167" s="16"/>
      <c r="AD167" s="307">
        <f t="shared" si="10"/>
        <v>0</v>
      </c>
      <c r="AG167" s="87"/>
      <c r="AH167" s="87"/>
    </row>
    <row r="168" spans="1:34" hidden="1">
      <c r="A168" s="1"/>
      <c r="B168" s="12" t="s">
        <v>655</v>
      </c>
      <c r="C168" s="416"/>
      <c r="D168" s="417"/>
      <c r="E168" s="417"/>
      <c r="F168" s="417"/>
      <c r="G168" s="417"/>
      <c r="H168" s="417"/>
      <c r="I168" s="417"/>
      <c r="J168" s="417"/>
      <c r="K168" s="417"/>
      <c r="L168" s="418"/>
      <c r="M168" s="416"/>
      <c r="N168" s="417"/>
      <c r="O168" s="417"/>
      <c r="P168" s="417"/>
      <c r="Q168" s="417"/>
      <c r="R168" s="418"/>
      <c r="S168" s="69"/>
      <c r="T168" s="23"/>
      <c r="U168" s="373" t="str">
        <f t="shared" si="9"/>
        <v/>
      </c>
      <c r="V168" s="370"/>
      <c r="W168" s="1"/>
      <c r="X168" s="15"/>
      <c r="Y168" s="15"/>
      <c r="Z168" s="15"/>
      <c r="AA168" s="15"/>
      <c r="AB168" s="15"/>
      <c r="AC168" s="16"/>
      <c r="AD168" s="307">
        <f t="shared" si="10"/>
        <v>0</v>
      </c>
      <c r="AG168" s="87"/>
      <c r="AH168" s="87"/>
    </row>
    <row r="169" spans="1:34" hidden="1">
      <c r="A169" s="1"/>
      <c r="B169" s="12" t="s">
        <v>656</v>
      </c>
      <c r="C169" s="416"/>
      <c r="D169" s="417"/>
      <c r="E169" s="417"/>
      <c r="F169" s="417"/>
      <c r="G169" s="417"/>
      <c r="H169" s="417"/>
      <c r="I169" s="417"/>
      <c r="J169" s="417"/>
      <c r="K169" s="417"/>
      <c r="L169" s="418"/>
      <c r="M169" s="416"/>
      <c r="N169" s="417"/>
      <c r="O169" s="417"/>
      <c r="P169" s="417"/>
      <c r="Q169" s="417"/>
      <c r="R169" s="418"/>
      <c r="S169" s="69"/>
      <c r="T169" s="23"/>
      <c r="U169" s="373" t="str">
        <f t="shared" si="9"/>
        <v/>
      </c>
      <c r="V169" s="370"/>
      <c r="W169" s="1"/>
      <c r="X169" s="15"/>
      <c r="Y169" s="15"/>
      <c r="Z169" s="15"/>
      <c r="AA169" s="15"/>
      <c r="AB169" s="15"/>
      <c r="AC169" s="16"/>
      <c r="AD169" s="307">
        <f t="shared" si="10"/>
        <v>0</v>
      </c>
      <c r="AG169" s="87"/>
      <c r="AH169" s="87"/>
    </row>
    <row r="170" spans="1:34" hidden="1">
      <c r="A170" s="1"/>
      <c r="B170" s="12" t="s">
        <v>657</v>
      </c>
      <c r="C170" s="416"/>
      <c r="D170" s="417"/>
      <c r="E170" s="417"/>
      <c r="F170" s="417"/>
      <c r="G170" s="417"/>
      <c r="H170" s="417"/>
      <c r="I170" s="417"/>
      <c r="J170" s="417"/>
      <c r="K170" s="417"/>
      <c r="L170" s="418"/>
      <c r="M170" s="416"/>
      <c r="N170" s="417"/>
      <c r="O170" s="417"/>
      <c r="P170" s="417"/>
      <c r="Q170" s="417"/>
      <c r="R170" s="418"/>
      <c r="S170" s="69"/>
      <c r="T170" s="23"/>
      <c r="U170" s="373" t="str">
        <f t="shared" si="9"/>
        <v/>
      </c>
      <c r="V170" s="370"/>
      <c r="W170" s="1"/>
      <c r="X170" s="15"/>
      <c r="Y170" s="15"/>
      <c r="Z170" s="15"/>
      <c r="AA170" s="15"/>
      <c r="AB170" s="15"/>
      <c r="AC170" s="16"/>
      <c r="AD170" s="307">
        <f t="shared" si="10"/>
        <v>0</v>
      </c>
      <c r="AG170" s="87"/>
      <c r="AH170" s="87"/>
    </row>
    <row r="171" spans="1:34" hidden="1">
      <c r="A171" s="1"/>
      <c r="B171" s="12" t="s">
        <v>658</v>
      </c>
      <c r="C171" s="416"/>
      <c r="D171" s="417"/>
      <c r="E171" s="417"/>
      <c r="F171" s="417"/>
      <c r="G171" s="417"/>
      <c r="H171" s="417"/>
      <c r="I171" s="417"/>
      <c r="J171" s="417"/>
      <c r="K171" s="417"/>
      <c r="L171" s="418"/>
      <c r="M171" s="416"/>
      <c r="N171" s="417"/>
      <c r="O171" s="417"/>
      <c r="P171" s="417"/>
      <c r="Q171" s="417"/>
      <c r="R171" s="418"/>
      <c r="S171" s="69"/>
      <c r="T171" s="23"/>
      <c r="U171" s="373" t="str">
        <f t="shared" si="9"/>
        <v/>
      </c>
      <c r="V171" s="370"/>
      <c r="W171" s="1"/>
      <c r="X171" s="15"/>
      <c r="Y171" s="15"/>
      <c r="Z171" s="15"/>
      <c r="AA171" s="15"/>
      <c r="AB171" s="15"/>
      <c r="AC171" s="16"/>
      <c r="AD171" s="307">
        <f t="shared" si="10"/>
        <v>0</v>
      </c>
      <c r="AG171" s="87"/>
      <c r="AH171" s="87"/>
    </row>
    <row r="172" spans="1:34" hidden="1">
      <c r="A172" s="1"/>
      <c r="B172" s="12" t="s">
        <v>659</v>
      </c>
      <c r="C172" s="416"/>
      <c r="D172" s="417"/>
      <c r="E172" s="417"/>
      <c r="F172" s="417"/>
      <c r="G172" s="417"/>
      <c r="H172" s="417"/>
      <c r="I172" s="417"/>
      <c r="J172" s="417"/>
      <c r="K172" s="417"/>
      <c r="L172" s="418"/>
      <c r="M172" s="416"/>
      <c r="N172" s="417"/>
      <c r="O172" s="417"/>
      <c r="P172" s="417"/>
      <c r="Q172" s="417"/>
      <c r="R172" s="418"/>
      <c r="S172" s="69"/>
      <c r="T172" s="23"/>
      <c r="U172" s="373" t="str">
        <f t="shared" si="9"/>
        <v/>
      </c>
      <c r="V172" s="370"/>
      <c r="W172" s="1"/>
      <c r="X172" s="15"/>
      <c r="Y172" s="15"/>
      <c r="Z172" s="15"/>
      <c r="AA172" s="15"/>
      <c r="AB172" s="15"/>
      <c r="AC172" s="16"/>
      <c r="AD172" s="307">
        <f t="shared" si="10"/>
        <v>0</v>
      </c>
      <c r="AG172" s="87"/>
      <c r="AH172" s="87"/>
    </row>
    <row r="173" spans="1:34" hidden="1">
      <c r="A173" s="1"/>
      <c r="B173" s="12" t="s">
        <v>660</v>
      </c>
      <c r="C173" s="416"/>
      <c r="D173" s="417"/>
      <c r="E173" s="417"/>
      <c r="F173" s="417"/>
      <c r="G173" s="417"/>
      <c r="H173" s="417"/>
      <c r="I173" s="417"/>
      <c r="J173" s="417"/>
      <c r="K173" s="417"/>
      <c r="L173" s="418"/>
      <c r="M173" s="416"/>
      <c r="N173" s="417"/>
      <c r="O173" s="417"/>
      <c r="P173" s="417"/>
      <c r="Q173" s="417"/>
      <c r="R173" s="418"/>
      <c r="S173" s="69"/>
      <c r="T173" s="23"/>
      <c r="U173" s="373" t="str">
        <f t="shared" si="9"/>
        <v/>
      </c>
      <c r="V173" s="370"/>
      <c r="W173" s="1"/>
      <c r="X173" s="15"/>
      <c r="Y173" s="15"/>
      <c r="Z173" s="15"/>
      <c r="AA173" s="15"/>
      <c r="AB173" s="15"/>
      <c r="AC173" s="16"/>
      <c r="AD173" s="307">
        <f t="shared" si="10"/>
        <v>0</v>
      </c>
      <c r="AG173" s="87"/>
      <c r="AH173" s="87"/>
    </row>
    <row r="174" spans="1:34" hidden="1">
      <c r="A174" s="1"/>
      <c r="B174" s="12" t="s">
        <v>661</v>
      </c>
      <c r="C174" s="416"/>
      <c r="D174" s="417"/>
      <c r="E174" s="417"/>
      <c r="F174" s="417"/>
      <c r="G174" s="417"/>
      <c r="H174" s="417"/>
      <c r="I174" s="417"/>
      <c r="J174" s="417"/>
      <c r="K174" s="417"/>
      <c r="L174" s="418"/>
      <c r="M174" s="416"/>
      <c r="N174" s="417"/>
      <c r="O174" s="417"/>
      <c r="P174" s="417"/>
      <c r="Q174" s="417"/>
      <c r="R174" s="418"/>
      <c r="S174" s="69"/>
      <c r="T174" s="23"/>
      <c r="U174" s="373" t="str">
        <f t="shared" si="9"/>
        <v/>
      </c>
      <c r="V174" s="370"/>
      <c r="W174" s="1"/>
      <c r="X174" s="15"/>
      <c r="Y174" s="15"/>
      <c r="Z174" s="15"/>
      <c r="AA174" s="15"/>
      <c r="AB174" s="15"/>
      <c r="AC174" s="16"/>
      <c r="AD174" s="307">
        <f t="shared" si="10"/>
        <v>0</v>
      </c>
      <c r="AG174" s="87"/>
      <c r="AH174" s="87"/>
    </row>
    <row r="175" spans="1:34" hidden="1">
      <c r="A175" s="1"/>
      <c r="B175" s="12" t="s">
        <v>662</v>
      </c>
      <c r="C175" s="416"/>
      <c r="D175" s="417"/>
      <c r="E175" s="417"/>
      <c r="F175" s="417"/>
      <c r="G175" s="417"/>
      <c r="H175" s="417"/>
      <c r="I175" s="417"/>
      <c r="J175" s="417"/>
      <c r="K175" s="417"/>
      <c r="L175" s="418"/>
      <c r="M175" s="416"/>
      <c r="N175" s="417"/>
      <c r="O175" s="417"/>
      <c r="P175" s="417"/>
      <c r="Q175" s="417"/>
      <c r="R175" s="418"/>
      <c r="S175" s="69"/>
      <c r="T175" s="23"/>
      <c r="U175" s="373" t="str">
        <f t="shared" si="9"/>
        <v/>
      </c>
      <c r="V175" s="370"/>
      <c r="W175" s="1"/>
      <c r="X175" s="15"/>
      <c r="Y175" s="15"/>
      <c r="Z175" s="15"/>
      <c r="AA175" s="15"/>
      <c r="AB175" s="15"/>
      <c r="AC175" s="16"/>
      <c r="AD175" s="307">
        <f t="shared" si="10"/>
        <v>0</v>
      </c>
      <c r="AG175" s="87"/>
      <c r="AH175" s="87"/>
    </row>
    <row r="176" spans="1:34" hidden="1">
      <c r="A176" s="1"/>
      <c r="B176" s="12" t="s">
        <v>663</v>
      </c>
      <c r="C176" s="416"/>
      <c r="D176" s="417"/>
      <c r="E176" s="417"/>
      <c r="F176" s="417"/>
      <c r="G176" s="417"/>
      <c r="H176" s="417"/>
      <c r="I176" s="417"/>
      <c r="J176" s="417"/>
      <c r="K176" s="417"/>
      <c r="L176" s="418"/>
      <c r="M176" s="416"/>
      <c r="N176" s="417"/>
      <c r="O176" s="417"/>
      <c r="P176" s="417"/>
      <c r="Q176" s="417"/>
      <c r="R176" s="418"/>
      <c r="S176" s="69"/>
      <c r="T176" s="23"/>
      <c r="U176" s="373" t="str">
        <f t="shared" si="9"/>
        <v/>
      </c>
      <c r="V176" s="370"/>
      <c r="W176" s="1"/>
      <c r="X176" s="15"/>
      <c r="Y176" s="15"/>
      <c r="Z176" s="15"/>
      <c r="AA176" s="15"/>
      <c r="AB176" s="15"/>
      <c r="AC176" s="16"/>
      <c r="AD176" s="307">
        <f t="shared" si="10"/>
        <v>0</v>
      </c>
      <c r="AG176" s="87"/>
      <c r="AH176" s="87"/>
    </row>
    <row r="177" spans="1:34" hidden="1">
      <c r="A177" s="1"/>
      <c r="B177" s="12" t="s">
        <v>664</v>
      </c>
      <c r="C177" s="416"/>
      <c r="D177" s="417"/>
      <c r="E177" s="417"/>
      <c r="F177" s="417"/>
      <c r="G177" s="417"/>
      <c r="H177" s="417"/>
      <c r="I177" s="417"/>
      <c r="J177" s="417"/>
      <c r="K177" s="417"/>
      <c r="L177" s="418"/>
      <c r="M177" s="416"/>
      <c r="N177" s="417"/>
      <c r="O177" s="417"/>
      <c r="P177" s="417"/>
      <c r="Q177" s="417"/>
      <c r="R177" s="418"/>
      <c r="S177" s="69"/>
      <c r="T177" s="23"/>
      <c r="U177" s="373" t="str">
        <f t="shared" si="9"/>
        <v/>
      </c>
      <c r="V177" s="370"/>
      <c r="W177" s="1"/>
      <c r="X177" s="15"/>
      <c r="Y177" s="15"/>
      <c r="Z177" s="15"/>
      <c r="AA177" s="15"/>
      <c r="AB177" s="15"/>
      <c r="AC177" s="16"/>
      <c r="AD177" s="307">
        <f t="shared" si="10"/>
        <v>0</v>
      </c>
      <c r="AG177" s="87"/>
      <c r="AH177" s="87"/>
    </row>
    <row r="178" spans="1:34" hidden="1">
      <c r="A178" s="1"/>
      <c r="B178" s="12" t="s">
        <v>665</v>
      </c>
      <c r="C178" s="416"/>
      <c r="D178" s="417"/>
      <c r="E178" s="417"/>
      <c r="F178" s="417"/>
      <c r="G178" s="417"/>
      <c r="H178" s="417"/>
      <c r="I178" s="417"/>
      <c r="J178" s="417"/>
      <c r="K178" s="417"/>
      <c r="L178" s="418"/>
      <c r="M178" s="416"/>
      <c r="N178" s="417"/>
      <c r="O178" s="417"/>
      <c r="P178" s="417"/>
      <c r="Q178" s="417"/>
      <c r="R178" s="418"/>
      <c r="S178" s="69"/>
      <c r="T178" s="23"/>
      <c r="U178" s="373" t="str">
        <f t="shared" si="9"/>
        <v/>
      </c>
      <c r="V178" s="370"/>
      <c r="W178" s="1"/>
      <c r="X178" s="15"/>
      <c r="Y178" s="15"/>
      <c r="Z178" s="15"/>
      <c r="AA178" s="15"/>
      <c r="AB178" s="15"/>
      <c r="AC178" s="16"/>
      <c r="AD178" s="307">
        <f t="shared" si="10"/>
        <v>0</v>
      </c>
      <c r="AG178" s="87"/>
      <c r="AH178" s="87"/>
    </row>
    <row r="179" spans="1:34" hidden="1">
      <c r="A179" s="1"/>
      <c r="B179" s="12" t="s">
        <v>666</v>
      </c>
      <c r="C179" s="416"/>
      <c r="D179" s="417"/>
      <c r="E179" s="417"/>
      <c r="F179" s="417"/>
      <c r="G179" s="417"/>
      <c r="H179" s="417"/>
      <c r="I179" s="417"/>
      <c r="J179" s="417"/>
      <c r="K179" s="417"/>
      <c r="L179" s="418"/>
      <c r="M179" s="416"/>
      <c r="N179" s="417"/>
      <c r="O179" s="417"/>
      <c r="P179" s="417"/>
      <c r="Q179" s="417"/>
      <c r="R179" s="418"/>
      <c r="S179" s="69"/>
      <c r="T179" s="23"/>
      <c r="U179" s="373" t="str">
        <f t="shared" si="9"/>
        <v/>
      </c>
      <c r="V179" s="370"/>
      <c r="W179" s="1"/>
      <c r="X179" s="15"/>
      <c r="Y179" s="15"/>
      <c r="Z179" s="15"/>
      <c r="AA179" s="15"/>
      <c r="AB179" s="15"/>
      <c r="AC179" s="16"/>
      <c r="AD179" s="307">
        <f t="shared" si="10"/>
        <v>0</v>
      </c>
      <c r="AG179" s="87"/>
      <c r="AH179" s="87"/>
    </row>
    <row r="180" spans="1:34" hidden="1">
      <c r="A180" s="1"/>
      <c r="B180" s="12" t="s">
        <v>667</v>
      </c>
      <c r="C180" s="416"/>
      <c r="D180" s="417"/>
      <c r="E180" s="417"/>
      <c r="F180" s="417"/>
      <c r="G180" s="417"/>
      <c r="H180" s="417"/>
      <c r="I180" s="417"/>
      <c r="J180" s="417"/>
      <c r="K180" s="417"/>
      <c r="L180" s="418"/>
      <c r="M180" s="416"/>
      <c r="N180" s="417"/>
      <c r="O180" s="417"/>
      <c r="P180" s="417"/>
      <c r="Q180" s="417"/>
      <c r="R180" s="418"/>
      <c r="S180" s="69"/>
      <c r="T180" s="23"/>
      <c r="U180" s="373" t="str">
        <f t="shared" si="9"/>
        <v/>
      </c>
      <c r="V180" s="370"/>
      <c r="W180" s="1"/>
      <c r="X180" s="15"/>
      <c r="Y180" s="15"/>
      <c r="Z180" s="15"/>
      <c r="AA180" s="15"/>
      <c r="AB180" s="15"/>
      <c r="AC180" s="16"/>
      <c r="AD180" s="307">
        <f t="shared" si="10"/>
        <v>0</v>
      </c>
      <c r="AG180" s="87"/>
      <c r="AH180" s="87"/>
    </row>
    <row r="181" spans="1:34" hidden="1">
      <c r="A181" s="1"/>
      <c r="B181" s="12" t="s">
        <v>668</v>
      </c>
      <c r="C181" s="416"/>
      <c r="D181" s="417"/>
      <c r="E181" s="417"/>
      <c r="F181" s="417"/>
      <c r="G181" s="417"/>
      <c r="H181" s="417"/>
      <c r="I181" s="417"/>
      <c r="J181" s="417"/>
      <c r="K181" s="417"/>
      <c r="L181" s="418"/>
      <c r="M181" s="416"/>
      <c r="N181" s="417"/>
      <c r="O181" s="417"/>
      <c r="P181" s="417"/>
      <c r="Q181" s="417"/>
      <c r="R181" s="418"/>
      <c r="S181" s="69"/>
      <c r="T181" s="23"/>
      <c r="U181" s="373" t="str">
        <f t="shared" si="9"/>
        <v/>
      </c>
      <c r="V181" s="370"/>
      <c r="W181" s="1"/>
      <c r="X181" s="15"/>
      <c r="Y181" s="15"/>
      <c r="Z181" s="15"/>
      <c r="AA181" s="15"/>
      <c r="AB181" s="15"/>
      <c r="AC181" s="16"/>
      <c r="AD181" s="307">
        <f t="shared" si="10"/>
        <v>0</v>
      </c>
      <c r="AG181" s="87"/>
      <c r="AH181" s="87"/>
    </row>
    <row r="182" spans="1:34" hidden="1">
      <c r="A182" s="1"/>
      <c r="B182" s="12" t="s">
        <v>669</v>
      </c>
      <c r="C182" s="416"/>
      <c r="D182" s="417"/>
      <c r="E182" s="417"/>
      <c r="F182" s="417"/>
      <c r="G182" s="417"/>
      <c r="H182" s="417"/>
      <c r="I182" s="417"/>
      <c r="J182" s="417"/>
      <c r="K182" s="417"/>
      <c r="L182" s="418"/>
      <c r="M182" s="416"/>
      <c r="N182" s="417"/>
      <c r="O182" s="417"/>
      <c r="P182" s="417"/>
      <c r="Q182" s="417"/>
      <c r="R182" s="418"/>
      <c r="S182" s="69"/>
      <c r="T182" s="23"/>
      <c r="U182" s="373" t="str">
        <f t="shared" si="9"/>
        <v/>
      </c>
      <c r="V182" s="370"/>
      <c r="W182" s="1"/>
      <c r="X182" s="15"/>
      <c r="Y182" s="15"/>
      <c r="Z182" s="15"/>
      <c r="AA182" s="15"/>
      <c r="AB182" s="15"/>
      <c r="AC182" s="16"/>
      <c r="AD182" s="307">
        <f t="shared" si="10"/>
        <v>0</v>
      </c>
      <c r="AG182" s="87"/>
      <c r="AH182" s="87"/>
    </row>
    <row r="183" spans="1:34" hidden="1">
      <c r="A183" s="1"/>
      <c r="B183" s="12" t="s">
        <v>670</v>
      </c>
      <c r="C183" s="416"/>
      <c r="D183" s="417"/>
      <c r="E183" s="417"/>
      <c r="F183" s="417"/>
      <c r="G183" s="417"/>
      <c r="H183" s="417"/>
      <c r="I183" s="417"/>
      <c r="J183" s="417"/>
      <c r="K183" s="417"/>
      <c r="L183" s="418"/>
      <c r="M183" s="416"/>
      <c r="N183" s="417"/>
      <c r="O183" s="417"/>
      <c r="P183" s="417"/>
      <c r="Q183" s="417"/>
      <c r="R183" s="418"/>
      <c r="S183" s="69"/>
      <c r="T183" s="23"/>
      <c r="U183" s="373" t="str">
        <f t="shared" si="9"/>
        <v/>
      </c>
      <c r="V183" s="370"/>
      <c r="W183" s="1"/>
      <c r="X183" s="15"/>
      <c r="Y183" s="15"/>
      <c r="Z183" s="15"/>
      <c r="AA183" s="15"/>
      <c r="AB183" s="15"/>
      <c r="AC183" s="16"/>
      <c r="AD183" s="307">
        <f t="shared" si="10"/>
        <v>0</v>
      </c>
      <c r="AG183" s="87"/>
      <c r="AH183" s="87"/>
    </row>
    <row r="184" spans="1:34" hidden="1">
      <c r="A184" s="1"/>
      <c r="B184" s="12" t="s">
        <v>671</v>
      </c>
      <c r="C184" s="416"/>
      <c r="D184" s="417"/>
      <c r="E184" s="417"/>
      <c r="F184" s="417"/>
      <c r="G184" s="417"/>
      <c r="H184" s="417"/>
      <c r="I184" s="417"/>
      <c r="J184" s="417"/>
      <c r="K184" s="417"/>
      <c r="L184" s="418"/>
      <c r="M184" s="416"/>
      <c r="N184" s="417"/>
      <c r="O184" s="417"/>
      <c r="P184" s="417"/>
      <c r="Q184" s="417"/>
      <c r="R184" s="418"/>
      <c r="S184" s="69"/>
      <c r="T184" s="23"/>
      <c r="U184" s="373" t="str">
        <f t="shared" si="9"/>
        <v/>
      </c>
      <c r="V184" s="370"/>
      <c r="W184" s="1"/>
      <c r="X184" s="15"/>
      <c r="Y184" s="15"/>
      <c r="Z184" s="15"/>
      <c r="AA184" s="15"/>
      <c r="AB184" s="15"/>
      <c r="AC184" s="16"/>
      <c r="AD184" s="307">
        <f t="shared" si="10"/>
        <v>0</v>
      </c>
      <c r="AG184" s="87"/>
      <c r="AH184" s="87"/>
    </row>
    <row r="185" spans="1:34" hidden="1">
      <c r="A185" s="1"/>
      <c r="B185" s="12" t="s">
        <v>672</v>
      </c>
      <c r="C185" s="416"/>
      <c r="D185" s="417"/>
      <c r="E185" s="417"/>
      <c r="F185" s="417"/>
      <c r="G185" s="417"/>
      <c r="H185" s="417"/>
      <c r="I185" s="417"/>
      <c r="J185" s="417"/>
      <c r="K185" s="417"/>
      <c r="L185" s="418"/>
      <c r="M185" s="416"/>
      <c r="N185" s="417"/>
      <c r="O185" s="417"/>
      <c r="P185" s="417"/>
      <c r="Q185" s="417"/>
      <c r="R185" s="418"/>
      <c r="S185" s="69"/>
      <c r="T185" s="23"/>
      <c r="U185" s="373" t="str">
        <f t="shared" si="9"/>
        <v/>
      </c>
      <c r="V185" s="370"/>
      <c r="W185" s="1"/>
      <c r="X185" s="15"/>
      <c r="Y185" s="15"/>
      <c r="Z185" s="15"/>
      <c r="AA185" s="15"/>
      <c r="AB185" s="15"/>
      <c r="AC185" s="16"/>
      <c r="AD185" s="307">
        <f t="shared" si="10"/>
        <v>0</v>
      </c>
      <c r="AG185" s="87"/>
      <c r="AH185" s="87"/>
    </row>
    <row r="186" spans="1:34" hidden="1">
      <c r="A186" s="1"/>
      <c r="B186" s="12" t="s">
        <v>673</v>
      </c>
      <c r="C186" s="416"/>
      <c r="D186" s="417"/>
      <c r="E186" s="417"/>
      <c r="F186" s="417"/>
      <c r="G186" s="417"/>
      <c r="H186" s="417"/>
      <c r="I186" s="417"/>
      <c r="J186" s="417"/>
      <c r="K186" s="417"/>
      <c r="L186" s="418"/>
      <c r="M186" s="416"/>
      <c r="N186" s="417"/>
      <c r="O186" s="417"/>
      <c r="P186" s="417"/>
      <c r="Q186" s="417"/>
      <c r="R186" s="418"/>
      <c r="S186" s="69"/>
      <c r="T186" s="23"/>
      <c r="U186" s="373" t="str">
        <f t="shared" si="9"/>
        <v/>
      </c>
      <c r="V186" s="370"/>
      <c r="W186" s="1"/>
      <c r="X186" s="15"/>
      <c r="Y186" s="15"/>
      <c r="Z186" s="15"/>
      <c r="AA186" s="15"/>
      <c r="AB186" s="15"/>
      <c r="AC186" s="16"/>
      <c r="AD186" s="307">
        <f t="shared" si="10"/>
        <v>0</v>
      </c>
      <c r="AG186" s="87"/>
      <c r="AH186" s="87"/>
    </row>
    <row r="187" spans="1:34" hidden="1">
      <c r="A187" s="1"/>
      <c r="B187" s="12" t="s">
        <v>674</v>
      </c>
      <c r="C187" s="416"/>
      <c r="D187" s="417"/>
      <c r="E187" s="417"/>
      <c r="F187" s="417"/>
      <c r="G187" s="417"/>
      <c r="H187" s="417"/>
      <c r="I187" s="417"/>
      <c r="J187" s="417"/>
      <c r="K187" s="417"/>
      <c r="L187" s="418"/>
      <c r="M187" s="416"/>
      <c r="N187" s="417"/>
      <c r="O187" s="417"/>
      <c r="P187" s="417"/>
      <c r="Q187" s="417"/>
      <c r="R187" s="418"/>
      <c r="S187" s="69"/>
      <c r="T187" s="23"/>
      <c r="U187" s="373" t="str">
        <f t="shared" si="9"/>
        <v/>
      </c>
      <c r="V187" s="370"/>
      <c r="W187" s="1"/>
      <c r="X187" s="15"/>
      <c r="Y187" s="15"/>
      <c r="Z187" s="15"/>
      <c r="AA187" s="15"/>
      <c r="AB187" s="15"/>
      <c r="AC187" s="16"/>
      <c r="AD187" s="307">
        <f t="shared" si="10"/>
        <v>0</v>
      </c>
      <c r="AG187" s="87"/>
      <c r="AH187" s="87"/>
    </row>
    <row r="188" spans="1:34" hidden="1">
      <c r="A188" s="1"/>
      <c r="B188" s="12" t="s">
        <v>791</v>
      </c>
      <c r="C188" s="416"/>
      <c r="D188" s="417"/>
      <c r="E188" s="417"/>
      <c r="F188" s="417"/>
      <c r="G188" s="417"/>
      <c r="H188" s="417"/>
      <c r="I188" s="417"/>
      <c r="J188" s="417"/>
      <c r="K188" s="417"/>
      <c r="L188" s="418"/>
      <c r="M188" s="416"/>
      <c r="N188" s="417"/>
      <c r="O188" s="417"/>
      <c r="P188" s="417"/>
      <c r="Q188" s="417"/>
      <c r="R188" s="418"/>
      <c r="S188" s="69"/>
      <c r="T188" s="23"/>
      <c r="U188" s="373" t="str">
        <f t="shared" si="9"/>
        <v/>
      </c>
      <c r="V188" s="370"/>
      <c r="W188" s="1"/>
      <c r="X188" s="15"/>
      <c r="Y188" s="15"/>
      <c r="Z188" s="15"/>
      <c r="AA188" s="15"/>
      <c r="AB188" s="15"/>
      <c r="AC188" s="16"/>
      <c r="AD188" s="307">
        <f t="shared" si="10"/>
        <v>0</v>
      </c>
      <c r="AG188" s="87"/>
      <c r="AH188" s="87"/>
    </row>
    <row r="189" spans="1:34" hidden="1">
      <c r="A189" s="1"/>
      <c r="B189" s="12" t="s">
        <v>792</v>
      </c>
      <c r="C189" s="416"/>
      <c r="D189" s="417"/>
      <c r="E189" s="417"/>
      <c r="F189" s="417"/>
      <c r="G189" s="417"/>
      <c r="H189" s="417"/>
      <c r="I189" s="417"/>
      <c r="J189" s="417"/>
      <c r="K189" s="417"/>
      <c r="L189" s="418"/>
      <c r="M189" s="416"/>
      <c r="N189" s="417"/>
      <c r="O189" s="417"/>
      <c r="P189" s="417"/>
      <c r="Q189" s="417"/>
      <c r="R189" s="418"/>
      <c r="S189" s="69"/>
      <c r="T189" s="23"/>
      <c r="U189" s="373" t="str">
        <f t="shared" si="9"/>
        <v/>
      </c>
      <c r="V189" s="370"/>
      <c r="W189" s="1"/>
      <c r="X189" s="15"/>
      <c r="Y189" s="15"/>
      <c r="Z189" s="15"/>
      <c r="AA189" s="15"/>
      <c r="AB189" s="15"/>
      <c r="AC189" s="16"/>
      <c r="AD189" s="307">
        <f t="shared" si="10"/>
        <v>0</v>
      </c>
      <c r="AG189" s="87"/>
      <c r="AH189" s="87"/>
    </row>
    <row r="190" spans="1:34" hidden="1">
      <c r="A190" s="1"/>
      <c r="B190" s="12" t="s">
        <v>793</v>
      </c>
      <c r="C190" s="416"/>
      <c r="D190" s="417"/>
      <c r="E190" s="417"/>
      <c r="F190" s="417"/>
      <c r="G190" s="417"/>
      <c r="H190" s="417"/>
      <c r="I190" s="417"/>
      <c r="J190" s="417"/>
      <c r="K190" s="417"/>
      <c r="L190" s="418"/>
      <c r="M190" s="416"/>
      <c r="N190" s="417"/>
      <c r="O190" s="417"/>
      <c r="P190" s="417"/>
      <c r="Q190" s="417"/>
      <c r="R190" s="418"/>
      <c r="S190" s="69"/>
      <c r="T190" s="23"/>
      <c r="U190" s="373" t="str">
        <f t="shared" si="9"/>
        <v/>
      </c>
      <c r="V190" s="370"/>
      <c r="W190" s="1"/>
      <c r="X190" s="15"/>
      <c r="Y190" s="15"/>
      <c r="Z190" s="15"/>
      <c r="AA190" s="15"/>
      <c r="AB190" s="15"/>
      <c r="AC190" s="16"/>
      <c r="AD190" s="307">
        <f t="shared" si="10"/>
        <v>0</v>
      </c>
      <c r="AG190" s="87"/>
      <c r="AH190" s="87"/>
    </row>
    <row r="191" spans="1:34" hidden="1">
      <c r="A191" s="1"/>
      <c r="B191" s="12" t="s">
        <v>794</v>
      </c>
      <c r="C191" s="416"/>
      <c r="D191" s="417"/>
      <c r="E191" s="417"/>
      <c r="F191" s="417"/>
      <c r="G191" s="417"/>
      <c r="H191" s="417"/>
      <c r="I191" s="417"/>
      <c r="J191" s="417"/>
      <c r="K191" s="417"/>
      <c r="L191" s="418"/>
      <c r="M191" s="416"/>
      <c r="N191" s="417"/>
      <c r="O191" s="417"/>
      <c r="P191" s="417"/>
      <c r="Q191" s="417"/>
      <c r="R191" s="418"/>
      <c r="S191" s="69"/>
      <c r="T191" s="23"/>
      <c r="U191" s="373" t="str">
        <f t="shared" si="9"/>
        <v/>
      </c>
      <c r="V191" s="370"/>
      <c r="W191" s="1"/>
      <c r="X191" s="15"/>
      <c r="Y191" s="15"/>
      <c r="Z191" s="15"/>
      <c r="AA191" s="15"/>
      <c r="AB191" s="15"/>
      <c r="AC191" s="16"/>
      <c r="AD191" s="307">
        <f t="shared" si="10"/>
        <v>0</v>
      </c>
      <c r="AG191" s="87"/>
      <c r="AH191" s="87"/>
    </row>
    <row r="192" spans="1:34" hidden="1">
      <c r="A192" s="1"/>
      <c r="B192" s="12" t="s">
        <v>795</v>
      </c>
      <c r="C192" s="416"/>
      <c r="D192" s="417"/>
      <c r="E192" s="417"/>
      <c r="F192" s="417"/>
      <c r="G192" s="417"/>
      <c r="H192" s="417"/>
      <c r="I192" s="417"/>
      <c r="J192" s="417"/>
      <c r="K192" s="417"/>
      <c r="L192" s="418"/>
      <c r="M192" s="416"/>
      <c r="N192" s="417"/>
      <c r="O192" s="417"/>
      <c r="P192" s="417"/>
      <c r="Q192" s="417"/>
      <c r="R192" s="418"/>
      <c r="S192" s="69"/>
      <c r="T192" s="23"/>
      <c r="U192" s="373" t="str">
        <f t="shared" si="9"/>
        <v/>
      </c>
      <c r="V192" s="370"/>
      <c r="W192" s="1"/>
      <c r="X192" s="15"/>
      <c r="Y192" s="15"/>
      <c r="Z192" s="15"/>
      <c r="AA192" s="15"/>
      <c r="AB192" s="15"/>
      <c r="AC192" s="16"/>
      <c r="AD192" s="307">
        <f t="shared" si="10"/>
        <v>0</v>
      </c>
      <c r="AG192" s="87"/>
      <c r="AH192" s="87"/>
    </row>
    <row r="193" spans="1:34" hidden="1">
      <c r="A193" s="1"/>
      <c r="B193" s="12" t="s">
        <v>796</v>
      </c>
      <c r="C193" s="416"/>
      <c r="D193" s="417"/>
      <c r="E193" s="417"/>
      <c r="F193" s="417"/>
      <c r="G193" s="417"/>
      <c r="H193" s="417"/>
      <c r="I193" s="417"/>
      <c r="J193" s="417"/>
      <c r="K193" s="417"/>
      <c r="L193" s="418"/>
      <c r="M193" s="416"/>
      <c r="N193" s="417"/>
      <c r="O193" s="417"/>
      <c r="P193" s="417"/>
      <c r="Q193" s="417"/>
      <c r="R193" s="418"/>
      <c r="S193" s="69"/>
      <c r="T193" s="23"/>
      <c r="U193" s="373" t="str">
        <f t="shared" si="9"/>
        <v/>
      </c>
      <c r="V193" s="370"/>
      <c r="W193" s="1"/>
      <c r="X193" s="15"/>
      <c r="Y193" s="15"/>
      <c r="Z193" s="15"/>
      <c r="AA193" s="15"/>
      <c r="AB193" s="15"/>
      <c r="AC193" s="16"/>
      <c r="AD193" s="307">
        <f t="shared" si="10"/>
        <v>0</v>
      </c>
      <c r="AG193" s="87"/>
      <c r="AH193" s="87"/>
    </row>
    <row r="194" spans="1:34" hidden="1">
      <c r="A194" s="1"/>
      <c r="B194" s="12" t="s">
        <v>797</v>
      </c>
      <c r="C194" s="416"/>
      <c r="D194" s="417"/>
      <c r="E194" s="417"/>
      <c r="F194" s="417"/>
      <c r="G194" s="417"/>
      <c r="H194" s="417"/>
      <c r="I194" s="417"/>
      <c r="J194" s="417"/>
      <c r="K194" s="417"/>
      <c r="L194" s="418"/>
      <c r="M194" s="416"/>
      <c r="N194" s="417"/>
      <c r="O194" s="417"/>
      <c r="P194" s="417"/>
      <c r="Q194" s="417"/>
      <c r="R194" s="418"/>
      <c r="S194" s="69"/>
      <c r="T194" s="23"/>
      <c r="U194" s="373" t="str">
        <f t="shared" si="9"/>
        <v/>
      </c>
      <c r="V194" s="370"/>
      <c r="W194" s="1"/>
      <c r="X194" s="15"/>
      <c r="Y194" s="15"/>
      <c r="Z194" s="15"/>
      <c r="AA194" s="15"/>
      <c r="AB194" s="15"/>
      <c r="AC194" s="16"/>
      <c r="AD194" s="307">
        <f t="shared" si="10"/>
        <v>0</v>
      </c>
      <c r="AG194" s="87"/>
      <c r="AH194" s="87"/>
    </row>
    <row r="195" spans="1:34" hidden="1">
      <c r="A195" s="1"/>
      <c r="B195" s="12" t="s">
        <v>798</v>
      </c>
      <c r="C195" s="416"/>
      <c r="D195" s="417"/>
      <c r="E195" s="417"/>
      <c r="F195" s="417"/>
      <c r="G195" s="417"/>
      <c r="H195" s="417"/>
      <c r="I195" s="417"/>
      <c r="J195" s="417"/>
      <c r="K195" s="417"/>
      <c r="L195" s="418"/>
      <c r="M195" s="416"/>
      <c r="N195" s="417"/>
      <c r="O195" s="417"/>
      <c r="P195" s="417"/>
      <c r="Q195" s="417"/>
      <c r="R195" s="418"/>
      <c r="S195" s="69"/>
      <c r="T195" s="23"/>
      <c r="U195" s="373" t="str">
        <f t="shared" si="9"/>
        <v/>
      </c>
      <c r="V195" s="370"/>
      <c r="W195" s="1"/>
      <c r="X195" s="15"/>
      <c r="Y195" s="15"/>
      <c r="Z195" s="15"/>
      <c r="AA195" s="15"/>
      <c r="AB195" s="15"/>
      <c r="AC195" s="16"/>
      <c r="AD195" s="307">
        <f t="shared" si="10"/>
        <v>0</v>
      </c>
      <c r="AG195" s="87"/>
      <c r="AH195" s="87"/>
    </row>
    <row r="196" spans="1:34" hidden="1">
      <c r="A196" s="1"/>
      <c r="B196" s="12" t="s">
        <v>799</v>
      </c>
      <c r="C196" s="416"/>
      <c r="D196" s="417"/>
      <c r="E196" s="417"/>
      <c r="F196" s="417"/>
      <c r="G196" s="417"/>
      <c r="H196" s="417"/>
      <c r="I196" s="417"/>
      <c r="J196" s="417"/>
      <c r="K196" s="417"/>
      <c r="L196" s="418"/>
      <c r="M196" s="416"/>
      <c r="N196" s="417"/>
      <c r="O196" s="417"/>
      <c r="P196" s="417"/>
      <c r="Q196" s="417"/>
      <c r="R196" s="418"/>
      <c r="S196" s="69"/>
      <c r="T196" s="23"/>
      <c r="U196" s="373" t="str">
        <f t="shared" si="9"/>
        <v/>
      </c>
      <c r="V196" s="370"/>
      <c r="W196" s="1"/>
      <c r="X196" s="15"/>
      <c r="Y196" s="15"/>
      <c r="Z196" s="15"/>
      <c r="AA196" s="15"/>
      <c r="AB196" s="15"/>
      <c r="AC196" s="16"/>
      <c r="AD196" s="307">
        <f t="shared" si="10"/>
        <v>0</v>
      </c>
      <c r="AG196" s="87"/>
      <c r="AH196" s="87"/>
    </row>
    <row r="197" spans="1:34" hidden="1">
      <c r="A197" s="1"/>
      <c r="B197" s="12" t="s">
        <v>800</v>
      </c>
      <c r="C197" s="416"/>
      <c r="D197" s="417"/>
      <c r="E197" s="417"/>
      <c r="F197" s="417"/>
      <c r="G197" s="417"/>
      <c r="H197" s="417"/>
      <c r="I197" s="417"/>
      <c r="J197" s="417"/>
      <c r="K197" s="417"/>
      <c r="L197" s="418"/>
      <c r="M197" s="416"/>
      <c r="N197" s="417"/>
      <c r="O197" s="417"/>
      <c r="P197" s="417"/>
      <c r="Q197" s="417"/>
      <c r="R197" s="418"/>
      <c r="S197" s="69"/>
      <c r="T197" s="23"/>
      <c r="U197" s="373" t="str">
        <f t="shared" si="9"/>
        <v/>
      </c>
      <c r="V197" s="370"/>
      <c r="W197" s="1"/>
      <c r="X197" s="15"/>
      <c r="Y197" s="15"/>
      <c r="Z197" s="15"/>
      <c r="AA197" s="15"/>
      <c r="AB197" s="15"/>
      <c r="AC197" s="16"/>
      <c r="AD197" s="307">
        <f t="shared" si="10"/>
        <v>0</v>
      </c>
      <c r="AG197" s="87"/>
      <c r="AH197" s="87"/>
    </row>
    <row r="198" spans="1:34" hidden="1">
      <c r="A198" s="1"/>
      <c r="B198" s="12" t="s">
        <v>801</v>
      </c>
      <c r="C198" s="416"/>
      <c r="D198" s="417"/>
      <c r="E198" s="417"/>
      <c r="F198" s="417"/>
      <c r="G198" s="417"/>
      <c r="H198" s="417"/>
      <c r="I198" s="417"/>
      <c r="J198" s="417"/>
      <c r="K198" s="417"/>
      <c r="L198" s="418"/>
      <c r="M198" s="416"/>
      <c r="N198" s="417"/>
      <c r="O198" s="417"/>
      <c r="P198" s="417"/>
      <c r="Q198" s="417"/>
      <c r="R198" s="418"/>
      <c r="S198" s="69"/>
      <c r="T198" s="23"/>
      <c r="U198" s="373" t="str">
        <f t="shared" si="9"/>
        <v/>
      </c>
      <c r="V198" s="370"/>
      <c r="W198" s="1"/>
      <c r="X198" s="15"/>
      <c r="Y198" s="15"/>
      <c r="Z198" s="15"/>
      <c r="AA198" s="15"/>
      <c r="AB198" s="15"/>
      <c r="AC198" s="16"/>
      <c r="AD198" s="307">
        <f t="shared" si="10"/>
        <v>0</v>
      </c>
      <c r="AG198" s="87"/>
      <c r="AH198" s="87"/>
    </row>
    <row r="199" spans="1:34" hidden="1">
      <c r="A199" s="1"/>
      <c r="B199" s="12" t="s">
        <v>802</v>
      </c>
      <c r="C199" s="416"/>
      <c r="D199" s="417"/>
      <c r="E199" s="417"/>
      <c r="F199" s="417"/>
      <c r="G199" s="417"/>
      <c r="H199" s="417"/>
      <c r="I199" s="417"/>
      <c r="J199" s="417"/>
      <c r="K199" s="417"/>
      <c r="L199" s="418"/>
      <c r="M199" s="416"/>
      <c r="N199" s="417"/>
      <c r="O199" s="417"/>
      <c r="P199" s="417"/>
      <c r="Q199" s="417"/>
      <c r="R199" s="418"/>
      <c r="S199" s="69"/>
      <c r="T199" s="23"/>
      <c r="U199" s="373" t="str">
        <f t="shared" si="9"/>
        <v/>
      </c>
      <c r="V199" s="370"/>
      <c r="W199" s="1"/>
      <c r="X199" s="15"/>
      <c r="Y199" s="15"/>
      <c r="Z199" s="15"/>
      <c r="AA199" s="15"/>
      <c r="AB199" s="15"/>
      <c r="AC199" s="16"/>
      <c r="AD199" s="307">
        <f t="shared" si="10"/>
        <v>0</v>
      </c>
      <c r="AG199" s="87"/>
      <c r="AH199" s="87"/>
    </row>
    <row r="200" spans="1:34" hidden="1">
      <c r="A200" s="1"/>
      <c r="B200" s="12" t="s">
        <v>803</v>
      </c>
      <c r="C200" s="416"/>
      <c r="D200" s="417"/>
      <c r="E200" s="417"/>
      <c r="F200" s="417"/>
      <c r="G200" s="417"/>
      <c r="H200" s="417"/>
      <c r="I200" s="417"/>
      <c r="J200" s="417"/>
      <c r="K200" s="417"/>
      <c r="L200" s="418"/>
      <c r="M200" s="416"/>
      <c r="N200" s="417"/>
      <c r="O200" s="417"/>
      <c r="P200" s="417"/>
      <c r="Q200" s="417"/>
      <c r="R200" s="418"/>
      <c r="S200" s="69"/>
      <c r="T200" s="23"/>
      <c r="U200" s="373" t="str">
        <f t="shared" si="9"/>
        <v/>
      </c>
      <c r="V200" s="370"/>
      <c r="W200" s="1"/>
      <c r="X200" s="15"/>
      <c r="Y200" s="15"/>
      <c r="Z200" s="15"/>
      <c r="AA200" s="15"/>
      <c r="AB200" s="15"/>
      <c r="AC200" s="16"/>
      <c r="AD200" s="307">
        <f t="shared" si="10"/>
        <v>0</v>
      </c>
      <c r="AG200" s="87"/>
      <c r="AH200" s="87"/>
    </row>
    <row r="201" spans="1:34" hidden="1">
      <c r="A201" s="1"/>
      <c r="B201" s="12" t="s">
        <v>804</v>
      </c>
      <c r="C201" s="416"/>
      <c r="D201" s="417"/>
      <c r="E201" s="417"/>
      <c r="F201" s="417"/>
      <c r="G201" s="417"/>
      <c r="H201" s="417"/>
      <c r="I201" s="417"/>
      <c r="J201" s="417"/>
      <c r="K201" s="417"/>
      <c r="L201" s="418"/>
      <c r="M201" s="416"/>
      <c r="N201" s="417"/>
      <c r="O201" s="417"/>
      <c r="P201" s="417"/>
      <c r="Q201" s="417"/>
      <c r="R201" s="418"/>
      <c r="S201" s="69"/>
      <c r="T201" s="23"/>
      <c r="U201" s="373" t="str">
        <f t="shared" si="9"/>
        <v/>
      </c>
      <c r="V201" s="370"/>
      <c r="W201" s="1"/>
      <c r="X201" s="15"/>
      <c r="Y201" s="15"/>
      <c r="Z201" s="15"/>
      <c r="AA201" s="15"/>
      <c r="AB201" s="15"/>
      <c r="AC201" s="16"/>
      <c r="AD201" s="307">
        <f t="shared" si="10"/>
        <v>0</v>
      </c>
      <c r="AG201" s="87"/>
      <c r="AH201" s="87"/>
    </row>
    <row r="202" spans="1:34" hidden="1">
      <c r="A202" s="1"/>
      <c r="B202" s="12" t="s">
        <v>805</v>
      </c>
      <c r="C202" s="416"/>
      <c r="D202" s="417"/>
      <c r="E202" s="417"/>
      <c r="F202" s="417"/>
      <c r="G202" s="417"/>
      <c r="H202" s="417"/>
      <c r="I202" s="417"/>
      <c r="J202" s="417"/>
      <c r="K202" s="417"/>
      <c r="L202" s="418"/>
      <c r="M202" s="416"/>
      <c r="N202" s="417"/>
      <c r="O202" s="417"/>
      <c r="P202" s="417"/>
      <c r="Q202" s="417"/>
      <c r="R202" s="418"/>
      <c r="S202" s="69"/>
      <c r="T202" s="23"/>
      <c r="U202" s="373" t="str">
        <f t="shared" si="9"/>
        <v/>
      </c>
      <c r="V202" s="370"/>
      <c r="W202" s="1"/>
      <c r="X202" s="15"/>
      <c r="Y202" s="15"/>
      <c r="Z202" s="15"/>
      <c r="AA202" s="15"/>
      <c r="AB202" s="15"/>
      <c r="AC202" s="16"/>
      <c r="AD202" s="307">
        <f t="shared" si="10"/>
        <v>0</v>
      </c>
      <c r="AG202" s="87"/>
      <c r="AH202" s="87"/>
    </row>
    <row r="203" spans="1:34" hidden="1">
      <c r="A203" s="1"/>
      <c r="B203" s="12" t="s">
        <v>806</v>
      </c>
      <c r="C203" s="416"/>
      <c r="D203" s="417"/>
      <c r="E203" s="417"/>
      <c r="F203" s="417"/>
      <c r="G203" s="417"/>
      <c r="H203" s="417"/>
      <c r="I203" s="417"/>
      <c r="J203" s="417"/>
      <c r="K203" s="417"/>
      <c r="L203" s="418"/>
      <c r="M203" s="416"/>
      <c r="N203" s="417"/>
      <c r="O203" s="417"/>
      <c r="P203" s="417"/>
      <c r="Q203" s="417"/>
      <c r="R203" s="418"/>
      <c r="S203" s="69"/>
      <c r="T203" s="23"/>
      <c r="U203" s="373" t="str">
        <f t="shared" si="9"/>
        <v/>
      </c>
      <c r="V203" s="370"/>
      <c r="W203" s="1"/>
      <c r="X203" s="15"/>
      <c r="Y203" s="15"/>
      <c r="Z203" s="15"/>
      <c r="AA203" s="15"/>
      <c r="AB203" s="15"/>
      <c r="AC203" s="16"/>
      <c r="AD203" s="307">
        <f t="shared" si="10"/>
        <v>0</v>
      </c>
      <c r="AG203" s="87"/>
      <c r="AH203" s="87"/>
    </row>
    <row r="204" spans="1:34" hidden="1">
      <c r="A204" s="1"/>
      <c r="B204" s="12" t="s">
        <v>807</v>
      </c>
      <c r="C204" s="416"/>
      <c r="D204" s="417"/>
      <c r="E204" s="417"/>
      <c r="F204" s="417"/>
      <c r="G204" s="417"/>
      <c r="H204" s="417"/>
      <c r="I204" s="417"/>
      <c r="J204" s="417"/>
      <c r="K204" s="417"/>
      <c r="L204" s="418"/>
      <c r="M204" s="416"/>
      <c r="N204" s="417"/>
      <c r="O204" s="417"/>
      <c r="P204" s="417"/>
      <c r="Q204" s="417"/>
      <c r="R204" s="418"/>
      <c r="S204" s="69"/>
      <c r="T204" s="23"/>
      <c r="U204" s="373" t="str">
        <f t="shared" si="9"/>
        <v/>
      </c>
      <c r="V204" s="370"/>
      <c r="W204" s="1"/>
      <c r="X204" s="15"/>
      <c r="Y204" s="15"/>
      <c r="Z204" s="15"/>
      <c r="AA204" s="15"/>
      <c r="AB204" s="15"/>
      <c r="AC204" s="16"/>
      <c r="AD204" s="307">
        <f t="shared" si="10"/>
        <v>0</v>
      </c>
      <c r="AG204" s="87"/>
      <c r="AH204" s="87"/>
    </row>
    <row r="205" spans="1:34" hidden="1">
      <c r="A205" s="1"/>
      <c r="B205" s="12" t="s">
        <v>808</v>
      </c>
      <c r="C205" s="416"/>
      <c r="D205" s="417"/>
      <c r="E205" s="417"/>
      <c r="F205" s="417"/>
      <c r="G205" s="417"/>
      <c r="H205" s="417"/>
      <c r="I205" s="417"/>
      <c r="J205" s="417"/>
      <c r="K205" s="417"/>
      <c r="L205" s="418"/>
      <c r="M205" s="416"/>
      <c r="N205" s="417"/>
      <c r="O205" s="417"/>
      <c r="P205" s="417"/>
      <c r="Q205" s="417"/>
      <c r="R205" s="418"/>
      <c r="S205" s="69"/>
      <c r="T205" s="23"/>
      <c r="U205" s="373" t="str">
        <f t="shared" si="9"/>
        <v/>
      </c>
      <c r="V205" s="370"/>
      <c r="W205" s="1"/>
      <c r="X205" s="15"/>
      <c r="Y205" s="15"/>
      <c r="Z205" s="15"/>
      <c r="AA205" s="15"/>
      <c r="AB205" s="15"/>
      <c r="AC205" s="16"/>
      <c r="AD205" s="307">
        <f t="shared" si="10"/>
        <v>0</v>
      </c>
      <c r="AG205" s="87"/>
      <c r="AH205" s="87"/>
    </row>
    <row r="206" spans="1:34" hidden="1">
      <c r="A206" s="1"/>
      <c r="B206" s="12" t="s">
        <v>809</v>
      </c>
      <c r="C206" s="416"/>
      <c r="D206" s="417"/>
      <c r="E206" s="417"/>
      <c r="F206" s="417"/>
      <c r="G206" s="417"/>
      <c r="H206" s="417"/>
      <c r="I206" s="417"/>
      <c r="J206" s="417"/>
      <c r="K206" s="417"/>
      <c r="L206" s="418"/>
      <c r="M206" s="416"/>
      <c r="N206" s="417"/>
      <c r="O206" s="417"/>
      <c r="P206" s="417"/>
      <c r="Q206" s="417"/>
      <c r="R206" s="418"/>
      <c r="S206" s="69"/>
      <c r="T206" s="23"/>
      <c r="U206" s="373" t="str">
        <f t="shared" si="9"/>
        <v/>
      </c>
      <c r="V206" s="370"/>
      <c r="W206" s="1"/>
      <c r="X206" s="15"/>
      <c r="Y206" s="15"/>
      <c r="Z206" s="15"/>
      <c r="AA206" s="15"/>
      <c r="AB206" s="15"/>
      <c r="AC206" s="16"/>
      <c r="AD206" s="307"/>
      <c r="AG206" s="87"/>
      <c r="AH206" s="87"/>
    </row>
    <row r="207" spans="1:34" hidden="1">
      <c r="A207" s="1"/>
      <c r="B207" s="12" t="s">
        <v>869</v>
      </c>
      <c r="C207" s="416"/>
      <c r="D207" s="417"/>
      <c r="E207" s="417"/>
      <c r="F207" s="417"/>
      <c r="G207" s="417"/>
      <c r="H207" s="417"/>
      <c r="I207" s="417"/>
      <c r="J207" s="417"/>
      <c r="K207" s="417"/>
      <c r="L207" s="418"/>
      <c r="M207" s="416"/>
      <c r="N207" s="417"/>
      <c r="O207" s="417"/>
      <c r="P207" s="417"/>
      <c r="Q207" s="417"/>
      <c r="R207" s="418"/>
      <c r="S207" s="69"/>
      <c r="T207" s="23"/>
      <c r="U207" s="373" t="str">
        <f t="shared" si="9"/>
        <v/>
      </c>
      <c r="V207" s="370"/>
      <c r="W207" s="1"/>
      <c r="X207" s="15"/>
      <c r="Y207" s="15"/>
      <c r="Z207" s="15"/>
      <c r="AA207" s="15"/>
      <c r="AB207" s="15"/>
      <c r="AC207" s="16"/>
      <c r="AD207" s="307">
        <f t="shared" si="10"/>
        <v>0</v>
      </c>
      <c r="AG207" s="87"/>
      <c r="AH207" s="87"/>
    </row>
    <row r="208" spans="1:34" ht="4.5" customHeight="1" thickBot="1">
      <c r="A208" s="1"/>
      <c r="B208" s="4"/>
      <c r="C208" s="4"/>
      <c r="D208" s="4"/>
      <c r="E208" s="4"/>
      <c r="F208" s="4"/>
      <c r="G208" s="4"/>
      <c r="H208" s="4"/>
      <c r="I208" s="4"/>
      <c r="J208" s="4"/>
      <c r="K208" s="4"/>
      <c r="L208" s="4"/>
      <c r="M208" s="4"/>
      <c r="N208" s="4"/>
      <c r="O208" s="4"/>
      <c r="P208" s="4"/>
      <c r="Q208" s="4"/>
      <c r="R208" s="4"/>
      <c r="S208" s="4"/>
      <c r="T208" s="4"/>
      <c r="U208" s="4"/>
      <c r="V208" s="4"/>
      <c r="W208" s="1"/>
      <c r="X208" s="15"/>
      <c r="Y208" s="15"/>
      <c r="Z208" s="15"/>
      <c r="AA208" s="15"/>
      <c r="AB208" s="15"/>
      <c r="AC208" s="16"/>
      <c r="AG208" s="87"/>
      <c r="AH208" s="87"/>
    </row>
    <row r="209" spans="1:49" ht="18" customHeight="1">
      <c r="A209" s="1"/>
      <c r="B209" s="20" t="s">
        <v>851</v>
      </c>
      <c r="C209" s="8"/>
      <c r="D209" s="8"/>
      <c r="E209" s="8"/>
      <c r="F209" s="8"/>
      <c r="G209" s="8"/>
      <c r="H209" s="8"/>
      <c r="I209" s="8"/>
      <c r="J209" s="479" t="s">
        <v>1710</v>
      </c>
      <c r="K209" s="479"/>
      <c r="L209" s="479"/>
      <c r="M209" s="479"/>
      <c r="N209" s="43" t="s">
        <v>172</v>
      </c>
      <c r="O209" s="24"/>
      <c r="P209" s="43" t="s">
        <v>171</v>
      </c>
      <c r="Q209" s="9"/>
      <c r="R209" s="9"/>
      <c r="S209" s="48" t="str">
        <f>IF(AD209&gt;0,"INC","")</f>
        <v/>
      </c>
      <c r="T209" s="49" t="s">
        <v>170</v>
      </c>
      <c r="U209" s="412">
        <f ca="1">ROUND(SUM(U211:U260),2)</f>
        <v>1685.07</v>
      </c>
      <c r="V209" s="413"/>
      <c r="W209" s="1"/>
      <c r="X209" s="15"/>
      <c r="Y209" s="15"/>
      <c r="Z209" s="15"/>
      <c r="AA209" s="15"/>
      <c r="AB209" s="15"/>
      <c r="AC209" s="16"/>
      <c r="AD209" s="307">
        <f>SUM(AD212:AD260)</f>
        <v>0</v>
      </c>
      <c r="AG209" s="87"/>
      <c r="AH209" s="87"/>
    </row>
    <row r="210" spans="1:49" s="105" customFormat="1" ht="21">
      <c r="A210" s="97"/>
      <c r="B210" s="98"/>
      <c r="C210" s="99" t="s">
        <v>852</v>
      </c>
      <c r="D210" s="97"/>
      <c r="E210" s="97"/>
      <c r="F210" s="97"/>
      <c r="G210" s="97"/>
      <c r="H210" s="97"/>
      <c r="I210" s="97"/>
      <c r="J210" s="97"/>
      <c r="K210" s="97"/>
      <c r="L210" s="97"/>
      <c r="M210" s="97" t="s">
        <v>250</v>
      </c>
      <c r="N210" s="98"/>
      <c r="O210" s="106"/>
      <c r="P210" s="98"/>
      <c r="Q210" s="98"/>
      <c r="R210" s="109"/>
      <c r="S210" s="96" t="s">
        <v>182</v>
      </c>
      <c r="T210" s="98" t="s">
        <v>127</v>
      </c>
      <c r="U210" s="98" t="s">
        <v>123</v>
      </c>
      <c r="V210" s="98"/>
      <c r="W210" s="97"/>
      <c r="X210" s="103"/>
      <c r="Y210" s="103"/>
      <c r="Z210" s="103"/>
      <c r="AA210" s="103"/>
      <c r="AB210" s="103"/>
      <c r="AC210" s="104"/>
      <c r="AD210" s="307"/>
      <c r="AE210" s="74"/>
      <c r="AF210" s="74"/>
      <c r="AG210" s="87"/>
      <c r="AH210" s="87"/>
      <c r="AI210" s="74"/>
      <c r="AJ210" s="74"/>
      <c r="AK210" s="74"/>
      <c r="AL210" s="74"/>
      <c r="AM210" s="74"/>
      <c r="AN210" s="74"/>
      <c r="AO210" s="74"/>
      <c r="AP210" s="74"/>
      <c r="AQ210" s="74"/>
      <c r="AR210" s="74"/>
      <c r="AS210" s="74"/>
      <c r="AT210" s="74"/>
      <c r="AU210" s="74"/>
      <c r="AV210" s="74"/>
      <c r="AW210" s="74"/>
    </row>
    <row r="211" spans="1:49" ht="60" customHeight="1">
      <c r="A211" s="1"/>
      <c r="B211" s="12" t="s">
        <v>853</v>
      </c>
      <c r="C211" s="552" t="s">
        <v>1731</v>
      </c>
      <c r="D211" s="553"/>
      <c r="E211" s="553"/>
      <c r="F211" s="553"/>
      <c r="G211" s="553"/>
      <c r="H211" s="553"/>
      <c r="I211" s="553"/>
      <c r="J211" s="553"/>
      <c r="K211" s="553"/>
      <c r="L211" s="554"/>
      <c r="M211" s="555" t="str">
        <f ca="1">IF(U211&gt;0, "The value of necessary miscellaneous hardware is represented by a 30% pricing uplift as agreed by Enterprise Services LLC and the Government.  That agreement has been documented in the '6AG Miscellaneous Items Flat Rate Agreement', dated 18 June 2015.", "")</f>
        <v>The value of necessary miscellaneous hardware is represented by a 30% pricing uplift as agreed by Enterprise Services LLC and the Government.  That agreement has been documented in the '6AG Miscellaneous Items Flat Rate Agreement', dated 18 June 2015.</v>
      </c>
      <c r="N211" s="556"/>
      <c r="O211" s="556"/>
      <c r="P211" s="556"/>
      <c r="Q211" s="556"/>
      <c r="R211" s="557"/>
      <c r="S211" s="325"/>
      <c r="T211" s="304">
        <f ca="1">IF(U211&gt;0, 1, "")</f>
        <v>1</v>
      </c>
      <c r="U211" s="369">
        <f ca="1">ROUND(IF($L$33="YES", 0, IF(AF211+AG211=2, (U74+U144)*0.3, 0)),2)</f>
        <v>1685.07</v>
      </c>
      <c r="V211" s="370"/>
      <c r="W211" s="1"/>
      <c r="X211" s="15"/>
      <c r="Y211" s="15"/>
      <c r="Z211" s="15"/>
      <c r="AA211" s="15"/>
      <c r="AB211" s="15"/>
      <c r="AC211" s="16"/>
      <c r="AD211" s="26"/>
      <c r="AF211" s="74">
        <f ca="1">IF((U61+U74+U144+U262+U361+U552+U575)&lt;44609.24, 1, 0)</f>
        <v>1</v>
      </c>
      <c r="AG211" s="324">
        <f>IF(OR(SUM(U77:U91)&gt;0, SUM(U147:U156)&gt;0), 1, 0)</f>
        <v>1</v>
      </c>
      <c r="AH211" s="87"/>
    </row>
    <row r="212" spans="1:49" hidden="1">
      <c r="A212" s="1"/>
      <c r="B212" s="12" t="s">
        <v>854</v>
      </c>
      <c r="C212" s="416" t="s">
        <v>866</v>
      </c>
      <c r="D212" s="417"/>
      <c r="E212" s="417"/>
      <c r="F212" s="417"/>
      <c r="G212" s="417"/>
      <c r="H212" s="417"/>
      <c r="I212" s="417"/>
      <c r="J212" s="417"/>
      <c r="K212" s="417"/>
      <c r="L212" s="418"/>
      <c r="M212" s="416"/>
      <c r="N212" s="417"/>
      <c r="O212" s="417"/>
      <c r="P212" s="417"/>
      <c r="Q212" s="417"/>
      <c r="R212" s="418"/>
      <c r="S212" s="69"/>
      <c r="T212" s="23"/>
      <c r="U212" s="369">
        <f t="shared" ref="U212" si="11">IF(OR(C212="",C212="&lt;Select Misc. Materials Description&gt;"),0,T212*VLOOKUP(C212,Misc_Mrtls_Price,2,FALSE)*IF(S212="",1,0))</f>
        <v>0</v>
      </c>
      <c r="V212" s="370"/>
      <c r="W212" s="1"/>
      <c r="X212" s="15"/>
      <c r="Y212" s="15"/>
      <c r="Z212" s="15"/>
      <c r="AA212" s="15"/>
      <c r="AB212" s="15"/>
      <c r="AC212" s="16"/>
      <c r="AD212" s="307">
        <f t="shared" si="10"/>
        <v>0</v>
      </c>
      <c r="AG212" s="87"/>
      <c r="AH212" s="87"/>
    </row>
    <row r="213" spans="1:49" hidden="1">
      <c r="A213" s="1"/>
      <c r="B213" s="12" t="s">
        <v>855</v>
      </c>
      <c r="C213" s="416"/>
      <c r="D213" s="417"/>
      <c r="E213" s="417"/>
      <c r="F213" s="417"/>
      <c r="G213" s="417"/>
      <c r="H213" s="417"/>
      <c r="I213" s="417"/>
      <c r="J213" s="417"/>
      <c r="K213" s="417"/>
      <c r="L213" s="418"/>
      <c r="M213" s="416"/>
      <c r="N213" s="417"/>
      <c r="O213" s="417"/>
      <c r="P213" s="417"/>
      <c r="Q213" s="417"/>
      <c r="R213" s="418"/>
      <c r="S213" s="69"/>
      <c r="T213" s="23"/>
      <c r="U213" s="369">
        <f t="shared" ref="U213:U260" si="12">IF(OR(C213="",C213="&lt;Select Misc. Materials Description&gt;"),0,T213*VLOOKUP(C213,Misc_Mrtls_Price,2,FALSE)*IF(S213="",1,0))</f>
        <v>0</v>
      </c>
      <c r="V213" s="370"/>
      <c r="W213" s="1"/>
      <c r="X213" s="15"/>
      <c r="Y213" s="15"/>
      <c r="Z213" s="15"/>
      <c r="AA213" s="15"/>
      <c r="AB213" s="15"/>
      <c r="AC213" s="16"/>
      <c r="AD213" s="307">
        <f t="shared" si="10"/>
        <v>0</v>
      </c>
      <c r="AG213" s="87"/>
      <c r="AH213" s="87"/>
    </row>
    <row r="214" spans="1:49" hidden="1">
      <c r="A214" s="1"/>
      <c r="B214" s="12" t="s">
        <v>856</v>
      </c>
      <c r="C214" s="416"/>
      <c r="D214" s="417"/>
      <c r="E214" s="417"/>
      <c r="F214" s="417"/>
      <c r="G214" s="417"/>
      <c r="H214" s="417"/>
      <c r="I214" s="417"/>
      <c r="J214" s="417"/>
      <c r="K214" s="417"/>
      <c r="L214" s="418"/>
      <c r="M214" s="416"/>
      <c r="N214" s="417"/>
      <c r="O214" s="417"/>
      <c r="P214" s="417"/>
      <c r="Q214" s="417"/>
      <c r="R214" s="418"/>
      <c r="S214" s="69"/>
      <c r="T214" s="23"/>
      <c r="U214" s="369">
        <f t="shared" si="12"/>
        <v>0</v>
      </c>
      <c r="V214" s="370"/>
      <c r="W214" s="1"/>
      <c r="X214" s="15"/>
      <c r="Y214" s="15"/>
      <c r="Z214" s="15"/>
      <c r="AA214" s="15"/>
      <c r="AB214" s="15"/>
      <c r="AC214" s="16"/>
      <c r="AD214" s="307">
        <f t="shared" si="10"/>
        <v>0</v>
      </c>
      <c r="AG214" s="87"/>
      <c r="AH214" s="87"/>
    </row>
    <row r="215" spans="1:49" hidden="1">
      <c r="A215" s="1"/>
      <c r="B215" s="12" t="s">
        <v>857</v>
      </c>
      <c r="C215" s="416"/>
      <c r="D215" s="417"/>
      <c r="E215" s="417"/>
      <c r="F215" s="417"/>
      <c r="G215" s="417"/>
      <c r="H215" s="417"/>
      <c r="I215" s="417"/>
      <c r="J215" s="417"/>
      <c r="K215" s="417"/>
      <c r="L215" s="418"/>
      <c r="M215" s="416"/>
      <c r="N215" s="417"/>
      <c r="O215" s="417"/>
      <c r="P215" s="417"/>
      <c r="Q215" s="417"/>
      <c r="R215" s="418"/>
      <c r="S215" s="69"/>
      <c r="T215" s="23"/>
      <c r="U215" s="369">
        <f t="shared" si="12"/>
        <v>0</v>
      </c>
      <c r="V215" s="370"/>
      <c r="W215" s="1"/>
      <c r="X215" s="15"/>
      <c r="Y215" s="15"/>
      <c r="Z215" s="15"/>
      <c r="AA215" s="15"/>
      <c r="AB215" s="15"/>
      <c r="AC215" s="16"/>
      <c r="AD215" s="307">
        <f t="shared" si="10"/>
        <v>0</v>
      </c>
      <c r="AG215" s="87"/>
      <c r="AH215" s="87"/>
    </row>
    <row r="216" spans="1:49" hidden="1">
      <c r="A216" s="1"/>
      <c r="B216" s="12" t="s">
        <v>858</v>
      </c>
      <c r="C216" s="416"/>
      <c r="D216" s="417"/>
      <c r="E216" s="417"/>
      <c r="F216" s="417"/>
      <c r="G216" s="417"/>
      <c r="H216" s="417"/>
      <c r="I216" s="417"/>
      <c r="J216" s="417"/>
      <c r="K216" s="417"/>
      <c r="L216" s="418"/>
      <c r="M216" s="416"/>
      <c r="N216" s="417"/>
      <c r="O216" s="417"/>
      <c r="P216" s="417"/>
      <c r="Q216" s="417"/>
      <c r="R216" s="418"/>
      <c r="S216" s="69"/>
      <c r="T216" s="23"/>
      <c r="U216" s="369">
        <f t="shared" si="12"/>
        <v>0</v>
      </c>
      <c r="V216" s="370"/>
      <c r="W216" s="1"/>
      <c r="X216" s="15"/>
      <c r="Y216" s="15"/>
      <c r="Z216" s="15"/>
      <c r="AA216" s="15"/>
      <c r="AB216" s="15"/>
      <c r="AC216" s="16"/>
      <c r="AD216" s="307">
        <f t="shared" si="10"/>
        <v>0</v>
      </c>
      <c r="AG216" s="87"/>
      <c r="AH216" s="87"/>
    </row>
    <row r="217" spans="1:49" hidden="1">
      <c r="A217" s="1"/>
      <c r="B217" s="12" t="s">
        <v>859</v>
      </c>
      <c r="C217" s="416"/>
      <c r="D217" s="417"/>
      <c r="E217" s="417"/>
      <c r="F217" s="417"/>
      <c r="G217" s="417"/>
      <c r="H217" s="417"/>
      <c r="I217" s="417"/>
      <c r="J217" s="417"/>
      <c r="K217" s="417"/>
      <c r="L217" s="418"/>
      <c r="M217" s="416"/>
      <c r="N217" s="417"/>
      <c r="O217" s="417"/>
      <c r="P217" s="417"/>
      <c r="Q217" s="417"/>
      <c r="R217" s="418"/>
      <c r="S217" s="69"/>
      <c r="T217" s="23"/>
      <c r="U217" s="369">
        <f t="shared" si="12"/>
        <v>0</v>
      </c>
      <c r="V217" s="370"/>
      <c r="W217" s="1"/>
      <c r="X217" s="15"/>
      <c r="Y217" s="15"/>
      <c r="Z217" s="15"/>
      <c r="AA217" s="15"/>
      <c r="AB217" s="15"/>
      <c r="AC217" s="16"/>
      <c r="AD217" s="307">
        <f t="shared" si="10"/>
        <v>0</v>
      </c>
      <c r="AG217" s="87"/>
      <c r="AH217" s="87"/>
    </row>
    <row r="218" spans="1:49" hidden="1">
      <c r="A218" s="1"/>
      <c r="B218" s="12" t="s">
        <v>860</v>
      </c>
      <c r="C218" s="416"/>
      <c r="D218" s="417"/>
      <c r="E218" s="417"/>
      <c r="F218" s="417"/>
      <c r="G218" s="417"/>
      <c r="H218" s="417"/>
      <c r="I218" s="417"/>
      <c r="J218" s="417"/>
      <c r="K218" s="417"/>
      <c r="L218" s="418"/>
      <c r="M218" s="416"/>
      <c r="N218" s="417"/>
      <c r="O218" s="417"/>
      <c r="P218" s="417"/>
      <c r="Q218" s="417"/>
      <c r="R218" s="418"/>
      <c r="S218" s="69"/>
      <c r="T218" s="23"/>
      <c r="U218" s="369">
        <f t="shared" si="12"/>
        <v>0</v>
      </c>
      <c r="V218" s="370"/>
      <c r="W218" s="1"/>
      <c r="X218" s="15"/>
      <c r="Y218" s="15"/>
      <c r="Z218" s="15"/>
      <c r="AA218" s="15"/>
      <c r="AB218" s="15"/>
      <c r="AC218" s="16"/>
      <c r="AD218" s="307">
        <f t="shared" si="10"/>
        <v>0</v>
      </c>
      <c r="AG218" s="87"/>
      <c r="AH218" s="87"/>
    </row>
    <row r="219" spans="1:49" hidden="1">
      <c r="A219" s="1"/>
      <c r="B219" s="12" t="s">
        <v>861</v>
      </c>
      <c r="C219" s="416"/>
      <c r="D219" s="417"/>
      <c r="E219" s="417"/>
      <c r="F219" s="417"/>
      <c r="G219" s="417"/>
      <c r="H219" s="417"/>
      <c r="I219" s="417"/>
      <c r="J219" s="417"/>
      <c r="K219" s="417"/>
      <c r="L219" s="418"/>
      <c r="M219" s="416"/>
      <c r="N219" s="417"/>
      <c r="O219" s="417"/>
      <c r="P219" s="417"/>
      <c r="Q219" s="417"/>
      <c r="R219" s="418"/>
      <c r="S219" s="69"/>
      <c r="T219" s="23"/>
      <c r="U219" s="369">
        <f t="shared" si="12"/>
        <v>0</v>
      </c>
      <c r="V219" s="370"/>
      <c r="W219" s="1"/>
      <c r="X219" s="15"/>
      <c r="Y219" s="15"/>
      <c r="Z219" s="15"/>
      <c r="AA219" s="15"/>
      <c r="AB219" s="15"/>
      <c r="AC219" s="16"/>
      <c r="AD219" s="307">
        <f t="shared" si="10"/>
        <v>0</v>
      </c>
      <c r="AG219" s="87"/>
      <c r="AH219" s="87"/>
    </row>
    <row r="220" spans="1:49" hidden="1">
      <c r="A220" s="1"/>
      <c r="B220" s="12" t="s">
        <v>862</v>
      </c>
      <c r="C220" s="416"/>
      <c r="D220" s="417"/>
      <c r="E220" s="417"/>
      <c r="F220" s="417"/>
      <c r="G220" s="417"/>
      <c r="H220" s="417"/>
      <c r="I220" s="417"/>
      <c r="J220" s="417"/>
      <c r="K220" s="417"/>
      <c r="L220" s="418"/>
      <c r="M220" s="416"/>
      <c r="N220" s="417"/>
      <c r="O220" s="417"/>
      <c r="P220" s="417"/>
      <c r="Q220" s="417"/>
      <c r="R220" s="418"/>
      <c r="S220" s="69"/>
      <c r="T220" s="23"/>
      <c r="U220" s="369">
        <f t="shared" si="12"/>
        <v>0</v>
      </c>
      <c r="V220" s="370"/>
      <c r="W220" s="1"/>
      <c r="X220" s="15"/>
      <c r="Y220" s="15"/>
      <c r="Z220" s="15"/>
      <c r="AA220" s="15"/>
      <c r="AB220" s="15"/>
      <c r="AC220" s="16"/>
      <c r="AD220" s="307">
        <f t="shared" si="10"/>
        <v>0</v>
      </c>
      <c r="AG220" s="87"/>
      <c r="AH220" s="87"/>
    </row>
    <row r="221" spans="1:49" hidden="1">
      <c r="A221" s="1"/>
      <c r="B221" s="12" t="s">
        <v>863</v>
      </c>
      <c r="C221" s="416"/>
      <c r="D221" s="417"/>
      <c r="E221" s="417"/>
      <c r="F221" s="417"/>
      <c r="G221" s="417"/>
      <c r="H221" s="417"/>
      <c r="I221" s="417"/>
      <c r="J221" s="417"/>
      <c r="K221" s="417"/>
      <c r="L221" s="418"/>
      <c r="M221" s="416"/>
      <c r="N221" s="417"/>
      <c r="O221" s="417"/>
      <c r="P221" s="417"/>
      <c r="Q221" s="417"/>
      <c r="R221" s="418"/>
      <c r="S221" s="69"/>
      <c r="T221" s="23"/>
      <c r="U221" s="369">
        <f t="shared" si="12"/>
        <v>0</v>
      </c>
      <c r="V221" s="370"/>
      <c r="W221" s="1"/>
      <c r="X221" s="15"/>
      <c r="Y221" s="15"/>
      <c r="Z221" s="15"/>
      <c r="AA221" s="15"/>
      <c r="AB221" s="15"/>
      <c r="AC221" s="16"/>
      <c r="AD221" s="307">
        <f t="shared" si="10"/>
        <v>0</v>
      </c>
      <c r="AG221" s="87"/>
      <c r="AH221" s="87"/>
    </row>
    <row r="222" spans="1:49" hidden="1">
      <c r="A222" s="1"/>
      <c r="B222" s="12" t="s">
        <v>870</v>
      </c>
      <c r="C222" s="416"/>
      <c r="D222" s="417"/>
      <c r="E222" s="417"/>
      <c r="F222" s="417"/>
      <c r="G222" s="417"/>
      <c r="H222" s="417"/>
      <c r="I222" s="417"/>
      <c r="J222" s="417"/>
      <c r="K222" s="417"/>
      <c r="L222" s="418"/>
      <c r="M222" s="416"/>
      <c r="N222" s="417"/>
      <c r="O222" s="417"/>
      <c r="P222" s="417"/>
      <c r="Q222" s="417"/>
      <c r="R222" s="418"/>
      <c r="S222" s="69"/>
      <c r="T222" s="23"/>
      <c r="U222" s="369">
        <f t="shared" si="12"/>
        <v>0</v>
      </c>
      <c r="V222" s="370"/>
      <c r="W222" s="1"/>
      <c r="X222" s="15"/>
      <c r="Y222" s="15"/>
      <c r="Z222" s="15"/>
      <c r="AA222" s="15"/>
      <c r="AB222" s="15"/>
      <c r="AC222" s="16"/>
      <c r="AD222" s="307">
        <f t="shared" si="10"/>
        <v>0</v>
      </c>
      <c r="AG222" s="87"/>
      <c r="AH222" s="87"/>
    </row>
    <row r="223" spans="1:49" hidden="1">
      <c r="A223" s="1"/>
      <c r="B223" s="12" t="s">
        <v>871</v>
      </c>
      <c r="C223" s="416"/>
      <c r="D223" s="417"/>
      <c r="E223" s="417"/>
      <c r="F223" s="417"/>
      <c r="G223" s="417"/>
      <c r="H223" s="417"/>
      <c r="I223" s="417"/>
      <c r="J223" s="417"/>
      <c r="K223" s="417"/>
      <c r="L223" s="418"/>
      <c r="M223" s="416"/>
      <c r="N223" s="417"/>
      <c r="O223" s="417"/>
      <c r="P223" s="417"/>
      <c r="Q223" s="417"/>
      <c r="R223" s="418"/>
      <c r="S223" s="69"/>
      <c r="T223" s="23"/>
      <c r="U223" s="369">
        <f t="shared" si="12"/>
        <v>0</v>
      </c>
      <c r="V223" s="370"/>
      <c r="W223" s="1"/>
      <c r="X223" s="15"/>
      <c r="Y223" s="15"/>
      <c r="Z223" s="15"/>
      <c r="AA223" s="15"/>
      <c r="AB223" s="15"/>
      <c r="AC223" s="16"/>
      <c r="AD223" s="307">
        <f t="shared" si="10"/>
        <v>0</v>
      </c>
      <c r="AG223" s="87"/>
      <c r="AH223" s="87"/>
    </row>
    <row r="224" spans="1:49" hidden="1">
      <c r="A224" s="1"/>
      <c r="B224" s="12" t="s">
        <v>872</v>
      </c>
      <c r="C224" s="416"/>
      <c r="D224" s="417"/>
      <c r="E224" s="417"/>
      <c r="F224" s="417"/>
      <c r="G224" s="417"/>
      <c r="H224" s="417"/>
      <c r="I224" s="417"/>
      <c r="J224" s="417"/>
      <c r="K224" s="417"/>
      <c r="L224" s="418"/>
      <c r="M224" s="416"/>
      <c r="N224" s="417"/>
      <c r="O224" s="417"/>
      <c r="P224" s="417"/>
      <c r="Q224" s="417"/>
      <c r="R224" s="418"/>
      <c r="S224" s="69"/>
      <c r="T224" s="23"/>
      <c r="U224" s="369">
        <f t="shared" si="12"/>
        <v>0</v>
      </c>
      <c r="V224" s="370"/>
      <c r="W224" s="1"/>
      <c r="X224" s="15"/>
      <c r="Y224" s="15"/>
      <c r="Z224" s="15"/>
      <c r="AA224" s="15"/>
      <c r="AB224" s="15"/>
      <c r="AC224" s="16"/>
      <c r="AD224" s="307">
        <f t="shared" si="10"/>
        <v>0</v>
      </c>
      <c r="AG224" s="87"/>
      <c r="AH224" s="87"/>
    </row>
    <row r="225" spans="1:34" hidden="1">
      <c r="A225" s="1"/>
      <c r="B225" s="12" t="s">
        <v>873</v>
      </c>
      <c r="C225" s="416"/>
      <c r="D225" s="417"/>
      <c r="E225" s="417"/>
      <c r="F225" s="417"/>
      <c r="G225" s="417"/>
      <c r="H225" s="417"/>
      <c r="I225" s="417"/>
      <c r="J225" s="417"/>
      <c r="K225" s="417"/>
      <c r="L225" s="418"/>
      <c r="M225" s="416"/>
      <c r="N225" s="417"/>
      <c r="O225" s="417"/>
      <c r="P225" s="417"/>
      <c r="Q225" s="417"/>
      <c r="R225" s="418"/>
      <c r="S225" s="69"/>
      <c r="T225" s="23"/>
      <c r="U225" s="369">
        <f t="shared" si="12"/>
        <v>0</v>
      </c>
      <c r="V225" s="370"/>
      <c r="W225" s="1"/>
      <c r="X225" s="15"/>
      <c r="Y225" s="15"/>
      <c r="Z225" s="15"/>
      <c r="AA225" s="15"/>
      <c r="AB225" s="15"/>
      <c r="AC225" s="16"/>
      <c r="AD225" s="307">
        <f t="shared" si="10"/>
        <v>0</v>
      </c>
      <c r="AG225" s="87"/>
      <c r="AH225" s="87"/>
    </row>
    <row r="226" spans="1:34" hidden="1">
      <c r="A226" s="1"/>
      <c r="B226" s="12" t="s">
        <v>874</v>
      </c>
      <c r="C226" s="416"/>
      <c r="D226" s="417"/>
      <c r="E226" s="417"/>
      <c r="F226" s="417"/>
      <c r="G226" s="417"/>
      <c r="H226" s="417"/>
      <c r="I226" s="417"/>
      <c r="J226" s="417"/>
      <c r="K226" s="417"/>
      <c r="L226" s="418"/>
      <c r="M226" s="416"/>
      <c r="N226" s="417"/>
      <c r="O226" s="417"/>
      <c r="P226" s="417"/>
      <c r="Q226" s="417"/>
      <c r="R226" s="418"/>
      <c r="S226" s="69"/>
      <c r="T226" s="23"/>
      <c r="U226" s="369">
        <f t="shared" si="12"/>
        <v>0</v>
      </c>
      <c r="V226" s="370"/>
      <c r="W226" s="1"/>
      <c r="X226" s="15"/>
      <c r="Y226" s="15"/>
      <c r="Z226" s="15"/>
      <c r="AA226" s="15"/>
      <c r="AB226" s="15"/>
      <c r="AC226" s="16"/>
      <c r="AD226" s="307">
        <f t="shared" si="10"/>
        <v>0</v>
      </c>
      <c r="AG226" s="87"/>
      <c r="AH226" s="87"/>
    </row>
    <row r="227" spans="1:34" hidden="1">
      <c r="A227" s="1"/>
      <c r="B227" s="12" t="s">
        <v>875</v>
      </c>
      <c r="C227" s="416"/>
      <c r="D227" s="417"/>
      <c r="E227" s="417"/>
      <c r="F227" s="417"/>
      <c r="G227" s="417"/>
      <c r="H227" s="417"/>
      <c r="I227" s="417"/>
      <c r="J227" s="417"/>
      <c r="K227" s="417"/>
      <c r="L227" s="418"/>
      <c r="M227" s="416"/>
      <c r="N227" s="417"/>
      <c r="O227" s="417"/>
      <c r="P227" s="417"/>
      <c r="Q227" s="417"/>
      <c r="R227" s="418"/>
      <c r="S227" s="69"/>
      <c r="T227" s="23"/>
      <c r="U227" s="369">
        <f t="shared" si="12"/>
        <v>0</v>
      </c>
      <c r="V227" s="370"/>
      <c r="W227" s="1"/>
      <c r="X227" s="15"/>
      <c r="Y227" s="15"/>
      <c r="Z227" s="15"/>
      <c r="AA227" s="15"/>
      <c r="AB227" s="15"/>
      <c r="AC227" s="16"/>
      <c r="AD227" s="307">
        <f t="shared" si="10"/>
        <v>0</v>
      </c>
      <c r="AG227" s="87"/>
      <c r="AH227" s="87"/>
    </row>
    <row r="228" spans="1:34" hidden="1">
      <c r="A228" s="1"/>
      <c r="B228" s="12" t="s">
        <v>876</v>
      </c>
      <c r="C228" s="416"/>
      <c r="D228" s="417"/>
      <c r="E228" s="417"/>
      <c r="F228" s="417"/>
      <c r="G228" s="417"/>
      <c r="H228" s="417"/>
      <c r="I228" s="417"/>
      <c r="J228" s="417"/>
      <c r="K228" s="417"/>
      <c r="L228" s="418"/>
      <c r="M228" s="416"/>
      <c r="N228" s="417"/>
      <c r="O228" s="417"/>
      <c r="P228" s="417"/>
      <c r="Q228" s="417"/>
      <c r="R228" s="418"/>
      <c r="S228" s="69"/>
      <c r="T228" s="23"/>
      <c r="U228" s="369">
        <f t="shared" si="12"/>
        <v>0</v>
      </c>
      <c r="V228" s="370"/>
      <c r="W228" s="1"/>
      <c r="X228" s="15"/>
      <c r="Y228" s="15"/>
      <c r="Z228" s="15"/>
      <c r="AA228" s="15"/>
      <c r="AB228" s="15"/>
      <c r="AC228" s="16"/>
      <c r="AD228" s="307">
        <f t="shared" si="10"/>
        <v>0</v>
      </c>
      <c r="AG228" s="87"/>
      <c r="AH228" s="87"/>
    </row>
    <row r="229" spans="1:34" hidden="1">
      <c r="A229" s="1"/>
      <c r="B229" s="12" t="s">
        <v>877</v>
      </c>
      <c r="C229" s="416"/>
      <c r="D229" s="417"/>
      <c r="E229" s="417"/>
      <c r="F229" s="417"/>
      <c r="G229" s="417"/>
      <c r="H229" s="417"/>
      <c r="I229" s="417"/>
      <c r="J229" s="417"/>
      <c r="K229" s="417"/>
      <c r="L229" s="418"/>
      <c r="M229" s="416"/>
      <c r="N229" s="417"/>
      <c r="O229" s="417"/>
      <c r="P229" s="417"/>
      <c r="Q229" s="417"/>
      <c r="R229" s="418"/>
      <c r="S229" s="69"/>
      <c r="T229" s="23"/>
      <c r="U229" s="369">
        <f t="shared" si="12"/>
        <v>0</v>
      </c>
      <c r="V229" s="370"/>
      <c r="W229" s="1"/>
      <c r="X229" s="15"/>
      <c r="Y229" s="15"/>
      <c r="Z229" s="15"/>
      <c r="AA229" s="15"/>
      <c r="AB229" s="15"/>
      <c r="AC229" s="16"/>
      <c r="AD229" s="307">
        <f t="shared" si="10"/>
        <v>0</v>
      </c>
      <c r="AG229" s="87"/>
      <c r="AH229" s="87"/>
    </row>
    <row r="230" spans="1:34" hidden="1">
      <c r="A230" s="1"/>
      <c r="B230" s="12" t="s">
        <v>878</v>
      </c>
      <c r="C230" s="416"/>
      <c r="D230" s="417"/>
      <c r="E230" s="417"/>
      <c r="F230" s="417"/>
      <c r="G230" s="417"/>
      <c r="H230" s="417"/>
      <c r="I230" s="417"/>
      <c r="J230" s="417"/>
      <c r="K230" s="417"/>
      <c r="L230" s="418"/>
      <c r="M230" s="416"/>
      <c r="N230" s="417"/>
      <c r="O230" s="417"/>
      <c r="P230" s="417"/>
      <c r="Q230" s="417"/>
      <c r="R230" s="418"/>
      <c r="S230" s="69"/>
      <c r="T230" s="23"/>
      <c r="U230" s="369">
        <f t="shared" si="12"/>
        <v>0</v>
      </c>
      <c r="V230" s="370"/>
      <c r="W230" s="1"/>
      <c r="X230" s="15"/>
      <c r="Y230" s="15"/>
      <c r="Z230" s="15"/>
      <c r="AA230" s="15"/>
      <c r="AB230" s="15"/>
      <c r="AC230" s="16"/>
      <c r="AD230" s="307">
        <f t="shared" si="10"/>
        <v>0</v>
      </c>
      <c r="AG230" s="87"/>
      <c r="AH230" s="87"/>
    </row>
    <row r="231" spans="1:34" hidden="1">
      <c r="A231" s="1"/>
      <c r="B231" s="12" t="s">
        <v>879</v>
      </c>
      <c r="C231" s="416"/>
      <c r="D231" s="417"/>
      <c r="E231" s="417"/>
      <c r="F231" s="417"/>
      <c r="G231" s="417"/>
      <c r="H231" s="417"/>
      <c r="I231" s="417"/>
      <c r="J231" s="417"/>
      <c r="K231" s="417"/>
      <c r="L231" s="418"/>
      <c r="M231" s="416"/>
      <c r="N231" s="417"/>
      <c r="O231" s="417"/>
      <c r="P231" s="417"/>
      <c r="Q231" s="417"/>
      <c r="R231" s="418"/>
      <c r="S231" s="69"/>
      <c r="T231" s="23"/>
      <c r="U231" s="369">
        <f t="shared" si="12"/>
        <v>0</v>
      </c>
      <c r="V231" s="370"/>
      <c r="W231" s="1"/>
      <c r="X231" s="15"/>
      <c r="Y231" s="15"/>
      <c r="Z231" s="15"/>
      <c r="AA231" s="15"/>
      <c r="AB231" s="15"/>
      <c r="AC231" s="16"/>
      <c r="AD231" s="307">
        <f t="shared" si="10"/>
        <v>0</v>
      </c>
      <c r="AG231" s="87"/>
      <c r="AH231" s="87"/>
    </row>
    <row r="232" spans="1:34" hidden="1">
      <c r="A232" s="1"/>
      <c r="B232" s="12" t="s">
        <v>880</v>
      </c>
      <c r="C232" s="416"/>
      <c r="D232" s="417"/>
      <c r="E232" s="417"/>
      <c r="F232" s="417"/>
      <c r="G232" s="417"/>
      <c r="H232" s="417"/>
      <c r="I232" s="417"/>
      <c r="J232" s="417"/>
      <c r="K232" s="417"/>
      <c r="L232" s="418"/>
      <c r="M232" s="416"/>
      <c r="N232" s="417"/>
      <c r="O232" s="417"/>
      <c r="P232" s="417"/>
      <c r="Q232" s="417"/>
      <c r="R232" s="418"/>
      <c r="S232" s="69"/>
      <c r="T232" s="23"/>
      <c r="U232" s="369">
        <f t="shared" si="12"/>
        <v>0</v>
      </c>
      <c r="V232" s="370"/>
      <c r="W232" s="1"/>
      <c r="X232" s="15"/>
      <c r="Y232" s="15"/>
      <c r="Z232" s="15"/>
      <c r="AA232" s="15"/>
      <c r="AB232" s="15"/>
      <c r="AC232" s="16"/>
      <c r="AD232" s="307">
        <f t="shared" si="10"/>
        <v>0</v>
      </c>
      <c r="AG232" s="87"/>
      <c r="AH232" s="87"/>
    </row>
    <row r="233" spans="1:34" hidden="1">
      <c r="A233" s="1"/>
      <c r="B233" s="12" t="s">
        <v>881</v>
      </c>
      <c r="C233" s="416"/>
      <c r="D233" s="417"/>
      <c r="E233" s="417"/>
      <c r="F233" s="417"/>
      <c r="G233" s="417"/>
      <c r="H233" s="417"/>
      <c r="I233" s="417"/>
      <c r="J233" s="417"/>
      <c r="K233" s="417"/>
      <c r="L233" s="418"/>
      <c r="M233" s="416"/>
      <c r="N233" s="417"/>
      <c r="O233" s="417"/>
      <c r="P233" s="417"/>
      <c r="Q233" s="417"/>
      <c r="R233" s="418"/>
      <c r="S233" s="69"/>
      <c r="T233" s="23"/>
      <c r="U233" s="369">
        <f t="shared" si="12"/>
        <v>0</v>
      </c>
      <c r="V233" s="370"/>
      <c r="W233" s="1"/>
      <c r="X233" s="15"/>
      <c r="Y233" s="15"/>
      <c r="Z233" s="15"/>
      <c r="AA233" s="15"/>
      <c r="AB233" s="15"/>
      <c r="AC233" s="16"/>
      <c r="AD233" s="307">
        <f t="shared" si="10"/>
        <v>0</v>
      </c>
      <c r="AG233" s="87"/>
      <c r="AH233" s="87"/>
    </row>
    <row r="234" spans="1:34" hidden="1">
      <c r="A234" s="1"/>
      <c r="B234" s="12" t="s">
        <v>882</v>
      </c>
      <c r="C234" s="416"/>
      <c r="D234" s="417"/>
      <c r="E234" s="417"/>
      <c r="F234" s="417"/>
      <c r="G234" s="417"/>
      <c r="H234" s="417"/>
      <c r="I234" s="417"/>
      <c r="J234" s="417"/>
      <c r="K234" s="417"/>
      <c r="L234" s="418"/>
      <c r="M234" s="416"/>
      <c r="N234" s="417"/>
      <c r="O234" s="417"/>
      <c r="P234" s="417"/>
      <c r="Q234" s="417"/>
      <c r="R234" s="418"/>
      <c r="S234" s="69"/>
      <c r="T234" s="23"/>
      <c r="U234" s="369">
        <f t="shared" si="12"/>
        <v>0</v>
      </c>
      <c r="V234" s="370"/>
      <c r="W234" s="1"/>
      <c r="X234" s="15"/>
      <c r="Y234" s="15"/>
      <c r="Z234" s="15"/>
      <c r="AA234" s="15"/>
      <c r="AB234" s="15"/>
      <c r="AC234" s="16"/>
      <c r="AD234" s="307">
        <f t="shared" si="10"/>
        <v>0</v>
      </c>
      <c r="AG234" s="87"/>
      <c r="AH234" s="87"/>
    </row>
    <row r="235" spans="1:34" hidden="1">
      <c r="A235" s="1"/>
      <c r="B235" s="12" t="s">
        <v>883</v>
      </c>
      <c r="C235" s="416"/>
      <c r="D235" s="417"/>
      <c r="E235" s="417"/>
      <c r="F235" s="417"/>
      <c r="G235" s="417"/>
      <c r="H235" s="417"/>
      <c r="I235" s="417"/>
      <c r="J235" s="417"/>
      <c r="K235" s="417"/>
      <c r="L235" s="418"/>
      <c r="M235" s="416"/>
      <c r="N235" s="417"/>
      <c r="O235" s="417"/>
      <c r="P235" s="417"/>
      <c r="Q235" s="417"/>
      <c r="R235" s="418"/>
      <c r="S235" s="69"/>
      <c r="T235" s="23"/>
      <c r="U235" s="369">
        <f t="shared" si="12"/>
        <v>0</v>
      </c>
      <c r="V235" s="370"/>
      <c r="W235" s="1"/>
      <c r="X235" s="15"/>
      <c r="Y235" s="15"/>
      <c r="Z235" s="15"/>
      <c r="AA235" s="15"/>
      <c r="AB235" s="15"/>
      <c r="AC235" s="16"/>
      <c r="AD235" s="307">
        <f t="shared" si="10"/>
        <v>0</v>
      </c>
      <c r="AG235" s="87"/>
      <c r="AH235" s="87"/>
    </row>
    <row r="236" spans="1:34" hidden="1">
      <c r="A236" s="1"/>
      <c r="B236" s="12" t="s">
        <v>884</v>
      </c>
      <c r="C236" s="416"/>
      <c r="D236" s="417"/>
      <c r="E236" s="417"/>
      <c r="F236" s="417"/>
      <c r="G236" s="417"/>
      <c r="H236" s="417"/>
      <c r="I236" s="417"/>
      <c r="J236" s="417"/>
      <c r="K236" s="417"/>
      <c r="L236" s="418"/>
      <c r="M236" s="416"/>
      <c r="N236" s="417"/>
      <c r="O236" s="417"/>
      <c r="P236" s="417"/>
      <c r="Q236" s="417"/>
      <c r="R236" s="418"/>
      <c r="S236" s="69"/>
      <c r="T236" s="23"/>
      <c r="U236" s="369">
        <f t="shared" si="12"/>
        <v>0</v>
      </c>
      <c r="V236" s="370"/>
      <c r="W236" s="1"/>
      <c r="X236" s="15"/>
      <c r="Y236" s="15"/>
      <c r="Z236" s="15"/>
      <c r="AA236" s="15"/>
      <c r="AB236" s="15"/>
      <c r="AC236" s="16"/>
      <c r="AD236" s="307">
        <f t="shared" si="10"/>
        <v>0</v>
      </c>
      <c r="AG236" s="87"/>
      <c r="AH236" s="87"/>
    </row>
    <row r="237" spans="1:34" hidden="1">
      <c r="A237" s="1"/>
      <c r="B237" s="12" t="s">
        <v>885</v>
      </c>
      <c r="C237" s="416"/>
      <c r="D237" s="417"/>
      <c r="E237" s="417"/>
      <c r="F237" s="417"/>
      <c r="G237" s="417"/>
      <c r="H237" s="417"/>
      <c r="I237" s="417"/>
      <c r="J237" s="417"/>
      <c r="K237" s="417"/>
      <c r="L237" s="418"/>
      <c r="M237" s="416"/>
      <c r="N237" s="417"/>
      <c r="O237" s="417"/>
      <c r="P237" s="417"/>
      <c r="Q237" s="417"/>
      <c r="R237" s="418"/>
      <c r="S237" s="69"/>
      <c r="T237" s="23"/>
      <c r="U237" s="369">
        <f t="shared" si="12"/>
        <v>0</v>
      </c>
      <c r="V237" s="370"/>
      <c r="W237" s="1"/>
      <c r="X237" s="15"/>
      <c r="Y237" s="15"/>
      <c r="Z237" s="15"/>
      <c r="AA237" s="15"/>
      <c r="AB237" s="15"/>
      <c r="AC237" s="16"/>
      <c r="AD237" s="307">
        <f t="shared" si="10"/>
        <v>0</v>
      </c>
      <c r="AG237" s="87"/>
      <c r="AH237" s="87"/>
    </row>
    <row r="238" spans="1:34" hidden="1">
      <c r="A238" s="1"/>
      <c r="B238" s="12" t="s">
        <v>886</v>
      </c>
      <c r="C238" s="416"/>
      <c r="D238" s="417"/>
      <c r="E238" s="417"/>
      <c r="F238" s="417"/>
      <c r="G238" s="417"/>
      <c r="H238" s="417"/>
      <c r="I238" s="417"/>
      <c r="J238" s="417"/>
      <c r="K238" s="417"/>
      <c r="L238" s="418"/>
      <c r="M238" s="416"/>
      <c r="N238" s="417"/>
      <c r="O238" s="417"/>
      <c r="P238" s="417"/>
      <c r="Q238" s="417"/>
      <c r="R238" s="418"/>
      <c r="S238" s="69"/>
      <c r="T238" s="23"/>
      <c r="U238" s="369">
        <f t="shared" si="12"/>
        <v>0</v>
      </c>
      <c r="V238" s="370"/>
      <c r="W238" s="1"/>
      <c r="X238" s="15"/>
      <c r="Y238" s="15"/>
      <c r="Z238" s="15"/>
      <c r="AA238" s="15"/>
      <c r="AB238" s="15"/>
      <c r="AC238" s="16"/>
      <c r="AD238" s="307">
        <f t="shared" si="10"/>
        <v>0</v>
      </c>
      <c r="AG238" s="87"/>
      <c r="AH238" s="87"/>
    </row>
    <row r="239" spans="1:34" hidden="1">
      <c r="A239" s="1"/>
      <c r="B239" s="12" t="s">
        <v>887</v>
      </c>
      <c r="C239" s="416"/>
      <c r="D239" s="417"/>
      <c r="E239" s="417"/>
      <c r="F239" s="417"/>
      <c r="G239" s="417"/>
      <c r="H239" s="417"/>
      <c r="I239" s="417"/>
      <c r="J239" s="417"/>
      <c r="K239" s="417"/>
      <c r="L239" s="418"/>
      <c r="M239" s="416"/>
      <c r="N239" s="417"/>
      <c r="O239" s="417"/>
      <c r="P239" s="417"/>
      <c r="Q239" s="417"/>
      <c r="R239" s="418"/>
      <c r="S239" s="69"/>
      <c r="T239" s="23"/>
      <c r="U239" s="369">
        <f t="shared" si="12"/>
        <v>0</v>
      </c>
      <c r="V239" s="370"/>
      <c r="W239" s="1"/>
      <c r="X239" s="15"/>
      <c r="Y239" s="15"/>
      <c r="Z239" s="15"/>
      <c r="AA239" s="15"/>
      <c r="AB239" s="15"/>
      <c r="AC239" s="16"/>
      <c r="AD239" s="307">
        <f t="shared" si="10"/>
        <v>0</v>
      </c>
      <c r="AG239" s="87"/>
      <c r="AH239" s="87"/>
    </row>
    <row r="240" spans="1:34" hidden="1">
      <c r="A240" s="1"/>
      <c r="B240" s="12" t="s">
        <v>888</v>
      </c>
      <c r="C240" s="416"/>
      <c r="D240" s="417"/>
      <c r="E240" s="417"/>
      <c r="F240" s="417"/>
      <c r="G240" s="417"/>
      <c r="H240" s="417"/>
      <c r="I240" s="417"/>
      <c r="J240" s="417"/>
      <c r="K240" s="417"/>
      <c r="L240" s="418"/>
      <c r="M240" s="416"/>
      <c r="N240" s="417"/>
      <c r="O240" s="417"/>
      <c r="P240" s="417"/>
      <c r="Q240" s="417"/>
      <c r="R240" s="418"/>
      <c r="S240" s="69"/>
      <c r="T240" s="23"/>
      <c r="U240" s="369">
        <f t="shared" si="12"/>
        <v>0</v>
      </c>
      <c r="V240" s="370"/>
      <c r="W240" s="1"/>
      <c r="X240" s="15"/>
      <c r="Y240" s="15"/>
      <c r="Z240" s="15"/>
      <c r="AA240" s="15"/>
      <c r="AB240" s="15"/>
      <c r="AC240" s="16"/>
      <c r="AD240" s="307">
        <f t="shared" si="10"/>
        <v>0</v>
      </c>
      <c r="AG240" s="87"/>
      <c r="AH240" s="87"/>
    </row>
    <row r="241" spans="1:34" hidden="1">
      <c r="A241" s="1"/>
      <c r="B241" s="12" t="s">
        <v>889</v>
      </c>
      <c r="C241" s="416"/>
      <c r="D241" s="417"/>
      <c r="E241" s="417"/>
      <c r="F241" s="417"/>
      <c r="G241" s="417"/>
      <c r="H241" s="417"/>
      <c r="I241" s="417"/>
      <c r="J241" s="417"/>
      <c r="K241" s="417"/>
      <c r="L241" s="418"/>
      <c r="M241" s="416"/>
      <c r="N241" s="417"/>
      <c r="O241" s="417"/>
      <c r="P241" s="417"/>
      <c r="Q241" s="417"/>
      <c r="R241" s="418"/>
      <c r="S241" s="69"/>
      <c r="T241" s="23"/>
      <c r="U241" s="369">
        <f t="shared" si="12"/>
        <v>0</v>
      </c>
      <c r="V241" s="370"/>
      <c r="W241" s="1"/>
      <c r="X241" s="15"/>
      <c r="Y241" s="15"/>
      <c r="Z241" s="15"/>
      <c r="AA241" s="15"/>
      <c r="AB241" s="15"/>
      <c r="AC241" s="16"/>
      <c r="AD241" s="307">
        <f t="shared" si="10"/>
        <v>0</v>
      </c>
      <c r="AG241" s="87"/>
      <c r="AH241" s="87"/>
    </row>
    <row r="242" spans="1:34" hidden="1">
      <c r="A242" s="1"/>
      <c r="B242" s="12" t="s">
        <v>890</v>
      </c>
      <c r="C242" s="416"/>
      <c r="D242" s="417"/>
      <c r="E242" s="417"/>
      <c r="F242" s="417"/>
      <c r="G242" s="417"/>
      <c r="H242" s="417"/>
      <c r="I242" s="417"/>
      <c r="J242" s="417"/>
      <c r="K242" s="417"/>
      <c r="L242" s="418"/>
      <c r="M242" s="416"/>
      <c r="N242" s="417"/>
      <c r="O242" s="417"/>
      <c r="P242" s="417"/>
      <c r="Q242" s="417"/>
      <c r="R242" s="418"/>
      <c r="S242" s="69"/>
      <c r="T242" s="23"/>
      <c r="U242" s="369">
        <f t="shared" si="12"/>
        <v>0</v>
      </c>
      <c r="V242" s="370"/>
      <c r="W242" s="1"/>
      <c r="X242" s="15"/>
      <c r="Y242" s="15"/>
      <c r="Z242" s="15"/>
      <c r="AA242" s="15"/>
      <c r="AB242" s="15"/>
      <c r="AC242" s="16"/>
      <c r="AD242" s="307">
        <f t="shared" si="10"/>
        <v>0</v>
      </c>
      <c r="AG242" s="87"/>
      <c r="AH242" s="87"/>
    </row>
    <row r="243" spans="1:34" hidden="1">
      <c r="A243" s="1"/>
      <c r="B243" s="12" t="s">
        <v>891</v>
      </c>
      <c r="C243" s="416"/>
      <c r="D243" s="417"/>
      <c r="E243" s="417"/>
      <c r="F243" s="417"/>
      <c r="G243" s="417"/>
      <c r="H243" s="417"/>
      <c r="I243" s="417"/>
      <c r="J243" s="417"/>
      <c r="K243" s="417"/>
      <c r="L243" s="418"/>
      <c r="M243" s="416"/>
      <c r="N243" s="417"/>
      <c r="O243" s="417"/>
      <c r="P243" s="417"/>
      <c r="Q243" s="417"/>
      <c r="R243" s="418"/>
      <c r="S243" s="69"/>
      <c r="T243" s="23"/>
      <c r="U243" s="369">
        <f t="shared" si="12"/>
        <v>0</v>
      </c>
      <c r="V243" s="370"/>
      <c r="W243" s="1"/>
      <c r="X243" s="15"/>
      <c r="Y243" s="15"/>
      <c r="Z243" s="15"/>
      <c r="AA243" s="15"/>
      <c r="AB243" s="15"/>
      <c r="AC243" s="16"/>
      <c r="AD243" s="307">
        <f t="shared" si="10"/>
        <v>0</v>
      </c>
      <c r="AG243" s="87"/>
      <c r="AH243" s="87"/>
    </row>
    <row r="244" spans="1:34" hidden="1">
      <c r="A244" s="1"/>
      <c r="B244" s="12" t="s">
        <v>892</v>
      </c>
      <c r="C244" s="416"/>
      <c r="D244" s="417"/>
      <c r="E244" s="417"/>
      <c r="F244" s="417"/>
      <c r="G244" s="417"/>
      <c r="H244" s="417"/>
      <c r="I244" s="417"/>
      <c r="J244" s="417"/>
      <c r="K244" s="417"/>
      <c r="L244" s="418"/>
      <c r="M244" s="416"/>
      <c r="N244" s="417"/>
      <c r="O244" s="417"/>
      <c r="P244" s="417"/>
      <c r="Q244" s="417"/>
      <c r="R244" s="418"/>
      <c r="S244" s="69"/>
      <c r="T244" s="23"/>
      <c r="U244" s="369">
        <f t="shared" si="12"/>
        <v>0</v>
      </c>
      <c r="V244" s="370"/>
      <c r="W244" s="1"/>
      <c r="X244" s="15"/>
      <c r="Y244" s="15"/>
      <c r="Z244" s="15"/>
      <c r="AA244" s="15"/>
      <c r="AB244" s="15"/>
      <c r="AC244" s="16"/>
      <c r="AD244" s="307">
        <f t="shared" si="10"/>
        <v>0</v>
      </c>
      <c r="AG244" s="87"/>
      <c r="AH244" s="87"/>
    </row>
    <row r="245" spans="1:34" hidden="1">
      <c r="A245" s="1"/>
      <c r="B245" s="12" t="s">
        <v>893</v>
      </c>
      <c r="C245" s="416"/>
      <c r="D245" s="417"/>
      <c r="E245" s="417"/>
      <c r="F245" s="417"/>
      <c r="G245" s="417"/>
      <c r="H245" s="417"/>
      <c r="I245" s="417"/>
      <c r="J245" s="417"/>
      <c r="K245" s="417"/>
      <c r="L245" s="418"/>
      <c r="M245" s="416"/>
      <c r="N245" s="417"/>
      <c r="O245" s="417"/>
      <c r="P245" s="417"/>
      <c r="Q245" s="417"/>
      <c r="R245" s="418"/>
      <c r="S245" s="69"/>
      <c r="T245" s="23"/>
      <c r="U245" s="369">
        <f t="shared" si="12"/>
        <v>0</v>
      </c>
      <c r="V245" s="370"/>
      <c r="W245" s="1"/>
      <c r="X245" s="15"/>
      <c r="Y245" s="15"/>
      <c r="Z245" s="15"/>
      <c r="AA245" s="15"/>
      <c r="AB245" s="15"/>
      <c r="AC245" s="16"/>
      <c r="AD245" s="307">
        <f t="shared" si="10"/>
        <v>0</v>
      </c>
      <c r="AG245" s="87"/>
      <c r="AH245" s="87"/>
    </row>
    <row r="246" spans="1:34" hidden="1">
      <c r="A246" s="1"/>
      <c r="B246" s="12" t="s">
        <v>894</v>
      </c>
      <c r="C246" s="416"/>
      <c r="D246" s="417"/>
      <c r="E246" s="417"/>
      <c r="F246" s="417"/>
      <c r="G246" s="417"/>
      <c r="H246" s="417"/>
      <c r="I246" s="417"/>
      <c r="J246" s="417"/>
      <c r="K246" s="417"/>
      <c r="L246" s="418"/>
      <c r="M246" s="416"/>
      <c r="N246" s="417"/>
      <c r="O246" s="417"/>
      <c r="P246" s="417"/>
      <c r="Q246" s="417"/>
      <c r="R246" s="418"/>
      <c r="S246" s="69"/>
      <c r="T246" s="23"/>
      <c r="U246" s="369">
        <f t="shared" si="12"/>
        <v>0</v>
      </c>
      <c r="V246" s="370"/>
      <c r="W246" s="1"/>
      <c r="X246" s="15"/>
      <c r="Y246" s="15"/>
      <c r="Z246" s="15"/>
      <c r="AA246" s="15"/>
      <c r="AB246" s="15"/>
      <c r="AC246" s="16"/>
      <c r="AD246" s="307">
        <f t="shared" si="10"/>
        <v>0</v>
      </c>
      <c r="AG246" s="87"/>
      <c r="AH246" s="87"/>
    </row>
    <row r="247" spans="1:34" hidden="1">
      <c r="A247" s="1"/>
      <c r="B247" s="12" t="s">
        <v>895</v>
      </c>
      <c r="C247" s="416"/>
      <c r="D247" s="417"/>
      <c r="E247" s="417"/>
      <c r="F247" s="417"/>
      <c r="G247" s="417"/>
      <c r="H247" s="417"/>
      <c r="I247" s="417"/>
      <c r="J247" s="417"/>
      <c r="K247" s="417"/>
      <c r="L247" s="418"/>
      <c r="M247" s="416"/>
      <c r="N247" s="417"/>
      <c r="O247" s="417"/>
      <c r="P247" s="417"/>
      <c r="Q247" s="417"/>
      <c r="R247" s="418"/>
      <c r="S247" s="69"/>
      <c r="T247" s="23"/>
      <c r="U247" s="369">
        <f t="shared" si="12"/>
        <v>0</v>
      </c>
      <c r="V247" s="370"/>
      <c r="W247" s="1"/>
      <c r="X247" s="15"/>
      <c r="Y247" s="15"/>
      <c r="Z247" s="15"/>
      <c r="AA247" s="15"/>
      <c r="AB247" s="15"/>
      <c r="AC247" s="16"/>
      <c r="AD247" s="307">
        <f t="shared" si="10"/>
        <v>0</v>
      </c>
      <c r="AG247" s="87"/>
      <c r="AH247" s="87"/>
    </row>
    <row r="248" spans="1:34" hidden="1">
      <c r="A248" s="1"/>
      <c r="B248" s="12" t="s">
        <v>896</v>
      </c>
      <c r="C248" s="416"/>
      <c r="D248" s="417"/>
      <c r="E248" s="417"/>
      <c r="F248" s="417"/>
      <c r="G248" s="417"/>
      <c r="H248" s="417"/>
      <c r="I248" s="417"/>
      <c r="J248" s="417"/>
      <c r="K248" s="417"/>
      <c r="L248" s="418"/>
      <c r="M248" s="416"/>
      <c r="N248" s="417"/>
      <c r="O248" s="417"/>
      <c r="P248" s="417"/>
      <c r="Q248" s="417"/>
      <c r="R248" s="418"/>
      <c r="S248" s="69"/>
      <c r="T248" s="23"/>
      <c r="U248" s="369">
        <f t="shared" si="12"/>
        <v>0</v>
      </c>
      <c r="V248" s="370"/>
      <c r="W248" s="1"/>
      <c r="X248" s="15"/>
      <c r="Y248" s="15"/>
      <c r="Z248" s="15"/>
      <c r="AA248" s="15"/>
      <c r="AB248" s="15"/>
      <c r="AC248" s="16"/>
      <c r="AD248" s="307">
        <f t="shared" si="10"/>
        <v>0</v>
      </c>
      <c r="AG248" s="87"/>
      <c r="AH248" s="87"/>
    </row>
    <row r="249" spans="1:34" hidden="1">
      <c r="A249" s="1"/>
      <c r="B249" s="12" t="s">
        <v>897</v>
      </c>
      <c r="C249" s="416"/>
      <c r="D249" s="417"/>
      <c r="E249" s="417"/>
      <c r="F249" s="417"/>
      <c r="G249" s="417"/>
      <c r="H249" s="417"/>
      <c r="I249" s="417"/>
      <c r="J249" s="417"/>
      <c r="K249" s="417"/>
      <c r="L249" s="418"/>
      <c r="M249" s="416"/>
      <c r="N249" s="417"/>
      <c r="O249" s="417"/>
      <c r="P249" s="417"/>
      <c r="Q249" s="417"/>
      <c r="R249" s="418"/>
      <c r="S249" s="69"/>
      <c r="T249" s="23"/>
      <c r="U249" s="369">
        <f t="shared" si="12"/>
        <v>0</v>
      </c>
      <c r="V249" s="370"/>
      <c r="W249" s="1"/>
      <c r="X249" s="15"/>
      <c r="Y249" s="15"/>
      <c r="Z249" s="15"/>
      <c r="AA249" s="15"/>
      <c r="AB249" s="15"/>
      <c r="AC249" s="16"/>
      <c r="AD249" s="307">
        <f t="shared" si="10"/>
        <v>0</v>
      </c>
      <c r="AG249" s="87"/>
      <c r="AH249" s="87"/>
    </row>
    <row r="250" spans="1:34" hidden="1">
      <c r="A250" s="1"/>
      <c r="B250" s="12" t="s">
        <v>898</v>
      </c>
      <c r="C250" s="416"/>
      <c r="D250" s="417"/>
      <c r="E250" s="417"/>
      <c r="F250" s="417"/>
      <c r="G250" s="417"/>
      <c r="H250" s="417"/>
      <c r="I250" s="417"/>
      <c r="J250" s="417"/>
      <c r="K250" s="417"/>
      <c r="L250" s="418"/>
      <c r="M250" s="416"/>
      <c r="N250" s="417"/>
      <c r="O250" s="417"/>
      <c r="P250" s="417"/>
      <c r="Q250" s="417"/>
      <c r="R250" s="418"/>
      <c r="S250" s="69"/>
      <c r="T250" s="23"/>
      <c r="U250" s="369">
        <f t="shared" si="12"/>
        <v>0</v>
      </c>
      <c r="V250" s="370"/>
      <c r="W250" s="1"/>
      <c r="X250" s="15"/>
      <c r="Y250" s="15"/>
      <c r="Z250" s="15"/>
      <c r="AA250" s="15"/>
      <c r="AB250" s="15"/>
      <c r="AC250" s="16"/>
      <c r="AD250" s="307">
        <f t="shared" si="10"/>
        <v>0</v>
      </c>
      <c r="AG250" s="87"/>
      <c r="AH250" s="87"/>
    </row>
    <row r="251" spans="1:34" hidden="1">
      <c r="A251" s="1"/>
      <c r="B251" s="12" t="s">
        <v>899</v>
      </c>
      <c r="C251" s="416"/>
      <c r="D251" s="417"/>
      <c r="E251" s="417"/>
      <c r="F251" s="417"/>
      <c r="G251" s="417"/>
      <c r="H251" s="417"/>
      <c r="I251" s="417"/>
      <c r="J251" s="417"/>
      <c r="K251" s="417"/>
      <c r="L251" s="418"/>
      <c r="M251" s="416"/>
      <c r="N251" s="417"/>
      <c r="O251" s="417"/>
      <c r="P251" s="417"/>
      <c r="Q251" s="417"/>
      <c r="R251" s="418"/>
      <c r="S251" s="69"/>
      <c r="T251" s="23"/>
      <c r="U251" s="369">
        <f t="shared" si="12"/>
        <v>0</v>
      </c>
      <c r="V251" s="370"/>
      <c r="W251" s="1"/>
      <c r="X251" s="15"/>
      <c r="Y251" s="15"/>
      <c r="Z251" s="15"/>
      <c r="AA251" s="15"/>
      <c r="AB251" s="15"/>
      <c r="AC251" s="16"/>
      <c r="AD251" s="307">
        <f t="shared" si="10"/>
        <v>0</v>
      </c>
      <c r="AG251" s="87"/>
      <c r="AH251" s="87"/>
    </row>
    <row r="252" spans="1:34" hidden="1">
      <c r="A252" s="1"/>
      <c r="B252" s="12" t="s">
        <v>900</v>
      </c>
      <c r="C252" s="416"/>
      <c r="D252" s="417"/>
      <c r="E252" s="417"/>
      <c r="F252" s="417"/>
      <c r="G252" s="417"/>
      <c r="H252" s="417"/>
      <c r="I252" s="417"/>
      <c r="J252" s="417"/>
      <c r="K252" s="417"/>
      <c r="L252" s="418"/>
      <c r="M252" s="416"/>
      <c r="N252" s="417"/>
      <c r="O252" s="417"/>
      <c r="P252" s="417"/>
      <c r="Q252" s="417"/>
      <c r="R252" s="418"/>
      <c r="S252" s="69"/>
      <c r="T252" s="23"/>
      <c r="U252" s="369">
        <f t="shared" si="12"/>
        <v>0</v>
      </c>
      <c r="V252" s="370"/>
      <c r="W252" s="1"/>
      <c r="X252" s="15"/>
      <c r="Y252" s="15"/>
      <c r="Z252" s="15"/>
      <c r="AA252" s="15"/>
      <c r="AB252" s="15"/>
      <c r="AC252" s="16"/>
      <c r="AD252" s="307">
        <f t="shared" si="10"/>
        <v>0</v>
      </c>
      <c r="AG252" s="87"/>
      <c r="AH252" s="87"/>
    </row>
    <row r="253" spans="1:34" hidden="1">
      <c r="A253" s="1"/>
      <c r="B253" s="12" t="s">
        <v>901</v>
      </c>
      <c r="C253" s="416"/>
      <c r="D253" s="417"/>
      <c r="E253" s="417"/>
      <c r="F253" s="417"/>
      <c r="G253" s="417"/>
      <c r="H253" s="417"/>
      <c r="I253" s="417"/>
      <c r="J253" s="417"/>
      <c r="K253" s="417"/>
      <c r="L253" s="418"/>
      <c r="M253" s="416"/>
      <c r="N253" s="417"/>
      <c r="O253" s="417"/>
      <c r="P253" s="417"/>
      <c r="Q253" s="417"/>
      <c r="R253" s="418"/>
      <c r="S253" s="69"/>
      <c r="T253" s="23"/>
      <c r="U253" s="369">
        <f t="shared" si="12"/>
        <v>0</v>
      </c>
      <c r="V253" s="370"/>
      <c r="W253" s="1"/>
      <c r="X253" s="15"/>
      <c r="Y253" s="15"/>
      <c r="Z253" s="15"/>
      <c r="AA253" s="15"/>
      <c r="AB253" s="15"/>
      <c r="AC253" s="16"/>
      <c r="AD253" s="307">
        <f t="shared" si="10"/>
        <v>0</v>
      </c>
      <c r="AG253" s="87"/>
      <c r="AH253" s="87"/>
    </row>
    <row r="254" spans="1:34" hidden="1">
      <c r="A254" s="1"/>
      <c r="B254" s="12" t="s">
        <v>902</v>
      </c>
      <c r="C254" s="416"/>
      <c r="D254" s="417"/>
      <c r="E254" s="417"/>
      <c r="F254" s="417"/>
      <c r="G254" s="417"/>
      <c r="H254" s="417"/>
      <c r="I254" s="417"/>
      <c r="J254" s="417"/>
      <c r="K254" s="417"/>
      <c r="L254" s="418"/>
      <c r="M254" s="416"/>
      <c r="N254" s="417"/>
      <c r="O254" s="417"/>
      <c r="P254" s="417"/>
      <c r="Q254" s="417"/>
      <c r="R254" s="418"/>
      <c r="S254" s="69"/>
      <c r="T254" s="23"/>
      <c r="U254" s="369">
        <f t="shared" si="12"/>
        <v>0</v>
      </c>
      <c r="V254" s="370"/>
      <c r="W254" s="1"/>
      <c r="X254" s="15"/>
      <c r="Y254" s="15"/>
      <c r="Z254" s="15"/>
      <c r="AA254" s="15"/>
      <c r="AB254" s="15"/>
      <c r="AC254" s="16"/>
      <c r="AD254" s="307">
        <f t="shared" si="10"/>
        <v>0</v>
      </c>
      <c r="AG254" s="87"/>
      <c r="AH254" s="87"/>
    </row>
    <row r="255" spans="1:34" hidden="1">
      <c r="A255" s="1"/>
      <c r="B255" s="12" t="s">
        <v>903</v>
      </c>
      <c r="C255" s="416"/>
      <c r="D255" s="417"/>
      <c r="E255" s="417"/>
      <c r="F255" s="417"/>
      <c r="G255" s="417"/>
      <c r="H255" s="417"/>
      <c r="I255" s="417"/>
      <c r="J255" s="417"/>
      <c r="K255" s="417"/>
      <c r="L255" s="418"/>
      <c r="M255" s="416"/>
      <c r="N255" s="417"/>
      <c r="O255" s="417"/>
      <c r="P255" s="417"/>
      <c r="Q255" s="417"/>
      <c r="R255" s="418"/>
      <c r="S255" s="69"/>
      <c r="T255" s="23"/>
      <c r="U255" s="369">
        <f t="shared" si="12"/>
        <v>0</v>
      </c>
      <c r="V255" s="370"/>
      <c r="W255" s="1"/>
      <c r="X255" s="15"/>
      <c r="Y255" s="15"/>
      <c r="Z255" s="15"/>
      <c r="AA255" s="15"/>
      <c r="AB255" s="15"/>
      <c r="AC255" s="16"/>
      <c r="AD255" s="307">
        <f t="shared" si="10"/>
        <v>0</v>
      </c>
      <c r="AG255" s="87"/>
      <c r="AH255" s="87"/>
    </row>
    <row r="256" spans="1:34" hidden="1">
      <c r="A256" s="1"/>
      <c r="B256" s="12" t="s">
        <v>904</v>
      </c>
      <c r="C256" s="416"/>
      <c r="D256" s="417"/>
      <c r="E256" s="417"/>
      <c r="F256" s="417"/>
      <c r="G256" s="417"/>
      <c r="H256" s="417"/>
      <c r="I256" s="417"/>
      <c r="J256" s="417"/>
      <c r="K256" s="417"/>
      <c r="L256" s="418"/>
      <c r="M256" s="416"/>
      <c r="N256" s="417"/>
      <c r="O256" s="417"/>
      <c r="P256" s="417"/>
      <c r="Q256" s="417"/>
      <c r="R256" s="418"/>
      <c r="S256" s="69"/>
      <c r="T256" s="23"/>
      <c r="U256" s="369">
        <f t="shared" si="12"/>
        <v>0</v>
      </c>
      <c r="V256" s="370"/>
      <c r="W256" s="1"/>
      <c r="X256" s="15"/>
      <c r="Y256" s="15"/>
      <c r="Z256" s="15"/>
      <c r="AA256" s="15"/>
      <c r="AB256" s="15"/>
      <c r="AC256" s="16"/>
      <c r="AD256" s="307">
        <f t="shared" si="10"/>
        <v>0</v>
      </c>
      <c r="AG256" s="87"/>
      <c r="AH256" s="87"/>
    </row>
    <row r="257" spans="1:49" hidden="1">
      <c r="A257" s="1"/>
      <c r="B257" s="12" t="s">
        <v>905</v>
      </c>
      <c r="C257" s="416"/>
      <c r="D257" s="417"/>
      <c r="E257" s="417"/>
      <c r="F257" s="417"/>
      <c r="G257" s="417"/>
      <c r="H257" s="417"/>
      <c r="I257" s="417"/>
      <c r="J257" s="417"/>
      <c r="K257" s="417"/>
      <c r="L257" s="418"/>
      <c r="M257" s="416"/>
      <c r="N257" s="417"/>
      <c r="O257" s="417"/>
      <c r="P257" s="417"/>
      <c r="Q257" s="417"/>
      <c r="R257" s="418"/>
      <c r="S257" s="69"/>
      <c r="T257" s="23"/>
      <c r="U257" s="369">
        <f t="shared" si="12"/>
        <v>0</v>
      </c>
      <c r="V257" s="370"/>
      <c r="W257" s="1"/>
      <c r="X257" s="15"/>
      <c r="Y257" s="15"/>
      <c r="Z257" s="15"/>
      <c r="AA257" s="15"/>
      <c r="AB257" s="15"/>
      <c r="AC257" s="16"/>
      <c r="AD257" s="307">
        <f t="shared" si="10"/>
        <v>0</v>
      </c>
      <c r="AG257" s="87"/>
      <c r="AH257" s="87"/>
    </row>
    <row r="258" spans="1:49" hidden="1">
      <c r="A258" s="1"/>
      <c r="B258" s="12" t="s">
        <v>906</v>
      </c>
      <c r="C258" s="416"/>
      <c r="D258" s="417"/>
      <c r="E258" s="417"/>
      <c r="F258" s="417"/>
      <c r="G258" s="417"/>
      <c r="H258" s="417"/>
      <c r="I258" s="417"/>
      <c r="J258" s="417"/>
      <c r="K258" s="417"/>
      <c r="L258" s="418"/>
      <c r="M258" s="416"/>
      <c r="N258" s="417"/>
      <c r="O258" s="417"/>
      <c r="P258" s="417"/>
      <c r="Q258" s="417"/>
      <c r="R258" s="418"/>
      <c r="S258" s="69"/>
      <c r="T258" s="23"/>
      <c r="U258" s="369">
        <f t="shared" si="12"/>
        <v>0</v>
      </c>
      <c r="V258" s="370"/>
      <c r="W258" s="1"/>
      <c r="X258" s="15"/>
      <c r="Y258" s="15"/>
      <c r="Z258" s="15"/>
      <c r="AA258" s="15"/>
      <c r="AB258" s="15"/>
      <c r="AC258" s="16"/>
      <c r="AD258" s="307">
        <f t="shared" si="10"/>
        <v>0</v>
      </c>
      <c r="AG258" s="87"/>
      <c r="AH258" s="87"/>
    </row>
    <row r="259" spans="1:49" hidden="1">
      <c r="A259" s="1"/>
      <c r="B259" s="12" t="s">
        <v>907</v>
      </c>
      <c r="C259" s="416"/>
      <c r="D259" s="417"/>
      <c r="E259" s="417"/>
      <c r="F259" s="417"/>
      <c r="G259" s="417"/>
      <c r="H259" s="417"/>
      <c r="I259" s="417"/>
      <c r="J259" s="417"/>
      <c r="K259" s="417"/>
      <c r="L259" s="418"/>
      <c r="M259" s="416"/>
      <c r="N259" s="417"/>
      <c r="O259" s="417"/>
      <c r="P259" s="417"/>
      <c r="Q259" s="417"/>
      <c r="R259" s="418"/>
      <c r="S259" s="69"/>
      <c r="T259" s="23"/>
      <c r="U259" s="369">
        <f t="shared" si="12"/>
        <v>0</v>
      </c>
      <c r="V259" s="370"/>
      <c r="W259" s="1"/>
      <c r="X259" s="15"/>
      <c r="Y259" s="15"/>
      <c r="Z259" s="15"/>
      <c r="AA259" s="15"/>
      <c r="AB259" s="15"/>
      <c r="AC259" s="16"/>
      <c r="AD259" s="307">
        <f t="shared" si="10"/>
        <v>0</v>
      </c>
      <c r="AG259" s="87"/>
      <c r="AH259" s="87"/>
    </row>
    <row r="260" spans="1:49" hidden="1">
      <c r="A260" s="1"/>
      <c r="B260" s="12" t="s">
        <v>908</v>
      </c>
      <c r="C260" s="416"/>
      <c r="D260" s="417"/>
      <c r="E260" s="417"/>
      <c r="F260" s="417"/>
      <c r="G260" s="417"/>
      <c r="H260" s="417"/>
      <c r="I260" s="417"/>
      <c r="J260" s="417"/>
      <c r="K260" s="417"/>
      <c r="L260" s="418"/>
      <c r="M260" s="416"/>
      <c r="N260" s="417"/>
      <c r="O260" s="417"/>
      <c r="P260" s="417"/>
      <c r="Q260" s="417"/>
      <c r="R260" s="418"/>
      <c r="S260" s="69"/>
      <c r="T260" s="23"/>
      <c r="U260" s="369">
        <f t="shared" si="12"/>
        <v>0</v>
      </c>
      <c r="V260" s="370"/>
      <c r="W260" s="1"/>
      <c r="X260" s="15"/>
      <c r="Y260" s="15"/>
      <c r="Z260" s="15"/>
      <c r="AA260" s="15"/>
      <c r="AB260" s="15"/>
      <c r="AC260" s="16"/>
      <c r="AD260" s="307">
        <f t="shared" si="10"/>
        <v>0</v>
      </c>
      <c r="AG260" s="87"/>
      <c r="AH260" s="87"/>
    </row>
    <row r="261" spans="1:49" ht="4.5" customHeight="1" thickBot="1">
      <c r="A261" s="1"/>
      <c r="B261" s="4"/>
      <c r="C261" s="4"/>
      <c r="D261" s="4"/>
      <c r="E261" s="4"/>
      <c r="F261" s="4"/>
      <c r="G261" s="4"/>
      <c r="H261" s="4"/>
      <c r="I261" s="4"/>
      <c r="J261" s="4"/>
      <c r="K261" s="4"/>
      <c r="L261" s="4"/>
      <c r="M261" s="4"/>
      <c r="N261" s="4"/>
      <c r="O261" s="4"/>
      <c r="P261" s="4"/>
      <c r="Q261" s="4"/>
      <c r="R261" s="4"/>
      <c r="S261" s="4"/>
      <c r="T261" s="4"/>
      <c r="U261" s="4"/>
      <c r="V261" s="4"/>
      <c r="W261" s="1"/>
      <c r="X261" s="15"/>
      <c r="Y261" s="15"/>
      <c r="Z261" s="15"/>
      <c r="AA261" s="15"/>
      <c r="AB261" s="15"/>
      <c r="AC261" s="16"/>
      <c r="AG261" s="87"/>
      <c r="AH261" s="87"/>
    </row>
    <row r="262" spans="1:49" ht="18" customHeight="1">
      <c r="A262" s="1"/>
      <c r="B262" s="20" t="s">
        <v>179</v>
      </c>
      <c r="C262" s="8"/>
      <c r="D262" s="8"/>
      <c r="E262" s="8"/>
      <c r="F262" s="8"/>
      <c r="G262" s="8"/>
      <c r="H262" s="8"/>
      <c r="I262" s="8"/>
      <c r="J262" s="479" t="s">
        <v>1821</v>
      </c>
      <c r="K262" s="479"/>
      <c r="L262" s="479"/>
      <c r="M262" s="479"/>
      <c r="N262" s="43" t="s">
        <v>172</v>
      </c>
      <c r="O262" s="8"/>
      <c r="P262" s="43" t="s">
        <v>171</v>
      </c>
      <c r="Q262" s="33"/>
      <c r="R262" s="34"/>
      <c r="S262" s="48" t="str">
        <f>IF(AD262&gt;0,"INC","")</f>
        <v/>
      </c>
      <c r="T262" s="49" t="s">
        <v>170</v>
      </c>
      <c r="U262" s="412">
        <f>ROUND(SUM(U266:U295)+SUM(U298:U317)+SUM(U320:U359),2)</f>
        <v>0</v>
      </c>
      <c r="V262" s="413"/>
      <c r="W262" s="1"/>
      <c r="X262" s="15"/>
      <c r="Y262" s="15"/>
      <c r="Z262" s="15"/>
      <c r="AA262" s="15"/>
      <c r="AB262" s="15"/>
      <c r="AC262" s="16"/>
      <c r="AD262" s="307">
        <f>SUM(AD263:AD359)</f>
        <v>0</v>
      </c>
      <c r="AG262" s="87"/>
      <c r="AH262" s="87"/>
    </row>
    <row r="263" spans="1:49" s="219" customFormat="1" ht="12.75" customHeight="1">
      <c r="A263" s="208"/>
      <c r="B263" s="209" t="s">
        <v>260</v>
      </c>
      <c r="C263" s="210"/>
      <c r="D263" s="208"/>
      <c r="E263" s="211" t="s">
        <v>264</v>
      </c>
      <c r="F263" s="208"/>
      <c r="G263" s="208"/>
      <c r="H263" s="208"/>
      <c r="I263" s="208"/>
      <c r="J263" s="212"/>
      <c r="K263" s="213"/>
      <c r="L263" s="208"/>
      <c r="M263" s="214"/>
      <c r="N263" s="215"/>
      <c r="O263" s="208"/>
      <c r="P263" s="216"/>
      <c r="Q263" s="208"/>
      <c r="R263" s="208"/>
      <c r="S263" s="208"/>
      <c r="T263" s="208"/>
      <c r="U263" s="208"/>
      <c r="V263" s="208"/>
      <c r="W263" s="208"/>
      <c r="X263" s="217"/>
      <c r="Y263" s="217"/>
      <c r="Z263" s="217"/>
      <c r="AA263" s="217"/>
      <c r="AB263" s="217"/>
      <c r="AC263" s="218"/>
      <c r="AD263" s="308"/>
      <c r="AE263" s="309"/>
      <c r="AF263" s="309"/>
      <c r="AG263" s="305"/>
      <c r="AH263" s="305"/>
      <c r="AI263" s="309"/>
      <c r="AJ263" s="309"/>
      <c r="AK263" s="309"/>
      <c r="AL263" s="309"/>
      <c r="AM263" s="309"/>
      <c r="AN263" s="309"/>
      <c r="AO263" s="309"/>
      <c r="AP263" s="309"/>
      <c r="AQ263" s="309"/>
      <c r="AR263" s="309"/>
      <c r="AS263" s="309"/>
      <c r="AT263" s="309"/>
      <c r="AU263" s="309"/>
      <c r="AV263" s="309"/>
      <c r="AW263" s="309"/>
    </row>
    <row r="264" spans="1:49" s="219" customFormat="1" ht="5.15" customHeight="1">
      <c r="A264" s="208"/>
      <c r="B264" s="209"/>
      <c r="C264" s="210"/>
      <c r="D264" s="208"/>
      <c r="E264" s="220"/>
      <c r="F264" s="208"/>
      <c r="G264" s="208"/>
      <c r="H264" s="208"/>
      <c r="I264" s="208"/>
      <c r="J264" s="212"/>
      <c r="K264" s="213"/>
      <c r="L264" s="208"/>
      <c r="M264" s="214"/>
      <c r="N264" s="215"/>
      <c r="O264" s="208"/>
      <c r="P264" s="216"/>
      <c r="Q264" s="208"/>
      <c r="R264" s="208"/>
      <c r="S264" s="208"/>
      <c r="T264" s="208"/>
      <c r="U264" s="208"/>
      <c r="V264" s="208"/>
      <c r="W264" s="208"/>
      <c r="X264" s="217"/>
      <c r="Y264" s="217"/>
      <c r="Z264" s="217"/>
      <c r="AA264" s="217"/>
      <c r="AB264" s="217"/>
      <c r="AC264" s="218"/>
      <c r="AD264" s="308"/>
      <c r="AE264" s="309"/>
      <c r="AF264" s="309"/>
      <c r="AG264" s="305"/>
      <c r="AH264" s="305"/>
      <c r="AI264" s="309"/>
      <c r="AJ264" s="309"/>
      <c r="AK264" s="309"/>
      <c r="AL264" s="309"/>
      <c r="AM264" s="309"/>
      <c r="AN264" s="309"/>
      <c r="AO264" s="309"/>
      <c r="AP264" s="309"/>
      <c r="AQ264" s="309"/>
      <c r="AR264" s="309"/>
      <c r="AS264" s="309"/>
      <c r="AT264" s="309"/>
      <c r="AU264" s="309"/>
      <c r="AV264" s="309"/>
      <c r="AW264" s="309"/>
    </row>
    <row r="265" spans="1:49" s="105" customFormat="1" ht="21.75" hidden="1" customHeight="1">
      <c r="A265" s="97"/>
      <c r="B265" s="98"/>
      <c r="C265" s="99" t="s">
        <v>132</v>
      </c>
      <c r="D265" s="97"/>
      <c r="E265" s="97"/>
      <c r="F265" s="97"/>
      <c r="G265" s="108"/>
      <c r="H265" s="97"/>
      <c r="I265" s="97"/>
      <c r="J265" s="97"/>
      <c r="K265" s="97"/>
      <c r="L265" s="110" t="str">
        <f ca="1">IF(SUM($T$363:$T$491)&gt;0,"BAN/LAN Installation Task(s) added","")</f>
        <v/>
      </c>
      <c r="N265" s="98" t="s">
        <v>99</v>
      </c>
      <c r="O265" s="106"/>
      <c r="P265" s="98"/>
      <c r="Q265" s="98" t="s">
        <v>158</v>
      </c>
      <c r="R265" s="98"/>
      <c r="S265" s="96" t="s">
        <v>182</v>
      </c>
      <c r="T265" s="98" t="s">
        <v>127</v>
      </c>
      <c r="U265" s="98" t="s">
        <v>123</v>
      </c>
      <c r="V265" s="98"/>
      <c r="W265" s="97"/>
      <c r="X265" s="103"/>
      <c r="Y265" s="103"/>
      <c r="Z265" s="103"/>
      <c r="AA265" s="103"/>
      <c r="AB265" s="103"/>
      <c r="AC265" s="104"/>
      <c r="AD265" s="306"/>
      <c r="AE265" s="74"/>
      <c r="AF265" s="74"/>
      <c r="AG265" s="87"/>
      <c r="AH265" s="87"/>
      <c r="AI265" s="74"/>
      <c r="AJ265" s="74"/>
      <c r="AK265" s="74"/>
      <c r="AL265" s="74"/>
      <c r="AM265" s="74"/>
      <c r="AN265" s="74"/>
      <c r="AO265" s="74"/>
      <c r="AP265" s="74"/>
      <c r="AQ265" s="74"/>
      <c r="AR265" s="74"/>
      <c r="AS265" s="74"/>
      <c r="AT265" s="74"/>
      <c r="AU265" s="74"/>
      <c r="AV265" s="74"/>
      <c r="AW265" s="74"/>
    </row>
    <row r="266" spans="1:49" hidden="1">
      <c r="A266" s="1"/>
      <c r="B266" s="12" t="s">
        <v>102</v>
      </c>
      <c r="C266" s="423" t="s">
        <v>18</v>
      </c>
      <c r="D266" s="424"/>
      <c r="E266" s="424"/>
      <c r="F266" s="424"/>
      <c r="G266" s="424"/>
      <c r="H266" s="424"/>
      <c r="I266" s="424"/>
      <c r="J266" s="424"/>
      <c r="K266" s="424"/>
      <c r="L266" s="424"/>
      <c r="M266" s="521"/>
      <c r="N266" s="528" t="str">
        <f t="shared" ref="N266:N279" si="13">VLOOKUP(C266,HW_Desc_Model,2,FALSE)</f>
        <v>(Model/Part #  Lookup)</v>
      </c>
      <c r="O266" s="529"/>
      <c r="P266" s="530"/>
      <c r="Q266" s="421"/>
      <c r="R266" s="525"/>
      <c r="S266" s="69"/>
      <c r="T266" s="23"/>
      <c r="U266" s="369">
        <f t="shared" ref="U266" si="14">IF(OR(C266="",C266="&lt;Select HW Description&gt;"),0,T266*VLOOKUP(C266,HW_Desc_Model_Price,3,FALSE)*IF(S266="",1,0))</f>
        <v>0</v>
      </c>
      <c r="V266" s="370"/>
      <c r="W266" s="1"/>
      <c r="X266" s="32"/>
      <c r="Y266" s="15"/>
      <c r="Z266" s="15"/>
      <c r="AA266" s="15"/>
      <c r="AB266" s="15"/>
      <c r="AC266" s="16"/>
      <c r="AG266" s="87"/>
      <c r="AH266" s="87"/>
    </row>
    <row r="267" spans="1:49" hidden="1">
      <c r="A267" s="1"/>
      <c r="B267" s="12" t="s">
        <v>103</v>
      </c>
      <c r="C267" s="423"/>
      <c r="D267" s="424"/>
      <c r="E267" s="424"/>
      <c r="F267" s="424"/>
      <c r="G267" s="424"/>
      <c r="H267" s="424"/>
      <c r="I267" s="424"/>
      <c r="J267" s="424"/>
      <c r="K267" s="424"/>
      <c r="L267" s="424"/>
      <c r="M267" s="521"/>
      <c r="N267" s="528" t="e">
        <f t="shared" si="13"/>
        <v>#N/A</v>
      </c>
      <c r="O267" s="529"/>
      <c r="P267" s="530"/>
      <c r="Q267" s="421"/>
      <c r="R267" s="525"/>
      <c r="S267" s="69"/>
      <c r="T267" s="85"/>
      <c r="U267" s="369">
        <f t="shared" ref="U267:U295" si="15">IF(OR(C267="",C267="&lt;Select HW Description&gt;"),0,T267*VLOOKUP(C267,HW_Desc_Model_Price,3,FALSE)*IF(S267="",1,0))</f>
        <v>0</v>
      </c>
      <c r="V267" s="370"/>
      <c r="W267" s="1"/>
      <c r="X267" s="86"/>
      <c r="Y267" s="15"/>
      <c r="Z267" s="15"/>
      <c r="AA267" s="15"/>
      <c r="AB267" s="15"/>
      <c r="AC267" s="16"/>
      <c r="AG267" s="87"/>
      <c r="AH267" s="87"/>
    </row>
    <row r="268" spans="1:49" hidden="1">
      <c r="A268" s="1"/>
      <c r="B268" s="12" t="s">
        <v>104</v>
      </c>
      <c r="C268" s="423"/>
      <c r="D268" s="424"/>
      <c r="E268" s="424"/>
      <c r="F268" s="424"/>
      <c r="G268" s="424"/>
      <c r="H268" s="424"/>
      <c r="I268" s="424"/>
      <c r="J268" s="424"/>
      <c r="K268" s="424"/>
      <c r="L268" s="424"/>
      <c r="M268" s="521"/>
      <c r="N268" s="528" t="e">
        <f t="shared" si="13"/>
        <v>#N/A</v>
      </c>
      <c r="O268" s="529"/>
      <c r="P268" s="530"/>
      <c r="Q268" s="421"/>
      <c r="R268" s="525"/>
      <c r="S268" s="69"/>
      <c r="T268" s="23"/>
      <c r="U268" s="369">
        <f t="shared" si="15"/>
        <v>0</v>
      </c>
      <c r="V268" s="370"/>
      <c r="W268" s="1"/>
      <c r="X268" s="15"/>
      <c r="Y268" s="15"/>
      <c r="Z268" s="15"/>
      <c r="AA268" s="15"/>
      <c r="AB268" s="15"/>
      <c r="AC268" s="16"/>
      <c r="AG268" s="87"/>
      <c r="AH268" s="87"/>
    </row>
    <row r="269" spans="1:49" ht="12.75" hidden="1" customHeight="1">
      <c r="A269" s="1"/>
      <c r="B269" s="12" t="s">
        <v>105</v>
      </c>
      <c r="C269" s="423"/>
      <c r="D269" s="424"/>
      <c r="E269" s="424"/>
      <c r="F269" s="424"/>
      <c r="G269" s="424"/>
      <c r="H269" s="424"/>
      <c r="I269" s="424"/>
      <c r="J269" s="424"/>
      <c r="K269" s="424"/>
      <c r="L269" s="424"/>
      <c r="M269" s="521"/>
      <c r="N269" s="528" t="e">
        <f t="shared" si="13"/>
        <v>#N/A</v>
      </c>
      <c r="O269" s="529"/>
      <c r="P269" s="530"/>
      <c r="Q269" s="421"/>
      <c r="R269" s="525"/>
      <c r="S269" s="69"/>
      <c r="T269" s="23"/>
      <c r="U269" s="369">
        <f t="shared" si="15"/>
        <v>0</v>
      </c>
      <c r="V269" s="370"/>
      <c r="W269" s="1"/>
      <c r="X269" s="15"/>
      <c r="Y269" s="15"/>
      <c r="Z269" s="15"/>
      <c r="AA269" s="15"/>
      <c r="AB269" s="15"/>
      <c r="AC269" s="16"/>
      <c r="AG269" s="87"/>
      <c r="AH269" s="87"/>
    </row>
    <row r="270" spans="1:49" hidden="1">
      <c r="A270" s="1"/>
      <c r="B270" s="12" t="s">
        <v>106</v>
      </c>
      <c r="C270" s="423"/>
      <c r="D270" s="424"/>
      <c r="E270" s="424"/>
      <c r="F270" s="424"/>
      <c r="G270" s="424"/>
      <c r="H270" s="424"/>
      <c r="I270" s="424"/>
      <c r="J270" s="424"/>
      <c r="K270" s="424"/>
      <c r="L270" s="424"/>
      <c r="M270" s="521"/>
      <c r="N270" s="528" t="e">
        <f t="shared" si="13"/>
        <v>#N/A</v>
      </c>
      <c r="O270" s="529"/>
      <c r="P270" s="530"/>
      <c r="Q270" s="421"/>
      <c r="R270" s="525"/>
      <c r="S270" s="69"/>
      <c r="T270" s="23"/>
      <c r="U270" s="369">
        <f t="shared" si="15"/>
        <v>0</v>
      </c>
      <c r="V270" s="370"/>
      <c r="W270" s="1"/>
      <c r="X270" s="15"/>
      <c r="Y270" s="15"/>
      <c r="Z270" s="15"/>
      <c r="AA270" s="15"/>
      <c r="AB270" s="15"/>
      <c r="AC270" s="16"/>
      <c r="AG270" s="87"/>
      <c r="AH270" s="87"/>
    </row>
    <row r="271" spans="1:49" hidden="1">
      <c r="A271" s="1"/>
      <c r="B271" s="12" t="s">
        <v>107</v>
      </c>
      <c r="C271" s="423"/>
      <c r="D271" s="424"/>
      <c r="E271" s="424"/>
      <c r="F271" s="424"/>
      <c r="G271" s="424"/>
      <c r="H271" s="424"/>
      <c r="I271" s="424"/>
      <c r="J271" s="424"/>
      <c r="K271" s="424"/>
      <c r="L271" s="424"/>
      <c r="M271" s="521"/>
      <c r="N271" s="528" t="e">
        <f t="shared" si="13"/>
        <v>#N/A</v>
      </c>
      <c r="O271" s="529"/>
      <c r="P271" s="530"/>
      <c r="Q271" s="421"/>
      <c r="R271" s="525"/>
      <c r="S271" s="69"/>
      <c r="T271" s="23"/>
      <c r="U271" s="369">
        <f t="shared" si="15"/>
        <v>0</v>
      </c>
      <c r="V271" s="370"/>
      <c r="W271" s="1"/>
      <c r="X271" s="15"/>
      <c r="Y271" s="15"/>
      <c r="Z271" s="15"/>
      <c r="AA271" s="15"/>
      <c r="AB271" s="15"/>
      <c r="AC271" s="16"/>
      <c r="AG271" s="87"/>
      <c r="AH271" s="87"/>
    </row>
    <row r="272" spans="1:49" hidden="1">
      <c r="A272" s="1"/>
      <c r="B272" s="12" t="s">
        <v>108</v>
      </c>
      <c r="C272" s="423"/>
      <c r="D272" s="424"/>
      <c r="E272" s="424"/>
      <c r="F272" s="424"/>
      <c r="G272" s="424"/>
      <c r="H272" s="424"/>
      <c r="I272" s="424"/>
      <c r="J272" s="424"/>
      <c r="K272" s="424"/>
      <c r="L272" s="424"/>
      <c r="M272" s="521"/>
      <c r="N272" s="528" t="e">
        <f t="shared" si="13"/>
        <v>#N/A</v>
      </c>
      <c r="O272" s="529"/>
      <c r="P272" s="530"/>
      <c r="Q272" s="421"/>
      <c r="R272" s="525"/>
      <c r="S272" s="69"/>
      <c r="T272" s="23"/>
      <c r="U272" s="369">
        <f t="shared" si="15"/>
        <v>0</v>
      </c>
      <c r="V272" s="370"/>
      <c r="W272" s="1"/>
      <c r="X272" s="15"/>
      <c r="Y272" s="15"/>
      <c r="Z272" s="15"/>
      <c r="AA272" s="15"/>
      <c r="AB272" s="15"/>
      <c r="AC272" s="16"/>
      <c r="AG272" s="87"/>
      <c r="AH272" s="87"/>
    </row>
    <row r="273" spans="1:34" hidden="1">
      <c r="A273" s="1"/>
      <c r="B273" s="12" t="s">
        <v>109</v>
      </c>
      <c r="C273" s="423"/>
      <c r="D273" s="424"/>
      <c r="E273" s="424"/>
      <c r="F273" s="424"/>
      <c r="G273" s="424"/>
      <c r="H273" s="424"/>
      <c r="I273" s="424"/>
      <c r="J273" s="424"/>
      <c r="K273" s="424"/>
      <c r="L273" s="424"/>
      <c r="M273" s="521"/>
      <c r="N273" s="528" t="e">
        <f t="shared" si="13"/>
        <v>#N/A</v>
      </c>
      <c r="O273" s="529"/>
      <c r="P273" s="530"/>
      <c r="Q273" s="421"/>
      <c r="R273" s="525"/>
      <c r="S273" s="69"/>
      <c r="T273" s="23"/>
      <c r="U273" s="369">
        <f t="shared" si="15"/>
        <v>0</v>
      </c>
      <c r="V273" s="370"/>
      <c r="W273" s="1"/>
      <c r="X273" s="15"/>
      <c r="Y273" s="15"/>
      <c r="Z273" s="15"/>
      <c r="AA273" s="15"/>
      <c r="AB273" s="15"/>
      <c r="AC273" s="16"/>
      <c r="AG273" s="87"/>
      <c r="AH273" s="87"/>
    </row>
    <row r="274" spans="1:34" hidden="1">
      <c r="A274" s="1"/>
      <c r="B274" s="12" t="s">
        <v>110</v>
      </c>
      <c r="C274" s="423"/>
      <c r="D274" s="424"/>
      <c r="E274" s="424"/>
      <c r="F274" s="424"/>
      <c r="G274" s="424"/>
      <c r="H274" s="424"/>
      <c r="I274" s="424"/>
      <c r="J274" s="424"/>
      <c r="K274" s="424"/>
      <c r="L274" s="424"/>
      <c r="M274" s="521"/>
      <c r="N274" s="528" t="e">
        <f t="shared" si="13"/>
        <v>#N/A</v>
      </c>
      <c r="O274" s="529"/>
      <c r="P274" s="530"/>
      <c r="Q274" s="421"/>
      <c r="R274" s="525"/>
      <c r="S274" s="69"/>
      <c r="T274" s="23"/>
      <c r="U274" s="369">
        <f t="shared" si="15"/>
        <v>0</v>
      </c>
      <c r="V274" s="370"/>
      <c r="W274" s="1"/>
      <c r="X274" s="15"/>
      <c r="Y274" s="15"/>
      <c r="Z274" s="15"/>
      <c r="AA274" s="15"/>
      <c r="AB274" s="15"/>
      <c r="AC274" s="16"/>
      <c r="AG274" s="87"/>
      <c r="AH274" s="87"/>
    </row>
    <row r="275" spans="1:34" hidden="1">
      <c r="A275" s="1"/>
      <c r="B275" s="12" t="s">
        <v>111</v>
      </c>
      <c r="C275" s="423"/>
      <c r="D275" s="424"/>
      <c r="E275" s="424"/>
      <c r="F275" s="424"/>
      <c r="G275" s="424"/>
      <c r="H275" s="424"/>
      <c r="I275" s="424"/>
      <c r="J275" s="424"/>
      <c r="K275" s="424"/>
      <c r="L275" s="424"/>
      <c r="M275" s="521"/>
      <c r="N275" s="528" t="e">
        <f t="shared" si="13"/>
        <v>#N/A</v>
      </c>
      <c r="O275" s="529"/>
      <c r="P275" s="530"/>
      <c r="Q275" s="421"/>
      <c r="R275" s="525"/>
      <c r="S275" s="69"/>
      <c r="T275" s="23"/>
      <c r="U275" s="369">
        <f t="shared" si="15"/>
        <v>0</v>
      </c>
      <c r="V275" s="370"/>
      <c r="W275" s="1"/>
      <c r="X275" s="15"/>
      <c r="Y275" s="15"/>
      <c r="Z275" s="15"/>
      <c r="AA275" s="15"/>
      <c r="AB275" s="15"/>
      <c r="AC275" s="16"/>
      <c r="AG275" s="87"/>
      <c r="AH275" s="87"/>
    </row>
    <row r="276" spans="1:34" hidden="1">
      <c r="A276" s="1"/>
      <c r="B276" s="12" t="s">
        <v>112</v>
      </c>
      <c r="C276" s="423"/>
      <c r="D276" s="424"/>
      <c r="E276" s="424"/>
      <c r="F276" s="424"/>
      <c r="G276" s="424"/>
      <c r="H276" s="424"/>
      <c r="I276" s="424"/>
      <c r="J276" s="424"/>
      <c r="K276" s="424"/>
      <c r="L276" s="424"/>
      <c r="M276" s="521"/>
      <c r="N276" s="528" t="e">
        <f t="shared" si="13"/>
        <v>#N/A</v>
      </c>
      <c r="O276" s="529"/>
      <c r="P276" s="530"/>
      <c r="Q276" s="421"/>
      <c r="R276" s="525"/>
      <c r="S276" s="69"/>
      <c r="T276" s="23"/>
      <c r="U276" s="369">
        <f t="shared" si="15"/>
        <v>0</v>
      </c>
      <c r="V276" s="370"/>
      <c r="W276" s="1"/>
      <c r="X276" s="15"/>
      <c r="Y276" s="15"/>
      <c r="Z276" s="15"/>
      <c r="AA276" s="15"/>
      <c r="AB276" s="15"/>
      <c r="AC276" s="16"/>
      <c r="AG276" s="87"/>
      <c r="AH276" s="87"/>
    </row>
    <row r="277" spans="1:34" hidden="1">
      <c r="A277" s="1"/>
      <c r="B277" s="12" t="s">
        <v>113</v>
      </c>
      <c r="C277" s="423"/>
      <c r="D277" s="424"/>
      <c r="E277" s="424"/>
      <c r="F277" s="424"/>
      <c r="G277" s="424"/>
      <c r="H277" s="424"/>
      <c r="I277" s="424"/>
      <c r="J277" s="424"/>
      <c r="K277" s="424"/>
      <c r="L277" s="424"/>
      <c r="M277" s="521"/>
      <c r="N277" s="528" t="e">
        <f t="shared" si="13"/>
        <v>#N/A</v>
      </c>
      <c r="O277" s="529"/>
      <c r="P277" s="530"/>
      <c r="Q277" s="421"/>
      <c r="R277" s="525"/>
      <c r="S277" s="69"/>
      <c r="T277" s="23"/>
      <c r="U277" s="369">
        <f t="shared" si="15"/>
        <v>0</v>
      </c>
      <c r="V277" s="370"/>
      <c r="W277" s="1"/>
      <c r="X277" s="15"/>
      <c r="Y277" s="15"/>
      <c r="Z277" s="15"/>
      <c r="AA277" s="15"/>
      <c r="AB277" s="15"/>
      <c r="AC277" s="16"/>
      <c r="AG277" s="87"/>
      <c r="AH277" s="87"/>
    </row>
    <row r="278" spans="1:34" hidden="1">
      <c r="A278" s="1"/>
      <c r="B278" s="12" t="s">
        <v>114</v>
      </c>
      <c r="C278" s="423"/>
      <c r="D278" s="424"/>
      <c r="E278" s="424"/>
      <c r="F278" s="424"/>
      <c r="G278" s="424"/>
      <c r="H278" s="424"/>
      <c r="I278" s="424"/>
      <c r="J278" s="424"/>
      <c r="K278" s="424"/>
      <c r="L278" s="424"/>
      <c r="M278" s="521"/>
      <c r="N278" s="528" t="e">
        <f t="shared" si="13"/>
        <v>#N/A</v>
      </c>
      <c r="O278" s="529"/>
      <c r="P278" s="530"/>
      <c r="Q278" s="421"/>
      <c r="R278" s="525"/>
      <c r="S278" s="69"/>
      <c r="T278" s="23"/>
      <c r="U278" s="369">
        <f t="shared" si="15"/>
        <v>0</v>
      </c>
      <c r="V278" s="370"/>
      <c r="W278" s="1"/>
      <c r="X278" s="15"/>
      <c r="Y278" s="15"/>
      <c r="Z278" s="15"/>
      <c r="AA278" s="15"/>
      <c r="AB278" s="15"/>
      <c r="AC278" s="16"/>
      <c r="AG278" s="87"/>
      <c r="AH278" s="87"/>
    </row>
    <row r="279" spans="1:34" hidden="1">
      <c r="A279" s="1"/>
      <c r="B279" s="12" t="s">
        <v>115</v>
      </c>
      <c r="C279" s="423"/>
      <c r="D279" s="424"/>
      <c r="E279" s="424"/>
      <c r="F279" s="424"/>
      <c r="G279" s="424"/>
      <c r="H279" s="424"/>
      <c r="I279" s="424"/>
      <c r="J279" s="424"/>
      <c r="K279" s="424"/>
      <c r="L279" s="424"/>
      <c r="M279" s="521"/>
      <c r="N279" s="528" t="e">
        <f t="shared" si="13"/>
        <v>#N/A</v>
      </c>
      <c r="O279" s="529"/>
      <c r="P279" s="530"/>
      <c r="Q279" s="421"/>
      <c r="R279" s="525"/>
      <c r="S279" s="69"/>
      <c r="T279" s="23"/>
      <c r="U279" s="369">
        <f t="shared" si="15"/>
        <v>0</v>
      </c>
      <c r="V279" s="370"/>
      <c r="W279" s="1"/>
      <c r="X279" s="15"/>
      <c r="Y279" s="15"/>
      <c r="Z279" s="15"/>
      <c r="AA279" s="15"/>
      <c r="AB279" s="15"/>
      <c r="AC279" s="16"/>
      <c r="AG279" s="87"/>
      <c r="AH279" s="87"/>
    </row>
    <row r="280" spans="1:34" hidden="1">
      <c r="A280" s="1"/>
      <c r="B280" s="12" t="s">
        <v>116</v>
      </c>
      <c r="C280" s="423"/>
      <c r="D280" s="424"/>
      <c r="E280" s="424"/>
      <c r="F280" s="424"/>
      <c r="G280" s="424"/>
      <c r="H280" s="424"/>
      <c r="I280" s="424"/>
      <c r="J280" s="424"/>
      <c r="K280" s="424"/>
      <c r="L280" s="424"/>
      <c r="M280" s="521"/>
      <c r="N280" s="528" t="e">
        <f t="shared" ref="N280:N295" si="16">VLOOKUP(C280,HW_Desc_Model,2,FALSE)</f>
        <v>#N/A</v>
      </c>
      <c r="O280" s="529"/>
      <c r="P280" s="530"/>
      <c r="Q280" s="421"/>
      <c r="R280" s="525"/>
      <c r="S280" s="69"/>
      <c r="T280" s="23"/>
      <c r="U280" s="369">
        <f t="shared" si="15"/>
        <v>0</v>
      </c>
      <c r="V280" s="370"/>
      <c r="W280" s="1"/>
      <c r="X280" s="15"/>
      <c r="Y280" s="15"/>
      <c r="Z280" s="15"/>
      <c r="AA280" s="15"/>
      <c r="AB280" s="15"/>
      <c r="AC280" s="16"/>
      <c r="AG280" s="87"/>
      <c r="AH280" s="87"/>
    </row>
    <row r="281" spans="1:34" hidden="1">
      <c r="A281" s="1"/>
      <c r="B281" s="12" t="s">
        <v>23</v>
      </c>
      <c r="C281" s="423"/>
      <c r="D281" s="424"/>
      <c r="E281" s="424"/>
      <c r="F281" s="424"/>
      <c r="G281" s="424"/>
      <c r="H281" s="424"/>
      <c r="I281" s="424"/>
      <c r="J281" s="424"/>
      <c r="K281" s="424"/>
      <c r="L281" s="424"/>
      <c r="M281" s="521"/>
      <c r="N281" s="528" t="e">
        <f t="shared" si="16"/>
        <v>#N/A</v>
      </c>
      <c r="O281" s="529"/>
      <c r="P281" s="530"/>
      <c r="Q281" s="421"/>
      <c r="R281" s="525"/>
      <c r="S281" s="69"/>
      <c r="T281" s="23"/>
      <c r="U281" s="369">
        <f t="shared" si="15"/>
        <v>0</v>
      </c>
      <c r="V281" s="370"/>
      <c r="W281" s="1"/>
      <c r="X281" s="15"/>
      <c r="Y281" s="15"/>
      <c r="Z281" s="15"/>
      <c r="AA281" s="15"/>
      <c r="AB281" s="15"/>
      <c r="AC281" s="16"/>
      <c r="AG281" s="87"/>
      <c r="AH281" s="87"/>
    </row>
    <row r="282" spans="1:34" hidden="1">
      <c r="A282" s="1"/>
      <c r="B282" s="12" t="s">
        <v>24</v>
      </c>
      <c r="C282" s="423"/>
      <c r="D282" s="424"/>
      <c r="E282" s="424"/>
      <c r="F282" s="424"/>
      <c r="G282" s="424"/>
      <c r="H282" s="424"/>
      <c r="I282" s="424"/>
      <c r="J282" s="424"/>
      <c r="K282" s="424"/>
      <c r="L282" s="424"/>
      <c r="M282" s="521"/>
      <c r="N282" s="528" t="e">
        <f t="shared" si="16"/>
        <v>#N/A</v>
      </c>
      <c r="O282" s="529"/>
      <c r="P282" s="530"/>
      <c r="Q282" s="421"/>
      <c r="R282" s="525"/>
      <c r="S282" s="69"/>
      <c r="T282" s="23"/>
      <c r="U282" s="369">
        <f t="shared" si="15"/>
        <v>0</v>
      </c>
      <c r="V282" s="370"/>
      <c r="W282" s="1"/>
      <c r="X282" s="15"/>
      <c r="Y282" s="15"/>
      <c r="Z282" s="15"/>
      <c r="AA282" s="15"/>
      <c r="AB282" s="15"/>
      <c r="AC282" s="16"/>
      <c r="AG282" s="87"/>
      <c r="AH282" s="87"/>
    </row>
    <row r="283" spans="1:34" hidden="1">
      <c r="A283" s="1"/>
      <c r="B283" s="12" t="s">
        <v>25</v>
      </c>
      <c r="C283" s="423"/>
      <c r="D283" s="424"/>
      <c r="E283" s="424"/>
      <c r="F283" s="424"/>
      <c r="G283" s="424"/>
      <c r="H283" s="424"/>
      <c r="I283" s="424"/>
      <c r="J283" s="424"/>
      <c r="K283" s="424"/>
      <c r="L283" s="424"/>
      <c r="M283" s="521"/>
      <c r="N283" s="528" t="e">
        <f t="shared" si="16"/>
        <v>#N/A</v>
      </c>
      <c r="O283" s="529"/>
      <c r="P283" s="530"/>
      <c r="Q283" s="421"/>
      <c r="R283" s="525"/>
      <c r="S283" s="69"/>
      <c r="T283" s="23"/>
      <c r="U283" s="369">
        <f t="shared" si="15"/>
        <v>0</v>
      </c>
      <c r="V283" s="370"/>
      <c r="W283" s="1"/>
      <c r="X283" s="15"/>
      <c r="Y283" s="15"/>
      <c r="Z283" s="15"/>
      <c r="AA283" s="15"/>
      <c r="AB283" s="15"/>
      <c r="AC283" s="16"/>
      <c r="AG283" s="87"/>
      <c r="AH283" s="87"/>
    </row>
    <row r="284" spans="1:34" hidden="1">
      <c r="A284" s="1"/>
      <c r="B284" s="12" t="s">
        <v>26</v>
      </c>
      <c r="C284" s="423"/>
      <c r="D284" s="424"/>
      <c r="E284" s="424"/>
      <c r="F284" s="424"/>
      <c r="G284" s="424"/>
      <c r="H284" s="424"/>
      <c r="I284" s="424"/>
      <c r="J284" s="424"/>
      <c r="K284" s="424"/>
      <c r="L284" s="424"/>
      <c r="M284" s="521"/>
      <c r="N284" s="528" t="e">
        <f t="shared" si="16"/>
        <v>#N/A</v>
      </c>
      <c r="O284" s="529"/>
      <c r="P284" s="530"/>
      <c r="Q284" s="421"/>
      <c r="R284" s="525"/>
      <c r="S284" s="69"/>
      <c r="T284" s="23"/>
      <c r="U284" s="369">
        <f t="shared" si="15"/>
        <v>0</v>
      </c>
      <c r="V284" s="370"/>
      <c r="W284" s="1"/>
      <c r="X284" s="15"/>
      <c r="Y284" s="15"/>
      <c r="Z284" s="15"/>
      <c r="AA284" s="15"/>
      <c r="AB284" s="15"/>
      <c r="AC284" s="16"/>
      <c r="AG284" s="87"/>
      <c r="AH284" s="87"/>
    </row>
    <row r="285" spans="1:34" hidden="1">
      <c r="A285" s="1"/>
      <c r="B285" s="12" t="s">
        <v>27</v>
      </c>
      <c r="C285" s="423"/>
      <c r="D285" s="424"/>
      <c r="E285" s="424"/>
      <c r="F285" s="424"/>
      <c r="G285" s="424"/>
      <c r="H285" s="424"/>
      <c r="I285" s="424"/>
      <c r="J285" s="424"/>
      <c r="K285" s="424"/>
      <c r="L285" s="424"/>
      <c r="M285" s="521"/>
      <c r="N285" s="528" t="e">
        <f t="shared" si="16"/>
        <v>#N/A</v>
      </c>
      <c r="O285" s="529"/>
      <c r="P285" s="530"/>
      <c r="Q285" s="421"/>
      <c r="R285" s="525"/>
      <c r="S285" s="69"/>
      <c r="T285" s="23"/>
      <c r="U285" s="369">
        <f t="shared" si="15"/>
        <v>0</v>
      </c>
      <c r="V285" s="370"/>
      <c r="W285" s="1"/>
      <c r="X285" s="15"/>
      <c r="Y285" s="15"/>
      <c r="Z285" s="15"/>
      <c r="AA285" s="15"/>
      <c r="AB285" s="15"/>
      <c r="AC285" s="16"/>
      <c r="AG285" s="87"/>
      <c r="AH285" s="87"/>
    </row>
    <row r="286" spans="1:34" hidden="1">
      <c r="A286" s="1"/>
      <c r="B286" s="12" t="s">
        <v>28</v>
      </c>
      <c r="C286" s="423"/>
      <c r="D286" s="424"/>
      <c r="E286" s="424"/>
      <c r="F286" s="424"/>
      <c r="G286" s="424"/>
      <c r="H286" s="424"/>
      <c r="I286" s="424"/>
      <c r="J286" s="424"/>
      <c r="K286" s="424"/>
      <c r="L286" s="424"/>
      <c r="M286" s="521"/>
      <c r="N286" s="528" t="e">
        <f t="shared" si="16"/>
        <v>#N/A</v>
      </c>
      <c r="O286" s="529"/>
      <c r="P286" s="530"/>
      <c r="Q286" s="421"/>
      <c r="R286" s="525"/>
      <c r="S286" s="69"/>
      <c r="T286" s="23"/>
      <c r="U286" s="369">
        <f t="shared" si="15"/>
        <v>0</v>
      </c>
      <c r="V286" s="370"/>
      <c r="W286" s="1"/>
      <c r="X286" s="15"/>
      <c r="Y286" s="15"/>
      <c r="Z286" s="15"/>
      <c r="AA286" s="15"/>
      <c r="AB286" s="15"/>
      <c r="AC286" s="16"/>
      <c r="AG286" s="87"/>
      <c r="AH286" s="87"/>
    </row>
    <row r="287" spans="1:34" hidden="1">
      <c r="A287" s="1"/>
      <c r="B287" s="12" t="s">
        <v>29</v>
      </c>
      <c r="C287" s="423"/>
      <c r="D287" s="424"/>
      <c r="E287" s="424"/>
      <c r="F287" s="424"/>
      <c r="G287" s="424"/>
      <c r="H287" s="424"/>
      <c r="I287" s="424"/>
      <c r="J287" s="424"/>
      <c r="K287" s="424"/>
      <c r="L287" s="424"/>
      <c r="M287" s="521"/>
      <c r="N287" s="528" t="e">
        <f t="shared" si="16"/>
        <v>#N/A</v>
      </c>
      <c r="O287" s="529"/>
      <c r="P287" s="530"/>
      <c r="Q287" s="421"/>
      <c r="R287" s="525"/>
      <c r="S287" s="69"/>
      <c r="T287" s="23"/>
      <c r="U287" s="369">
        <f t="shared" si="15"/>
        <v>0</v>
      </c>
      <c r="V287" s="370"/>
      <c r="W287" s="1"/>
      <c r="X287" s="15"/>
      <c r="Y287" s="15"/>
      <c r="Z287" s="15"/>
      <c r="AA287" s="15"/>
      <c r="AB287" s="15"/>
      <c r="AC287" s="16"/>
      <c r="AG287" s="87"/>
      <c r="AH287" s="87"/>
    </row>
    <row r="288" spans="1:34" hidden="1">
      <c r="A288" s="1"/>
      <c r="B288" s="12" t="s">
        <v>30</v>
      </c>
      <c r="C288" s="423"/>
      <c r="D288" s="424"/>
      <c r="E288" s="424"/>
      <c r="F288" s="424"/>
      <c r="G288" s="424"/>
      <c r="H288" s="424"/>
      <c r="I288" s="424"/>
      <c r="J288" s="424"/>
      <c r="K288" s="424"/>
      <c r="L288" s="424"/>
      <c r="M288" s="521"/>
      <c r="N288" s="528" t="e">
        <f t="shared" si="16"/>
        <v>#N/A</v>
      </c>
      <c r="O288" s="529"/>
      <c r="P288" s="530"/>
      <c r="Q288" s="421"/>
      <c r="R288" s="525"/>
      <c r="S288" s="69"/>
      <c r="T288" s="23"/>
      <c r="U288" s="369">
        <f t="shared" si="15"/>
        <v>0</v>
      </c>
      <c r="V288" s="370"/>
      <c r="W288" s="1"/>
      <c r="X288" s="15"/>
      <c r="Y288" s="15"/>
      <c r="Z288" s="15"/>
      <c r="AA288" s="15"/>
      <c r="AB288" s="15"/>
      <c r="AC288" s="16"/>
      <c r="AG288" s="87"/>
      <c r="AH288" s="87"/>
    </row>
    <row r="289" spans="1:49" hidden="1">
      <c r="A289" s="1"/>
      <c r="B289" s="12" t="s">
        <v>31</v>
      </c>
      <c r="C289" s="423"/>
      <c r="D289" s="424"/>
      <c r="E289" s="424"/>
      <c r="F289" s="424"/>
      <c r="G289" s="424"/>
      <c r="H289" s="424"/>
      <c r="I289" s="424"/>
      <c r="J289" s="424"/>
      <c r="K289" s="424"/>
      <c r="L289" s="424"/>
      <c r="M289" s="521"/>
      <c r="N289" s="528" t="e">
        <f t="shared" si="16"/>
        <v>#N/A</v>
      </c>
      <c r="O289" s="529"/>
      <c r="P289" s="530"/>
      <c r="Q289" s="421"/>
      <c r="R289" s="525"/>
      <c r="S289" s="69"/>
      <c r="T289" s="23"/>
      <c r="U289" s="369">
        <f t="shared" si="15"/>
        <v>0</v>
      </c>
      <c r="V289" s="370"/>
      <c r="W289" s="1"/>
      <c r="X289" s="15"/>
      <c r="Y289" s="15"/>
      <c r="Z289" s="15"/>
      <c r="AA289" s="15"/>
      <c r="AB289" s="15"/>
      <c r="AC289" s="16"/>
      <c r="AG289" s="87"/>
      <c r="AH289" s="87"/>
    </row>
    <row r="290" spans="1:49" hidden="1">
      <c r="A290" s="1"/>
      <c r="B290" s="12" t="s">
        <v>32</v>
      </c>
      <c r="C290" s="423"/>
      <c r="D290" s="424"/>
      <c r="E290" s="424"/>
      <c r="F290" s="424"/>
      <c r="G290" s="424"/>
      <c r="H290" s="424"/>
      <c r="I290" s="424"/>
      <c r="J290" s="424"/>
      <c r="K290" s="424"/>
      <c r="L290" s="424"/>
      <c r="M290" s="521"/>
      <c r="N290" s="528" t="e">
        <f t="shared" si="16"/>
        <v>#N/A</v>
      </c>
      <c r="O290" s="529"/>
      <c r="P290" s="530"/>
      <c r="Q290" s="421"/>
      <c r="R290" s="525"/>
      <c r="S290" s="69"/>
      <c r="T290" s="23"/>
      <c r="U290" s="369">
        <f t="shared" si="15"/>
        <v>0</v>
      </c>
      <c r="V290" s="370"/>
      <c r="W290" s="1"/>
      <c r="X290" s="15"/>
      <c r="Y290" s="15"/>
      <c r="Z290" s="15"/>
      <c r="AA290" s="15"/>
      <c r="AB290" s="15"/>
      <c r="AC290" s="16"/>
      <c r="AG290" s="87"/>
      <c r="AH290" s="87"/>
    </row>
    <row r="291" spans="1:49" hidden="1">
      <c r="A291" s="1"/>
      <c r="B291" s="12" t="s">
        <v>0</v>
      </c>
      <c r="C291" s="423"/>
      <c r="D291" s="424"/>
      <c r="E291" s="424"/>
      <c r="F291" s="424"/>
      <c r="G291" s="424"/>
      <c r="H291" s="424"/>
      <c r="I291" s="424"/>
      <c r="J291" s="424"/>
      <c r="K291" s="424"/>
      <c r="L291" s="424"/>
      <c r="M291" s="521"/>
      <c r="N291" s="528" t="e">
        <f t="shared" si="16"/>
        <v>#N/A</v>
      </c>
      <c r="O291" s="529"/>
      <c r="P291" s="530"/>
      <c r="Q291" s="421"/>
      <c r="R291" s="525"/>
      <c r="S291" s="69"/>
      <c r="T291" s="23"/>
      <c r="U291" s="369">
        <f t="shared" si="15"/>
        <v>0</v>
      </c>
      <c r="V291" s="370"/>
      <c r="W291" s="1"/>
      <c r="X291" s="15"/>
      <c r="Y291" s="15"/>
      <c r="Z291" s="15"/>
      <c r="AA291" s="15"/>
      <c r="AB291" s="15"/>
      <c r="AC291" s="16"/>
      <c r="AG291" s="87"/>
      <c r="AH291" s="87"/>
    </row>
    <row r="292" spans="1:49" hidden="1">
      <c r="A292" s="1"/>
      <c r="B292" s="12" t="s">
        <v>1</v>
      </c>
      <c r="C292" s="423"/>
      <c r="D292" s="424"/>
      <c r="E292" s="424"/>
      <c r="F292" s="424"/>
      <c r="G292" s="424"/>
      <c r="H292" s="424"/>
      <c r="I292" s="424"/>
      <c r="J292" s="424"/>
      <c r="K292" s="424"/>
      <c r="L292" s="424"/>
      <c r="M292" s="521"/>
      <c r="N292" s="528" t="e">
        <f t="shared" si="16"/>
        <v>#N/A</v>
      </c>
      <c r="O292" s="529"/>
      <c r="P292" s="530"/>
      <c r="Q292" s="421"/>
      <c r="R292" s="525"/>
      <c r="S292" s="69"/>
      <c r="T292" s="23"/>
      <c r="U292" s="369">
        <f t="shared" si="15"/>
        <v>0</v>
      </c>
      <c r="V292" s="370"/>
      <c r="W292" s="1"/>
      <c r="X292" s="15"/>
      <c r="Y292" s="15"/>
      <c r="Z292" s="15"/>
      <c r="AA292" s="15"/>
      <c r="AB292" s="15"/>
      <c r="AC292" s="16"/>
      <c r="AG292" s="87"/>
      <c r="AH292" s="87"/>
    </row>
    <row r="293" spans="1:49" hidden="1">
      <c r="A293" s="1"/>
      <c r="B293" s="12" t="s">
        <v>2</v>
      </c>
      <c r="C293" s="423"/>
      <c r="D293" s="424"/>
      <c r="E293" s="424"/>
      <c r="F293" s="424"/>
      <c r="G293" s="424"/>
      <c r="H293" s="424"/>
      <c r="I293" s="424"/>
      <c r="J293" s="424"/>
      <c r="K293" s="424"/>
      <c r="L293" s="424"/>
      <c r="M293" s="521"/>
      <c r="N293" s="528" t="e">
        <f t="shared" si="16"/>
        <v>#N/A</v>
      </c>
      <c r="O293" s="529"/>
      <c r="P293" s="530"/>
      <c r="Q293" s="421"/>
      <c r="R293" s="525"/>
      <c r="S293" s="69"/>
      <c r="T293" s="23"/>
      <c r="U293" s="369">
        <f t="shared" si="15"/>
        <v>0</v>
      </c>
      <c r="V293" s="370"/>
      <c r="W293" s="1"/>
      <c r="X293" s="15"/>
      <c r="Y293" s="15"/>
      <c r="Z293" s="15"/>
      <c r="AA293" s="15"/>
      <c r="AB293" s="15"/>
      <c r="AC293" s="16"/>
      <c r="AG293" s="87"/>
      <c r="AH293" s="87"/>
    </row>
    <row r="294" spans="1:49" hidden="1">
      <c r="A294" s="1"/>
      <c r="B294" s="12" t="s">
        <v>3</v>
      </c>
      <c r="C294" s="423"/>
      <c r="D294" s="424"/>
      <c r="E294" s="424"/>
      <c r="F294" s="424"/>
      <c r="G294" s="424"/>
      <c r="H294" s="424"/>
      <c r="I294" s="424"/>
      <c r="J294" s="424"/>
      <c r="K294" s="424"/>
      <c r="L294" s="424"/>
      <c r="M294" s="521"/>
      <c r="N294" s="528" t="e">
        <f t="shared" si="16"/>
        <v>#N/A</v>
      </c>
      <c r="O294" s="529"/>
      <c r="P294" s="530"/>
      <c r="Q294" s="421"/>
      <c r="R294" s="525"/>
      <c r="S294" s="69"/>
      <c r="T294" s="23"/>
      <c r="U294" s="369">
        <f t="shared" si="15"/>
        <v>0</v>
      </c>
      <c r="V294" s="370"/>
      <c r="W294" s="1"/>
      <c r="X294" s="15"/>
      <c r="Y294" s="15"/>
      <c r="Z294" s="15"/>
      <c r="AA294" s="15"/>
      <c r="AB294" s="15"/>
      <c r="AC294" s="16"/>
      <c r="AG294" s="87"/>
      <c r="AH294" s="87"/>
    </row>
    <row r="295" spans="1:49" hidden="1">
      <c r="A295" s="1"/>
      <c r="B295" s="12" t="s">
        <v>4</v>
      </c>
      <c r="C295" s="507"/>
      <c r="D295" s="508"/>
      <c r="E295" s="508"/>
      <c r="F295" s="508"/>
      <c r="G295" s="508"/>
      <c r="H295" s="508"/>
      <c r="I295" s="508"/>
      <c r="J295" s="508"/>
      <c r="K295" s="508"/>
      <c r="L295" s="508"/>
      <c r="M295" s="533"/>
      <c r="N295" s="528" t="e">
        <f t="shared" si="16"/>
        <v>#N/A</v>
      </c>
      <c r="O295" s="529"/>
      <c r="P295" s="530"/>
      <c r="Q295" s="421"/>
      <c r="R295" s="525"/>
      <c r="S295" s="69"/>
      <c r="T295" s="23"/>
      <c r="U295" s="369">
        <f t="shared" si="15"/>
        <v>0</v>
      </c>
      <c r="V295" s="370"/>
      <c r="W295" s="1"/>
      <c r="X295" s="15"/>
      <c r="Y295" s="15"/>
      <c r="Z295" s="15"/>
      <c r="AA295" s="15"/>
      <c r="AB295" s="15"/>
      <c r="AC295" s="16"/>
      <c r="AG295" s="87"/>
      <c r="AH295" s="87"/>
    </row>
    <row r="296" spans="1:49" ht="20.5" customHeight="1">
      <c r="A296" s="1"/>
      <c r="B296" s="89" t="s">
        <v>463</v>
      </c>
      <c r="C296" s="1"/>
      <c r="D296" s="1"/>
      <c r="E296" s="1"/>
      <c r="F296" s="1"/>
      <c r="G296" s="1"/>
      <c r="H296" s="1"/>
      <c r="I296" s="1"/>
      <c r="J296" s="509" t="s">
        <v>464</v>
      </c>
      <c r="K296" s="509"/>
      <c r="L296" s="509"/>
      <c r="M296" s="509"/>
      <c r="N296" s="88" t="s">
        <v>172</v>
      </c>
      <c r="O296" s="1"/>
      <c r="P296" s="88" t="s">
        <v>171</v>
      </c>
      <c r="Q296" s="1"/>
      <c r="R296" s="1"/>
      <c r="S296" s="1"/>
      <c r="T296" s="1"/>
      <c r="U296" s="1"/>
      <c r="W296" s="1"/>
      <c r="X296" s="15"/>
      <c r="Y296" s="15"/>
      <c r="Z296" s="15"/>
      <c r="AA296" s="15"/>
      <c r="AB296" s="15"/>
      <c r="AC296" s="16"/>
      <c r="AG296" s="87"/>
      <c r="AH296" s="87"/>
    </row>
    <row r="297" spans="1:49" s="105" customFormat="1" ht="30" hidden="1" customHeight="1">
      <c r="A297" s="97"/>
      <c r="B297" s="98"/>
      <c r="C297" s="111" t="s">
        <v>132</v>
      </c>
      <c r="D297" s="97"/>
      <c r="E297" s="97"/>
      <c r="F297" s="97"/>
      <c r="G297" s="108"/>
      <c r="H297" s="97"/>
      <c r="J297" s="98" t="s">
        <v>99</v>
      </c>
      <c r="K297" s="98"/>
      <c r="L297" s="112"/>
      <c r="M297" s="98" t="s">
        <v>128</v>
      </c>
      <c r="N297" s="112"/>
      <c r="O297" s="183" t="s">
        <v>251</v>
      </c>
      <c r="P297" s="183"/>
      <c r="Q297" s="98" t="s">
        <v>158</v>
      </c>
      <c r="R297" s="112"/>
      <c r="S297" s="96" t="s">
        <v>182</v>
      </c>
      <c r="T297" s="98" t="s">
        <v>127</v>
      </c>
      <c r="U297" s="98" t="s">
        <v>123</v>
      </c>
      <c r="V297" s="98"/>
      <c r="W297" s="97"/>
      <c r="X297" s="103"/>
      <c r="Y297" s="103"/>
      <c r="Z297" s="103"/>
      <c r="AA297" s="103"/>
      <c r="AB297" s="103"/>
      <c r="AC297" s="104"/>
      <c r="AD297" s="306"/>
      <c r="AE297" s="74"/>
      <c r="AF297" s="74"/>
      <c r="AG297" s="87"/>
      <c r="AH297" s="87"/>
      <c r="AI297" s="74"/>
      <c r="AJ297" s="74"/>
      <c r="AK297" s="74"/>
      <c r="AL297" s="74"/>
      <c r="AM297" s="74"/>
      <c r="AN297" s="74"/>
      <c r="AO297" s="74"/>
      <c r="AP297" s="74"/>
      <c r="AQ297" s="74"/>
      <c r="AR297" s="74"/>
      <c r="AS297" s="74"/>
      <c r="AT297" s="74"/>
      <c r="AU297" s="74"/>
      <c r="AV297" s="74"/>
      <c r="AW297" s="74"/>
    </row>
    <row r="298" spans="1:49" hidden="1">
      <c r="A298" s="1"/>
      <c r="B298" s="12" t="s">
        <v>466</v>
      </c>
      <c r="C298" s="543" t="s">
        <v>18</v>
      </c>
      <c r="D298" s="544"/>
      <c r="E298" s="544"/>
      <c r="F298" s="544"/>
      <c r="G298" s="544"/>
      <c r="H298" s="544"/>
      <c r="I298" s="545"/>
      <c r="J298" s="541" t="str">
        <f t="shared" ref="J298:J317" si="17">VLOOKUP(C298,PAHW_Desc_Model,2,FALSE)</f>
        <v>(Model/Part #  Lookup)</v>
      </c>
      <c r="K298" s="541"/>
      <c r="L298" s="542"/>
      <c r="M298" s="526" t="str">
        <f t="shared" ref="M298:M317" si="18">VLOOKUP(C298,PAHW_Desc_Vendor,3,FALSE)</f>
        <v>(Vendor)</v>
      </c>
      <c r="N298" s="527"/>
      <c r="O298" s="551" t="str">
        <f t="shared" ref="O298:O317" si="19">VLOOKUP(C298,PAHW_Desc_Prev_RAP,4,FALSE)</f>
        <v>(RAP #)</v>
      </c>
      <c r="P298" s="527"/>
      <c r="Q298" s="534"/>
      <c r="R298" s="535"/>
      <c r="S298" s="69"/>
      <c r="T298" s="23"/>
      <c r="U298" s="374">
        <f t="shared" ref="U298" si="20">IF(OR(C298="",C298="&lt;Select HW Description&gt;"),0,T298*VLOOKUP(C298,PAHW_Desc_Price,5,FALSE)*IF(S298="",1,0))</f>
        <v>0</v>
      </c>
      <c r="V298" s="370"/>
      <c r="W298" s="1"/>
      <c r="X298" s="15"/>
      <c r="Y298" s="15"/>
      <c r="Z298" s="15"/>
      <c r="AA298" s="15"/>
      <c r="AB298" s="15"/>
      <c r="AC298" s="16"/>
      <c r="AD298" s="307"/>
      <c r="AG298" s="87"/>
      <c r="AH298" s="87"/>
    </row>
    <row r="299" spans="1:49" hidden="1">
      <c r="A299" s="1"/>
      <c r="B299" s="12" t="s">
        <v>467</v>
      </c>
      <c r="C299" s="522"/>
      <c r="D299" s="523"/>
      <c r="E299" s="523"/>
      <c r="F299" s="523"/>
      <c r="G299" s="523"/>
      <c r="H299" s="523"/>
      <c r="I299" s="524"/>
      <c r="J299" s="536" t="e">
        <f t="shared" si="17"/>
        <v>#N/A</v>
      </c>
      <c r="K299" s="536"/>
      <c r="L299" s="537"/>
      <c r="M299" s="540" t="e">
        <f t="shared" si="18"/>
        <v>#N/A</v>
      </c>
      <c r="N299" s="539"/>
      <c r="O299" s="538" t="e">
        <f t="shared" si="19"/>
        <v>#N/A</v>
      </c>
      <c r="P299" s="539"/>
      <c r="Q299" s="534"/>
      <c r="R299" s="535"/>
      <c r="S299" s="69"/>
      <c r="T299" s="23"/>
      <c r="U299" s="374">
        <f t="shared" ref="U299:U317" si="21">IF(OR(C299="",C299="&lt;Select HW Description&gt;"),0,T299*VLOOKUP(C299,PAHW_Desc_Price,5,FALSE)*IF(S299="",1,0))</f>
        <v>0</v>
      </c>
      <c r="V299" s="370"/>
      <c r="W299" s="1"/>
      <c r="X299" s="15"/>
      <c r="Y299" s="15"/>
      <c r="Z299" s="15"/>
      <c r="AA299" s="15"/>
      <c r="AB299" s="15"/>
      <c r="AC299" s="16"/>
      <c r="AD299" s="307"/>
      <c r="AG299" s="87"/>
      <c r="AH299" s="87"/>
    </row>
    <row r="300" spans="1:49" hidden="1">
      <c r="A300" s="1"/>
      <c r="B300" s="12" t="s">
        <v>468</v>
      </c>
      <c r="C300" s="522"/>
      <c r="D300" s="523"/>
      <c r="E300" s="523"/>
      <c r="F300" s="523"/>
      <c r="G300" s="523"/>
      <c r="H300" s="523"/>
      <c r="I300" s="524"/>
      <c r="J300" s="536" t="e">
        <f t="shared" si="17"/>
        <v>#N/A</v>
      </c>
      <c r="K300" s="536"/>
      <c r="L300" s="537"/>
      <c r="M300" s="540" t="e">
        <f t="shared" si="18"/>
        <v>#N/A</v>
      </c>
      <c r="N300" s="539"/>
      <c r="O300" s="538" t="e">
        <f t="shared" si="19"/>
        <v>#N/A</v>
      </c>
      <c r="P300" s="539"/>
      <c r="Q300" s="534"/>
      <c r="R300" s="535"/>
      <c r="S300" s="69"/>
      <c r="T300" s="23"/>
      <c r="U300" s="374">
        <f t="shared" si="21"/>
        <v>0</v>
      </c>
      <c r="V300" s="370"/>
      <c r="W300" s="1"/>
      <c r="X300" s="15"/>
      <c r="Y300" s="15"/>
      <c r="Z300" s="15"/>
      <c r="AA300" s="15"/>
      <c r="AB300" s="15"/>
      <c r="AC300" s="16"/>
      <c r="AD300" s="307"/>
      <c r="AG300" s="87"/>
      <c r="AH300" s="87"/>
    </row>
    <row r="301" spans="1:49" hidden="1">
      <c r="A301" s="1"/>
      <c r="B301" s="12" t="s">
        <v>469</v>
      </c>
      <c r="C301" s="522"/>
      <c r="D301" s="523"/>
      <c r="E301" s="523"/>
      <c r="F301" s="523"/>
      <c r="G301" s="523"/>
      <c r="H301" s="523"/>
      <c r="I301" s="524"/>
      <c r="J301" s="536" t="e">
        <f t="shared" si="17"/>
        <v>#N/A</v>
      </c>
      <c r="K301" s="536"/>
      <c r="L301" s="537"/>
      <c r="M301" s="540" t="e">
        <f t="shared" si="18"/>
        <v>#N/A</v>
      </c>
      <c r="N301" s="539"/>
      <c r="O301" s="538" t="e">
        <f t="shared" si="19"/>
        <v>#N/A</v>
      </c>
      <c r="P301" s="539"/>
      <c r="Q301" s="534"/>
      <c r="R301" s="535"/>
      <c r="S301" s="69"/>
      <c r="T301" s="23"/>
      <c r="U301" s="374">
        <f t="shared" si="21"/>
        <v>0</v>
      </c>
      <c r="V301" s="370"/>
      <c r="W301" s="1"/>
      <c r="X301" s="15"/>
      <c r="Y301" s="15"/>
      <c r="Z301" s="15"/>
      <c r="AA301" s="15"/>
      <c r="AB301" s="15"/>
      <c r="AC301" s="16"/>
      <c r="AD301" s="307"/>
      <c r="AG301" s="87"/>
      <c r="AH301" s="87"/>
    </row>
    <row r="302" spans="1:49" hidden="1">
      <c r="A302" s="1"/>
      <c r="B302" s="12" t="s">
        <v>470</v>
      </c>
      <c r="C302" s="522"/>
      <c r="D302" s="523"/>
      <c r="E302" s="523"/>
      <c r="F302" s="523"/>
      <c r="G302" s="523"/>
      <c r="H302" s="523"/>
      <c r="I302" s="524"/>
      <c r="J302" s="536" t="e">
        <f t="shared" si="17"/>
        <v>#N/A</v>
      </c>
      <c r="K302" s="536"/>
      <c r="L302" s="537"/>
      <c r="M302" s="540" t="e">
        <f t="shared" si="18"/>
        <v>#N/A</v>
      </c>
      <c r="N302" s="539"/>
      <c r="O302" s="538" t="e">
        <f t="shared" si="19"/>
        <v>#N/A</v>
      </c>
      <c r="P302" s="539"/>
      <c r="Q302" s="534"/>
      <c r="R302" s="535"/>
      <c r="S302" s="69"/>
      <c r="T302" s="23"/>
      <c r="U302" s="374">
        <f t="shared" si="21"/>
        <v>0</v>
      </c>
      <c r="V302" s="370"/>
      <c r="W302" s="1"/>
      <c r="X302" s="15"/>
      <c r="Y302" s="15"/>
      <c r="Z302" s="15"/>
      <c r="AA302" s="15"/>
      <c r="AB302" s="15"/>
      <c r="AC302" s="16"/>
      <c r="AD302" s="307"/>
      <c r="AG302" s="87"/>
      <c r="AH302" s="87"/>
    </row>
    <row r="303" spans="1:49" hidden="1">
      <c r="A303" s="1"/>
      <c r="B303" s="12" t="s">
        <v>471</v>
      </c>
      <c r="C303" s="522"/>
      <c r="D303" s="523"/>
      <c r="E303" s="523"/>
      <c r="F303" s="523"/>
      <c r="G303" s="523"/>
      <c r="H303" s="523"/>
      <c r="I303" s="524"/>
      <c r="J303" s="536" t="e">
        <f t="shared" si="17"/>
        <v>#N/A</v>
      </c>
      <c r="K303" s="536"/>
      <c r="L303" s="537"/>
      <c r="M303" s="540" t="e">
        <f t="shared" si="18"/>
        <v>#N/A</v>
      </c>
      <c r="N303" s="539"/>
      <c r="O303" s="538" t="e">
        <f t="shared" si="19"/>
        <v>#N/A</v>
      </c>
      <c r="P303" s="539"/>
      <c r="Q303" s="534"/>
      <c r="R303" s="535"/>
      <c r="S303" s="69"/>
      <c r="T303" s="23"/>
      <c r="U303" s="374">
        <f t="shared" si="21"/>
        <v>0</v>
      </c>
      <c r="V303" s="370"/>
      <c r="W303" s="1"/>
      <c r="X303" s="15"/>
      <c r="Y303" s="15"/>
      <c r="Z303" s="15"/>
      <c r="AA303" s="15"/>
      <c r="AB303" s="15"/>
      <c r="AC303" s="16"/>
      <c r="AD303" s="307"/>
      <c r="AG303" s="87"/>
      <c r="AH303" s="87"/>
    </row>
    <row r="304" spans="1:49" hidden="1">
      <c r="A304" s="1"/>
      <c r="B304" s="12" t="s">
        <v>472</v>
      </c>
      <c r="C304" s="522"/>
      <c r="D304" s="523"/>
      <c r="E304" s="523"/>
      <c r="F304" s="523"/>
      <c r="G304" s="523"/>
      <c r="H304" s="523"/>
      <c r="I304" s="524"/>
      <c r="J304" s="536" t="e">
        <f t="shared" si="17"/>
        <v>#N/A</v>
      </c>
      <c r="K304" s="536"/>
      <c r="L304" s="537"/>
      <c r="M304" s="540" t="e">
        <f t="shared" si="18"/>
        <v>#N/A</v>
      </c>
      <c r="N304" s="539"/>
      <c r="O304" s="538" t="e">
        <f t="shared" si="19"/>
        <v>#N/A</v>
      </c>
      <c r="P304" s="539"/>
      <c r="Q304" s="534"/>
      <c r="R304" s="535"/>
      <c r="S304" s="69"/>
      <c r="T304" s="23"/>
      <c r="U304" s="374">
        <f t="shared" si="21"/>
        <v>0</v>
      </c>
      <c r="V304" s="370"/>
      <c r="W304" s="1"/>
      <c r="X304" s="15"/>
      <c r="Y304" s="15"/>
      <c r="Z304" s="15"/>
      <c r="AA304" s="15"/>
      <c r="AB304" s="15"/>
      <c r="AC304" s="16"/>
      <c r="AD304" s="307"/>
      <c r="AG304" s="87"/>
      <c r="AH304" s="87"/>
    </row>
    <row r="305" spans="1:49" hidden="1">
      <c r="A305" s="1"/>
      <c r="B305" s="12" t="s">
        <v>473</v>
      </c>
      <c r="C305" s="522"/>
      <c r="D305" s="523"/>
      <c r="E305" s="523"/>
      <c r="F305" s="523"/>
      <c r="G305" s="523"/>
      <c r="H305" s="523"/>
      <c r="I305" s="524"/>
      <c r="J305" s="536" t="e">
        <f t="shared" si="17"/>
        <v>#N/A</v>
      </c>
      <c r="K305" s="536"/>
      <c r="L305" s="537"/>
      <c r="M305" s="540" t="e">
        <f t="shared" si="18"/>
        <v>#N/A</v>
      </c>
      <c r="N305" s="539"/>
      <c r="O305" s="538" t="e">
        <f t="shared" si="19"/>
        <v>#N/A</v>
      </c>
      <c r="P305" s="539"/>
      <c r="Q305" s="534"/>
      <c r="R305" s="535"/>
      <c r="S305" s="69"/>
      <c r="T305" s="23"/>
      <c r="U305" s="374">
        <f t="shared" si="21"/>
        <v>0</v>
      </c>
      <c r="V305" s="370"/>
      <c r="W305" s="1"/>
      <c r="X305" s="15"/>
      <c r="Y305" s="15"/>
      <c r="Z305" s="15"/>
      <c r="AA305" s="15"/>
      <c r="AB305" s="15"/>
      <c r="AC305" s="16"/>
      <c r="AD305" s="307"/>
      <c r="AG305" s="87"/>
      <c r="AH305" s="87"/>
    </row>
    <row r="306" spans="1:49" hidden="1">
      <c r="A306" s="1"/>
      <c r="B306" s="12" t="s">
        <v>474</v>
      </c>
      <c r="C306" s="522"/>
      <c r="D306" s="523"/>
      <c r="E306" s="523"/>
      <c r="F306" s="523"/>
      <c r="G306" s="523"/>
      <c r="H306" s="523"/>
      <c r="I306" s="524"/>
      <c r="J306" s="536" t="e">
        <f t="shared" si="17"/>
        <v>#N/A</v>
      </c>
      <c r="K306" s="536"/>
      <c r="L306" s="537"/>
      <c r="M306" s="540" t="e">
        <f t="shared" si="18"/>
        <v>#N/A</v>
      </c>
      <c r="N306" s="539"/>
      <c r="O306" s="538" t="e">
        <f t="shared" si="19"/>
        <v>#N/A</v>
      </c>
      <c r="P306" s="539"/>
      <c r="Q306" s="534"/>
      <c r="R306" s="535"/>
      <c r="S306" s="69"/>
      <c r="T306" s="23"/>
      <c r="U306" s="374">
        <f t="shared" si="21"/>
        <v>0</v>
      </c>
      <c r="V306" s="370"/>
      <c r="W306" s="1"/>
      <c r="X306" s="15"/>
      <c r="Y306" s="15"/>
      <c r="Z306" s="15"/>
      <c r="AA306" s="15"/>
      <c r="AB306" s="15"/>
      <c r="AC306" s="16"/>
      <c r="AD306" s="307"/>
      <c r="AG306" s="87"/>
      <c r="AH306" s="87"/>
    </row>
    <row r="307" spans="1:49" hidden="1">
      <c r="A307" s="1"/>
      <c r="B307" s="12" t="s">
        <v>475</v>
      </c>
      <c r="C307" s="522"/>
      <c r="D307" s="523"/>
      <c r="E307" s="523"/>
      <c r="F307" s="523"/>
      <c r="G307" s="523"/>
      <c r="H307" s="523"/>
      <c r="I307" s="524"/>
      <c r="J307" s="536" t="e">
        <f t="shared" si="17"/>
        <v>#N/A</v>
      </c>
      <c r="K307" s="536"/>
      <c r="L307" s="537"/>
      <c r="M307" s="540" t="e">
        <f t="shared" si="18"/>
        <v>#N/A</v>
      </c>
      <c r="N307" s="539"/>
      <c r="O307" s="538" t="e">
        <f t="shared" si="19"/>
        <v>#N/A</v>
      </c>
      <c r="P307" s="539"/>
      <c r="Q307" s="534"/>
      <c r="R307" s="535"/>
      <c r="S307" s="69"/>
      <c r="T307" s="23"/>
      <c r="U307" s="374">
        <f t="shared" si="21"/>
        <v>0</v>
      </c>
      <c r="V307" s="370"/>
      <c r="W307" s="1"/>
      <c r="X307" s="15"/>
      <c r="Y307" s="15"/>
      <c r="Z307" s="15"/>
      <c r="AA307" s="15"/>
      <c r="AB307" s="15"/>
      <c r="AC307" s="16"/>
      <c r="AD307" s="307"/>
      <c r="AG307" s="87"/>
      <c r="AH307" s="87"/>
    </row>
    <row r="308" spans="1:49" hidden="1">
      <c r="A308" s="1"/>
      <c r="B308" s="12" t="s">
        <v>476</v>
      </c>
      <c r="C308" s="522"/>
      <c r="D308" s="523"/>
      <c r="E308" s="523"/>
      <c r="F308" s="523"/>
      <c r="G308" s="523"/>
      <c r="H308" s="523"/>
      <c r="I308" s="524"/>
      <c r="J308" s="536" t="e">
        <f t="shared" si="17"/>
        <v>#N/A</v>
      </c>
      <c r="K308" s="536"/>
      <c r="L308" s="537"/>
      <c r="M308" s="540" t="e">
        <f t="shared" si="18"/>
        <v>#N/A</v>
      </c>
      <c r="N308" s="539"/>
      <c r="O308" s="538" t="e">
        <f t="shared" si="19"/>
        <v>#N/A</v>
      </c>
      <c r="P308" s="539"/>
      <c r="Q308" s="534"/>
      <c r="R308" s="535"/>
      <c r="S308" s="69"/>
      <c r="T308" s="23"/>
      <c r="U308" s="374">
        <f t="shared" si="21"/>
        <v>0</v>
      </c>
      <c r="V308" s="370"/>
      <c r="W308" s="1"/>
      <c r="X308" s="15"/>
      <c r="Y308" s="15"/>
      <c r="Z308" s="15"/>
      <c r="AA308" s="15"/>
      <c r="AB308" s="15"/>
      <c r="AC308" s="16"/>
      <c r="AD308" s="307"/>
      <c r="AG308" s="87"/>
      <c r="AH308" s="87"/>
    </row>
    <row r="309" spans="1:49" hidden="1">
      <c r="A309" s="1"/>
      <c r="B309" s="12" t="s">
        <v>477</v>
      </c>
      <c r="C309" s="522"/>
      <c r="D309" s="523"/>
      <c r="E309" s="523"/>
      <c r="F309" s="523"/>
      <c r="G309" s="523"/>
      <c r="H309" s="523"/>
      <c r="I309" s="524"/>
      <c r="J309" s="536" t="e">
        <f t="shared" si="17"/>
        <v>#N/A</v>
      </c>
      <c r="K309" s="536"/>
      <c r="L309" s="537"/>
      <c r="M309" s="540" t="e">
        <f t="shared" si="18"/>
        <v>#N/A</v>
      </c>
      <c r="N309" s="539"/>
      <c r="O309" s="538" t="e">
        <f t="shared" si="19"/>
        <v>#N/A</v>
      </c>
      <c r="P309" s="539"/>
      <c r="Q309" s="534"/>
      <c r="R309" s="535"/>
      <c r="S309" s="69"/>
      <c r="T309" s="23"/>
      <c r="U309" s="374">
        <f t="shared" si="21"/>
        <v>0</v>
      </c>
      <c r="V309" s="370"/>
      <c r="W309" s="1"/>
      <c r="X309" s="15"/>
      <c r="Y309" s="15"/>
      <c r="Z309" s="15"/>
      <c r="AA309" s="15"/>
      <c r="AB309" s="15"/>
      <c r="AC309" s="16"/>
      <c r="AD309" s="307"/>
      <c r="AG309" s="87"/>
      <c r="AH309" s="87"/>
    </row>
    <row r="310" spans="1:49" hidden="1">
      <c r="A310" s="1"/>
      <c r="B310" s="12" t="s">
        <v>478</v>
      </c>
      <c r="C310" s="522"/>
      <c r="D310" s="523"/>
      <c r="E310" s="523"/>
      <c r="F310" s="523"/>
      <c r="G310" s="523"/>
      <c r="H310" s="523"/>
      <c r="I310" s="524"/>
      <c r="J310" s="536" t="e">
        <f t="shared" si="17"/>
        <v>#N/A</v>
      </c>
      <c r="K310" s="536"/>
      <c r="L310" s="537"/>
      <c r="M310" s="540" t="e">
        <f t="shared" si="18"/>
        <v>#N/A</v>
      </c>
      <c r="N310" s="539"/>
      <c r="O310" s="538" t="e">
        <f t="shared" si="19"/>
        <v>#N/A</v>
      </c>
      <c r="P310" s="539"/>
      <c r="Q310" s="534"/>
      <c r="R310" s="535"/>
      <c r="S310" s="69"/>
      <c r="T310" s="23"/>
      <c r="U310" s="374">
        <f t="shared" si="21"/>
        <v>0</v>
      </c>
      <c r="V310" s="370"/>
      <c r="W310" s="1"/>
      <c r="X310" s="15"/>
      <c r="Y310" s="15"/>
      <c r="Z310" s="15"/>
      <c r="AA310" s="15"/>
      <c r="AB310" s="15"/>
      <c r="AC310" s="16"/>
      <c r="AD310" s="307"/>
      <c r="AG310" s="87"/>
      <c r="AH310" s="87"/>
    </row>
    <row r="311" spans="1:49" hidden="1">
      <c r="A311" s="1"/>
      <c r="B311" s="12" t="s">
        <v>479</v>
      </c>
      <c r="C311" s="522"/>
      <c r="D311" s="523"/>
      <c r="E311" s="523"/>
      <c r="F311" s="523"/>
      <c r="G311" s="523"/>
      <c r="H311" s="523"/>
      <c r="I311" s="524"/>
      <c r="J311" s="536" t="e">
        <f t="shared" si="17"/>
        <v>#N/A</v>
      </c>
      <c r="K311" s="536"/>
      <c r="L311" s="537"/>
      <c r="M311" s="540" t="e">
        <f t="shared" si="18"/>
        <v>#N/A</v>
      </c>
      <c r="N311" s="539"/>
      <c r="O311" s="538" t="e">
        <f t="shared" si="19"/>
        <v>#N/A</v>
      </c>
      <c r="P311" s="539"/>
      <c r="Q311" s="534"/>
      <c r="R311" s="535"/>
      <c r="S311" s="69"/>
      <c r="T311" s="23"/>
      <c r="U311" s="374">
        <f t="shared" si="21"/>
        <v>0</v>
      </c>
      <c r="V311" s="370"/>
      <c r="W311" s="1"/>
      <c r="X311" s="15"/>
      <c r="Y311" s="15"/>
      <c r="Z311" s="15"/>
      <c r="AA311" s="15"/>
      <c r="AB311" s="15"/>
      <c r="AC311" s="16"/>
      <c r="AD311" s="307"/>
      <c r="AG311" s="87"/>
      <c r="AH311" s="87"/>
    </row>
    <row r="312" spans="1:49" hidden="1">
      <c r="A312" s="1"/>
      <c r="B312" s="12" t="s">
        <v>480</v>
      </c>
      <c r="C312" s="522"/>
      <c r="D312" s="523"/>
      <c r="E312" s="523"/>
      <c r="F312" s="523"/>
      <c r="G312" s="523"/>
      <c r="H312" s="523"/>
      <c r="I312" s="524"/>
      <c r="J312" s="536" t="e">
        <f t="shared" si="17"/>
        <v>#N/A</v>
      </c>
      <c r="K312" s="536"/>
      <c r="L312" s="537"/>
      <c r="M312" s="540" t="e">
        <f t="shared" si="18"/>
        <v>#N/A</v>
      </c>
      <c r="N312" s="539"/>
      <c r="O312" s="538" t="e">
        <f t="shared" si="19"/>
        <v>#N/A</v>
      </c>
      <c r="P312" s="539"/>
      <c r="Q312" s="534"/>
      <c r="R312" s="535"/>
      <c r="S312" s="69"/>
      <c r="T312" s="23"/>
      <c r="U312" s="374">
        <f t="shared" si="21"/>
        <v>0</v>
      </c>
      <c r="V312" s="370"/>
      <c r="W312" s="1"/>
      <c r="X312" s="15"/>
      <c r="Y312" s="15"/>
      <c r="Z312" s="15"/>
      <c r="AA312" s="15"/>
      <c r="AB312" s="15"/>
      <c r="AC312" s="16"/>
      <c r="AD312" s="307"/>
      <c r="AG312" s="87"/>
      <c r="AH312" s="87"/>
    </row>
    <row r="313" spans="1:49" hidden="1">
      <c r="A313" s="1"/>
      <c r="B313" s="12" t="s">
        <v>481</v>
      </c>
      <c r="C313" s="522"/>
      <c r="D313" s="523"/>
      <c r="E313" s="523"/>
      <c r="F313" s="523"/>
      <c r="G313" s="523"/>
      <c r="H313" s="523"/>
      <c r="I313" s="524"/>
      <c r="J313" s="536" t="e">
        <f t="shared" si="17"/>
        <v>#N/A</v>
      </c>
      <c r="K313" s="536"/>
      <c r="L313" s="537"/>
      <c r="M313" s="540" t="e">
        <f t="shared" si="18"/>
        <v>#N/A</v>
      </c>
      <c r="N313" s="539"/>
      <c r="O313" s="538" t="e">
        <f t="shared" si="19"/>
        <v>#N/A</v>
      </c>
      <c r="P313" s="539"/>
      <c r="Q313" s="534"/>
      <c r="R313" s="535"/>
      <c r="S313" s="69"/>
      <c r="T313" s="23"/>
      <c r="U313" s="374">
        <f t="shared" si="21"/>
        <v>0</v>
      </c>
      <c r="V313" s="370"/>
      <c r="W313" s="1"/>
      <c r="X313" s="15"/>
      <c r="Y313" s="15"/>
      <c r="Z313" s="15"/>
      <c r="AA313" s="15"/>
      <c r="AB313" s="15"/>
      <c r="AC313" s="16"/>
      <c r="AD313" s="307"/>
      <c r="AG313" s="87"/>
      <c r="AH313" s="87"/>
    </row>
    <row r="314" spans="1:49" hidden="1">
      <c r="A314" s="1"/>
      <c r="B314" s="12" t="s">
        <v>482</v>
      </c>
      <c r="C314" s="522"/>
      <c r="D314" s="523"/>
      <c r="E314" s="523"/>
      <c r="F314" s="523"/>
      <c r="G314" s="523"/>
      <c r="H314" s="523"/>
      <c r="I314" s="524"/>
      <c r="J314" s="536" t="e">
        <f t="shared" si="17"/>
        <v>#N/A</v>
      </c>
      <c r="K314" s="536"/>
      <c r="L314" s="537"/>
      <c r="M314" s="540" t="e">
        <f t="shared" si="18"/>
        <v>#N/A</v>
      </c>
      <c r="N314" s="539"/>
      <c r="O314" s="538" t="e">
        <f t="shared" si="19"/>
        <v>#N/A</v>
      </c>
      <c r="P314" s="539"/>
      <c r="Q314" s="534"/>
      <c r="R314" s="535"/>
      <c r="S314" s="69"/>
      <c r="T314" s="23"/>
      <c r="U314" s="374">
        <f t="shared" si="21"/>
        <v>0</v>
      </c>
      <c r="V314" s="370"/>
      <c r="W314" s="1"/>
      <c r="X314" s="15"/>
      <c r="Y314" s="15"/>
      <c r="Z314" s="15"/>
      <c r="AA314" s="15"/>
      <c r="AB314" s="15"/>
      <c r="AC314" s="16"/>
      <c r="AD314" s="307"/>
      <c r="AG314" s="87"/>
      <c r="AH314" s="87"/>
    </row>
    <row r="315" spans="1:49" hidden="1">
      <c r="A315" s="1"/>
      <c r="B315" s="12" t="s">
        <v>483</v>
      </c>
      <c r="C315" s="522"/>
      <c r="D315" s="523"/>
      <c r="E315" s="523"/>
      <c r="F315" s="523"/>
      <c r="G315" s="523"/>
      <c r="H315" s="523"/>
      <c r="I315" s="524"/>
      <c r="J315" s="536" t="e">
        <f t="shared" si="17"/>
        <v>#N/A</v>
      </c>
      <c r="K315" s="536"/>
      <c r="L315" s="537"/>
      <c r="M315" s="540" t="e">
        <f t="shared" si="18"/>
        <v>#N/A</v>
      </c>
      <c r="N315" s="539"/>
      <c r="O315" s="538" t="e">
        <f t="shared" si="19"/>
        <v>#N/A</v>
      </c>
      <c r="P315" s="539"/>
      <c r="Q315" s="534"/>
      <c r="R315" s="535"/>
      <c r="S315" s="69"/>
      <c r="T315" s="23"/>
      <c r="U315" s="374">
        <f t="shared" si="21"/>
        <v>0</v>
      </c>
      <c r="V315" s="370"/>
      <c r="W315" s="1"/>
      <c r="X315" s="15"/>
      <c r="Y315" s="15"/>
      <c r="Z315" s="15"/>
      <c r="AA315" s="15"/>
      <c r="AB315" s="15"/>
      <c r="AC315" s="16"/>
      <c r="AD315" s="307"/>
      <c r="AG315" s="87"/>
      <c r="AH315" s="87"/>
    </row>
    <row r="316" spans="1:49" hidden="1">
      <c r="A316" s="1"/>
      <c r="B316" s="12" t="s">
        <v>484</v>
      </c>
      <c r="C316" s="522"/>
      <c r="D316" s="523"/>
      <c r="E316" s="523"/>
      <c r="F316" s="523"/>
      <c r="G316" s="523"/>
      <c r="H316" s="523"/>
      <c r="I316" s="524"/>
      <c r="J316" s="536" t="e">
        <f t="shared" si="17"/>
        <v>#N/A</v>
      </c>
      <c r="K316" s="536"/>
      <c r="L316" s="537"/>
      <c r="M316" s="540" t="e">
        <f t="shared" si="18"/>
        <v>#N/A</v>
      </c>
      <c r="N316" s="539"/>
      <c r="O316" s="538" t="e">
        <f t="shared" si="19"/>
        <v>#N/A</v>
      </c>
      <c r="P316" s="539"/>
      <c r="Q316" s="534"/>
      <c r="R316" s="535"/>
      <c r="S316" s="69"/>
      <c r="T316" s="23"/>
      <c r="U316" s="374">
        <f t="shared" si="21"/>
        <v>0</v>
      </c>
      <c r="V316" s="370"/>
      <c r="W316" s="1"/>
      <c r="X316" s="15"/>
      <c r="Y316" s="15"/>
      <c r="Z316" s="15"/>
      <c r="AA316" s="15"/>
      <c r="AB316" s="15"/>
      <c r="AC316" s="16"/>
      <c r="AD316" s="307"/>
      <c r="AG316" s="87"/>
      <c r="AH316" s="87"/>
    </row>
    <row r="317" spans="1:49" hidden="1">
      <c r="A317" s="1"/>
      <c r="B317" s="12" t="s">
        <v>485</v>
      </c>
      <c r="C317" s="522"/>
      <c r="D317" s="523"/>
      <c r="E317" s="523"/>
      <c r="F317" s="523"/>
      <c r="G317" s="523"/>
      <c r="H317" s="523"/>
      <c r="I317" s="524"/>
      <c r="J317" s="546" t="e">
        <f t="shared" si="17"/>
        <v>#N/A</v>
      </c>
      <c r="K317" s="547"/>
      <c r="L317" s="548"/>
      <c r="M317" s="549" t="e">
        <f t="shared" si="18"/>
        <v>#N/A</v>
      </c>
      <c r="N317" s="550"/>
      <c r="O317" s="540" t="e">
        <f t="shared" si="19"/>
        <v>#N/A</v>
      </c>
      <c r="P317" s="539"/>
      <c r="Q317" s="534"/>
      <c r="R317" s="535"/>
      <c r="S317" s="69"/>
      <c r="T317" s="23"/>
      <c r="U317" s="374">
        <f t="shared" si="21"/>
        <v>0</v>
      </c>
      <c r="V317" s="370"/>
      <c r="W317" s="1"/>
      <c r="X317" s="15"/>
      <c r="Y317" s="15"/>
      <c r="Z317" s="15"/>
      <c r="AA317" s="15"/>
      <c r="AB317" s="15"/>
      <c r="AC317" s="16"/>
      <c r="AD317" s="307"/>
      <c r="AG317" s="87"/>
      <c r="AH317" s="87"/>
    </row>
    <row r="318" spans="1:49" ht="20.5" customHeight="1">
      <c r="A318" s="1"/>
      <c r="B318" s="90" t="s">
        <v>184</v>
      </c>
      <c r="C318" s="1"/>
      <c r="D318" s="1"/>
      <c r="E318" s="1"/>
      <c r="F318" s="1"/>
      <c r="G318" s="1"/>
      <c r="H318" s="1"/>
      <c r="I318" s="1"/>
      <c r="J318" s="428" t="s">
        <v>183</v>
      </c>
      <c r="K318" s="428"/>
      <c r="L318" s="428"/>
      <c r="M318" s="428"/>
      <c r="N318" s="44" t="s">
        <v>172</v>
      </c>
      <c r="O318" s="1"/>
      <c r="P318" s="44" t="s">
        <v>171</v>
      </c>
      <c r="Q318" s="1"/>
      <c r="R318" s="1"/>
      <c r="S318" s="1"/>
      <c r="T318" s="1"/>
      <c r="U318" s="1"/>
      <c r="V318" s="1"/>
      <c r="W318" s="1"/>
      <c r="X318" s="15"/>
      <c r="Y318" s="15"/>
      <c r="Z318" s="15"/>
      <c r="AA318" s="15"/>
      <c r="AB318" s="15"/>
      <c r="AC318" s="16"/>
      <c r="AG318" s="87"/>
      <c r="AH318" s="87"/>
    </row>
    <row r="319" spans="1:49" s="105" customFormat="1" ht="21.75" hidden="1" customHeight="1">
      <c r="A319" s="97"/>
      <c r="B319" s="98"/>
      <c r="C319" s="113" t="s">
        <v>132</v>
      </c>
      <c r="D319" s="97"/>
      <c r="E319" s="97"/>
      <c r="F319" s="97"/>
      <c r="G319" s="108"/>
      <c r="H319" s="97"/>
      <c r="I319" s="97"/>
      <c r="J319" s="97"/>
      <c r="K319" s="97"/>
      <c r="L319" s="98" t="s">
        <v>99</v>
      </c>
      <c r="M319" s="98"/>
      <c r="N319" s="98"/>
      <c r="O319" s="98" t="s">
        <v>128</v>
      </c>
      <c r="P319" s="98"/>
      <c r="Q319" s="98" t="s">
        <v>158</v>
      </c>
      <c r="R319" s="98"/>
      <c r="S319" s="96" t="s">
        <v>182</v>
      </c>
      <c r="T319" s="98" t="s">
        <v>127</v>
      </c>
      <c r="U319" s="98" t="s">
        <v>123</v>
      </c>
      <c r="V319" s="98"/>
      <c r="W319" s="97"/>
      <c r="X319" s="103"/>
      <c r="Y319" s="103"/>
      <c r="Z319" s="103"/>
      <c r="AA319" s="103"/>
      <c r="AB319" s="103"/>
      <c r="AC319" s="104"/>
      <c r="AD319" s="306"/>
      <c r="AE319" s="74"/>
      <c r="AF319" s="74"/>
      <c r="AG319" s="87"/>
      <c r="AH319" s="87"/>
      <c r="AI319" s="74"/>
      <c r="AJ319" s="74"/>
      <c r="AK319" s="74"/>
      <c r="AL319" s="74"/>
      <c r="AM319" s="74"/>
      <c r="AN319" s="74"/>
      <c r="AO319" s="74"/>
      <c r="AP319" s="74"/>
      <c r="AQ319" s="74"/>
      <c r="AR319" s="74"/>
      <c r="AS319" s="74"/>
      <c r="AT319" s="74"/>
      <c r="AU319" s="74"/>
      <c r="AV319" s="74"/>
      <c r="AW319" s="74"/>
    </row>
    <row r="320" spans="1:49" hidden="1">
      <c r="A320" s="1"/>
      <c r="B320" s="12" t="s">
        <v>87</v>
      </c>
      <c r="C320" s="423"/>
      <c r="D320" s="424"/>
      <c r="E320" s="424"/>
      <c r="F320" s="424"/>
      <c r="G320" s="424"/>
      <c r="H320" s="424"/>
      <c r="I320" s="424"/>
      <c r="J320" s="424"/>
      <c r="K320" s="424"/>
      <c r="L320" s="425"/>
      <c r="M320" s="426"/>
      <c r="N320" s="427"/>
      <c r="O320" s="421"/>
      <c r="P320" s="422"/>
      <c r="Q320" s="421"/>
      <c r="R320" s="422"/>
      <c r="S320" s="69"/>
      <c r="T320" s="23"/>
      <c r="U320" s="373" t="str">
        <f t="shared" ref="U320" si="22">IF(T320="","",IF(S320="","TBD",0))</f>
        <v/>
      </c>
      <c r="V320" s="370"/>
      <c r="W320" s="1"/>
      <c r="X320" s="15"/>
      <c r="Y320" s="15"/>
      <c r="Z320" s="15"/>
      <c r="AA320" s="15"/>
      <c r="AB320" s="15"/>
      <c r="AC320" s="16"/>
      <c r="AD320" s="307">
        <f>IF(U320="TBD",1,0)</f>
        <v>0</v>
      </c>
      <c r="AG320" s="87"/>
      <c r="AH320" s="87"/>
    </row>
    <row r="321" spans="1:34" hidden="1">
      <c r="A321" s="1"/>
      <c r="B321" s="12" t="s">
        <v>88</v>
      </c>
      <c r="C321" s="423"/>
      <c r="D321" s="424"/>
      <c r="E321" s="424"/>
      <c r="F321" s="424"/>
      <c r="G321" s="424"/>
      <c r="H321" s="424"/>
      <c r="I321" s="424"/>
      <c r="J321" s="424"/>
      <c r="K321" s="424"/>
      <c r="L321" s="425"/>
      <c r="M321" s="426"/>
      <c r="N321" s="427"/>
      <c r="O321" s="421"/>
      <c r="P321" s="422"/>
      <c r="Q321" s="421"/>
      <c r="R321" s="422"/>
      <c r="S321" s="69"/>
      <c r="T321" s="23"/>
      <c r="U321" s="373" t="str">
        <f t="shared" ref="U321:U359" si="23">IF(T321="","",IF(S321="","TBD",0))</f>
        <v/>
      </c>
      <c r="V321" s="370"/>
      <c r="W321" s="1"/>
      <c r="X321" s="15"/>
      <c r="Y321" s="15"/>
      <c r="Z321" s="15"/>
      <c r="AA321" s="15"/>
      <c r="AB321" s="15"/>
      <c r="AC321" s="16"/>
      <c r="AD321" s="307">
        <f t="shared" ref="AD321:AD359" si="24">IF(U321="TBD",1,0)</f>
        <v>0</v>
      </c>
      <c r="AG321" s="87"/>
      <c r="AH321" s="87"/>
    </row>
    <row r="322" spans="1:34" hidden="1">
      <c r="A322" s="1"/>
      <c r="B322" s="12" t="s">
        <v>89</v>
      </c>
      <c r="C322" s="423"/>
      <c r="D322" s="424"/>
      <c r="E322" s="424"/>
      <c r="F322" s="424"/>
      <c r="G322" s="424"/>
      <c r="H322" s="424"/>
      <c r="I322" s="424"/>
      <c r="J322" s="424"/>
      <c r="K322" s="424"/>
      <c r="L322" s="425"/>
      <c r="M322" s="426"/>
      <c r="N322" s="427"/>
      <c r="O322" s="421"/>
      <c r="P322" s="422"/>
      <c r="Q322" s="421"/>
      <c r="R322" s="422"/>
      <c r="S322" s="69"/>
      <c r="T322" s="23"/>
      <c r="U322" s="373" t="str">
        <f t="shared" si="23"/>
        <v/>
      </c>
      <c r="V322" s="370"/>
      <c r="W322" s="1"/>
      <c r="X322" s="15"/>
      <c r="Y322" s="15"/>
      <c r="Z322" s="15"/>
      <c r="AA322" s="15"/>
      <c r="AB322" s="15"/>
      <c r="AC322" s="16"/>
      <c r="AD322" s="307">
        <f t="shared" si="24"/>
        <v>0</v>
      </c>
      <c r="AG322" s="87"/>
      <c r="AH322" s="87"/>
    </row>
    <row r="323" spans="1:34" hidden="1">
      <c r="A323" s="1"/>
      <c r="B323" s="12" t="s">
        <v>90</v>
      </c>
      <c r="C323" s="423"/>
      <c r="D323" s="424"/>
      <c r="E323" s="424"/>
      <c r="F323" s="424"/>
      <c r="G323" s="424"/>
      <c r="H323" s="424"/>
      <c r="I323" s="424"/>
      <c r="J323" s="424"/>
      <c r="K323" s="424"/>
      <c r="L323" s="425"/>
      <c r="M323" s="426"/>
      <c r="N323" s="427"/>
      <c r="O323" s="421"/>
      <c r="P323" s="422"/>
      <c r="Q323" s="421"/>
      <c r="R323" s="422"/>
      <c r="S323" s="69"/>
      <c r="T323" s="23"/>
      <c r="U323" s="373" t="str">
        <f t="shared" si="23"/>
        <v/>
      </c>
      <c r="V323" s="370"/>
      <c r="W323" s="1"/>
      <c r="X323" s="15"/>
      <c r="Y323" s="15"/>
      <c r="Z323" s="15"/>
      <c r="AA323" s="15"/>
      <c r="AB323" s="15"/>
      <c r="AC323" s="16"/>
      <c r="AD323" s="307">
        <f t="shared" si="24"/>
        <v>0</v>
      </c>
      <c r="AG323" s="87"/>
      <c r="AH323" s="87"/>
    </row>
    <row r="324" spans="1:34" hidden="1">
      <c r="A324" s="1"/>
      <c r="B324" s="12" t="s">
        <v>91</v>
      </c>
      <c r="C324" s="423"/>
      <c r="D324" s="424"/>
      <c r="E324" s="424"/>
      <c r="F324" s="424"/>
      <c r="G324" s="424"/>
      <c r="H324" s="424"/>
      <c r="I324" s="424"/>
      <c r="J324" s="424"/>
      <c r="K324" s="424"/>
      <c r="L324" s="425"/>
      <c r="M324" s="426"/>
      <c r="N324" s="427"/>
      <c r="O324" s="421"/>
      <c r="P324" s="422"/>
      <c r="Q324" s="421"/>
      <c r="R324" s="422"/>
      <c r="S324" s="69"/>
      <c r="T324" s="23"/>
      <c r="U324" s="373" t="str">
        <f t="shared" si="23"/>
        <v/>
      </c>
      <c r="V324" s="370"/>
      <c r="W324" s="1"/>
      <c r="X324" s="15"/>
      <c r="Y324" s="15"/>
      <c r="Z324" s="15"/>
      <c r="AA324" s="15"/>
      <c r="AB324" s="15"/>
      <c r="AC324" s="16"/>
      <c r="AD324" s="307">
        <f t="shared" si="24"/>
        <v>0</v>
      </c>
      <c r="AG324" s="87"/>
      <c r="AH324" s="87"/>
    </row>
    <row r="325" spans="1:34" hidden="1">
      <c r="A325" s="1"/>
      <c r="B325" s="12" t="s">
        <v>92</v>
      </c>
      <c r="C325" s="423"/>
      <c r="D325" s="424"/>
      <c r="E325" s="424"/>
      <c r="F325" s="424"/>
      <c r="G325" s="424"/>
      <c r="H325" s="424"/>
      <c r="I325" s="424"/>
      <c r="J325" s="424"/>
      <c r="K325" s="424"/>
      <c r="L325" s="425"/>
      <c r="M325" s="426"/>
      <c r="N325" s="427"/>
      <c r="O325" s="421"/>
      <c r="P325" s="422"/>
      <c r="Q325" s="421"/>
      <c r="R325" s="422"/>
      <c r="S325" s="69"/>
      <c r="T325" s="23"/>
      <c r="U325" s="373" t="str">
        <f t="shared" si="23"/>
        <v/>
      </c>
      <c r="V325" s="370"/>
      <c r="W325" s="1"/>
      <c r="X325" s="15"/>
      <c r="Y325" s="15"/>
      <c r="Z325" s="15"/>
      <c r="AA325" s="15"/>
      <c r="AB325" s="15"/>
      <c r="AC325" s="16"/>
      <c r="AD325" s="307">
        <f t="shared" si="24"/>
        <v>0</v>
      </c>
      <c r="AG325" s="87"/>
      <c r="AH325" s="87"/>
    </row>
    <row r="326" spans="1:34" hidden="1">
      <c r="A326" s="1"/>
      <c r="B326" s="12" t="s">
        <v>93</v>
      </c>
      <c r="C326" s="423"/>
      <c r="D326" s="424"/>
      <c r="E326" s="424"/>
      <c r="F326" s="424"/>
      <c r="G326" s="424"/>
      <c r="H326" s="424"/>
      <c r="I326" s="424"/>
      <c r="J326" s="424"/>
      <c r="K326" s="424"/>
      <c r="L326" s="425"/>
      <c r="M326" s="426"/>
      <c r="N326" s="427"/>
      <c r="O326" s="421"/>
      <c r="P326" s="422"/>
      <c r="Q326" s="421"/>
      <c r="R326" s="422"/>
      <c r="S326" s="69"/>
      <c r="T326" s="23"/>
      <c r="U326" s="373" t="str">
        <f t="shared" si="23"/>
        <v/>
      </c>
      <c r="V326" s="370"/>
      <c r="W326" s="1"/>
      <c r="X326" s="15"/>
      <c r="Y326" s="15"/>
      <c r="Z326" s="15"/>
      <c r="AA326" s="15"/>
      <c r="AB326" s="15"/>
      <c r="AC326" s="16"/>
      <c r="AD326" s="307">
        <f t="shared" si="24"/>
        <v>0</v>
      </c>
      <c r="AG326" s="87"/>
      <c r="AH326" s="87"/>
    </row>
    <row r="327" spans="1:34" hidden="1">
      <c r="A327" s="1"/>
      <c r="B327" s="12" t="s">
        <v>94</v>
      </c>
      <c r="C327" s="423"/>
      <c r="D327" s="424"/>
      <c r="E327" s="424"/>
      <c r="F327" s="424"/>
      <c r="G327" s="424"/>
      <c r="H327" s="424"/>
      <c r="I327" s="424"/>
      <c r="J327" s="424"/>
      <c r="K327" s="424"/>
      <c r="L327" s="425"/>
      <c r="M327" s="426"/>
      <c r="N327" s="427"/>
      <c r="O327" s="421"/>
      <c r="P327" s="422"/>
      <c r="Q327" s="421"/>
      <c r="R327" s="422"/>
      <c r="S327" s="69"/>
      <c r="T327" s="23"/>
      <c r="U327" s="373" t="str">
        <f t="shared" si="23"/>
        <v/>
      </c>
      <c r="V327" s="370"/>
      <c r="W327" s="1"/>
      <c r="X327" s="15"/>
      <c r="Y327" s="15"/>
      <c r="Z327" s="15"/>
      <c r="AA327" s="15"/>
      <c r="AB327" s="15"/>
      <c r="AC327" s="16"/>
      <c r="AD327" s="307">
        <f t="shared" si="24"/>
        <v>0</v>
      </c>
      <c r="AG327" s="87"/>
      <c r="AH327" s="87"/>
    </row>
    <row r="328" spans="1:34" hidden="1">
      <c r="A328" s="1"/>
      <c r="B328" s="12" t="s">
        <v>21</v>
      </c>
      <c r="C328" s="423"/>
      <c r="D328" s="424"/>
      <c r="E328" s="424"/>
      <c r="F328" s="424"/>
      <c r="G328" s="424"/>
      <c r="H328" s="424"/>
      <c r="I328" s="424"/>
      <c r="J328" s="424"/>
      <c r="K328" s="424"/>
      <c r="L328" s="425"/>
      <c r="M328" s="426"/>
      <c r="N328" s="427"/>
      <c r="O328" s="421"/>
      <c r="P328" s="422"/>
      <c r="Q328" s="421"/>
      <c r="R328" s="422"/>
      <c r="S328" s="69"/>
      <c r="T328" s="23"/>
      <c r="U328" s="373" t="str">
        <f t="shared" si="23"/>
        <v/>
      </c>
      <c r="V328" s="370"/>
      <c r="W328" s="1"/>
      <c r="X328" s="15"/>
      <c r="Y328" s="15"/>
      <c r="Z328" s="15"/>
      <c r="AA328" s="15"/>
      <c r="AB328" s="15"/>
      <c r="AC328" s="16"/>
      <c r="AD328" s="307">
        <f t="shared" si="24"/>
        <v>0</v>
      </c>
      <c r="AG328" s="87"/>
      <c r="AH328" s="87"/>
    </row>
    <row r="329" spans="1:34" hidden="1">
      <c r="A329" s="1"/>
      <c r="B329" s="12" t="s">
        <v>22</v>
      </c>
      <c r="C329" s="423"/>
      <c r="D329" s="424"/>
      <c r="E329" s="424"/>
      <c r="F329" s="424"/>
      <c r="G329" s="424"/>
      <c r="H329" s="424"/>
      <c r="I329" s="424"/>
      <c r="J329" s="424"/>
      <c r="K329" s="424"/>
      <c r="L329" s="425"/>
      <c r="M329" s="426"/>
      <c r="N329" s="427"/>
      <c r="O329" s="421"/>
      <c r="P329" s="422"/>
      <c r="Q329" s="421"/>
      <c r="R329" s="422"/>
      <c r="S329" s="69"/>
      <c r="T329" s="23"/>
      <c r="U329" s="373" t="str">
        <f t="shared" si="23"/>
        <v/>
      </c>
      <c r="V329" s="370"/>
      <c r="W329" s="1"/>
      <c r="X329" s="15"/>
      <c r="Y329" s="15"/>
      <c r="Z329" s="15"/>
      <c r="AA329" s="15"/>
      <c r="AB329" s="15"/>
      <c r="AC329" s="16"/>
      <c r="AD329" s="307">
        <f t="shared" si="24"/>
        <v>0</v>
      </c>
      <c r="AG329" s="87"/>
      <c r="AH329" s="87"/>
    </row>
    <row r="330" spans="1:34" hidden="1">
      <c r="A330" s="1"/>
      <c r="B330" s="12" t="s">
        <v>39</v>
      </c>
      <c r="C330" s="423"/>
      <c r="D330" s="424"/>
      <c r="E330" s="424"/>
      <c r="F330" s="424"/>
      <c r="G330" s="424"/>
      <c r="H330" s="424"/>
      <c r="I330" s="424"/>
      <c r="J330" s="424"/>
      <c r="K330" s="424"/>
      <c r="L330" s="425"/>
      <c r="M330" s="426"/>
      <c r="N330" s="427"/>
      <c r="O330" s="421"/>
      <c r="P330" s="422"/>
      <c r="Q330" s="421"/>
      <c r="R330" s="422"/>
      <c r="S330" s="69"/>
      <c r="T330" s="23"/>
      <c r="U330" s="373" t="str">
        <f t="shared" si="23"/>
        <v/>
      </c>
      <c r="V330" s="370"/>
      <c r="W330" s="1"/>
      <c r="X330" s="15"/>
      <c r="Y330" s="15"/>
      <c r="Z330" s="15"/>
      <c r="AA330" s="15"/>
      <c r="AB330" s="15"/>
      <c r="AC330" s="16"/>
      <c r="AD330" s="307">
        <f t="shared" si="24"/>
        <v>0</v>
      </c>
      <c r="AG330" s="87"/>
      <c r="AH330" s="87"/>
    </row>
    <row r="331" spans="1:34" hidden="1">
      <c r="A331" s="1"/>
      <c r="B331" s="12" t="s">
        <v>40</v>
      </c>
      <c r="C331" s="423"/>
      <c r="D331" s="424"/>
      <c r="E331" s="424"/>
      <c r="F331" s="424"/>
      <c r="G331" s="424"/>
      <c r="H331" s="424"/>
      <c r="I331" s="424"/>
      <c r="J331" s="424"/>
      <c r="K331" s="424"/>
      <c r="L331" s="425"/>
      <c r="M331" s="426"/>
      <c r="N331" s="427"/>
      <c r="O331" s="421"/>
      <c r="P331" s="422"/>
      <c r="Q331" s="421"/>
      <c r="R331" s="422"/>
      <c r="S331" s="69"/>
      <c r="T331" s="23"/>
      <c r="U331" s="373" t="str">
        <f t="shared" si="23"/>
        <v/>
      </c>
      <c r="V331" s="370"/>
      <c r="W331" s="1"/>
      <c r="X331" s="15"/>
      <c r="Y331" s="15"/>
      <c r="Z331" s="15"/>
      <c r="AA331" s="15"/>
      <c r="AB331" s="15"/>
      <c r="AC331" s="16"/>
      <c r="AD331" s="307">
        <f t="shared" si="24"/>
        <v>0</v>
      </c>
      <c r="AG331" s="87"/>
      <c r="AH331" s="87"/>
    </row>
    <row r="332" spans="1:34" hidden="1">
      <c r="A332" s="1"/>
      <c r="B332" s="12" t="s">
        <v>41</v>
      </c>
      <c r="C332" s="423"/>
      <c r="D332" s="424"/>
      <c r="E332" s="424"/>
      <c r="F332" s="424"/>
      <c r="G332" s="424"/>
      <c r="H332" s="424"/>
      <c r="I332" s="424"/>
      <c r="J332" s="424"/>
      <c r="K332" s="424"/>
      <c r="L332" s="425"/>
      <c r="M332" s="426"/>
      <c r="N332" s="427"/>
      <c r="O332" s="421"/>
      <c r="P332" s="422"/>
      <c r="Q332" s="421"/>
      <c r="R332" s="422"/>
      <c r="S332" s="69"/>
      <c r="T332" s="23"/>
      <c r="U332" s="373" t="str">
        <f t="shared" si="23"/>
        <v/>
      </c>
      <c r="V332" s="370"/>
      <c r="W332" s="1"/>
      <c r="X332" s="15"/>
      <c r="Y332" s="15"/>
      <c r="Z332" s="15"/>
      <c r="AA332" s="15"/>
      <c r="AB332" s="15"/>
      <c r="AC332" s="16"/>
      <c r="AD332" s="307">
        <f t="shared" si="24"/>
        <v>0</v>
      </c>
      <c r="AG332" s="87"/>
      <c r="AH332" s="87"/>
    </row>
    <row r="333" spans="1:34" hidden="1">
      <c r="A333" s="1"/>
      <c r="B333" s="12" t="s">
        <v>42</v>
      </c>
      <c r="C333" s="423"/>
      <c r="D333" s="424"/>
      <c r="E333" s="424"/>
      <c r="F333" s="424"/>
      <c r="G333" s="424"/>
      <c r="H333" s="424"/>
      <c r="I333" s="424"/>
      <c r="J333" s="424"/>
      <c r="K333" s="424"/>
      <c r="L333" s="425"/>
      <c r="M333" s="426"/>
      <c r="N333" s="427"/>
      <c r="O333" s="421"/>
      <c r="P333" s="422"/>
      <c r="Q333" s="421"/>
      <c r="R333" s="422"/>
      <c r="S333" s="69"/>
      <c r="T333" s="23"/>
      <c r="U333" s="373" t="str">
        <f t="shared" si="23"/>
        <v/>
      </c>
      <c r="V333" s="370"/>
      <c r="W333" s="1"/>
      <c r="X333" s="15"/>
      <c r="Y333" s="15"/>
      <c r="Z333" s="15"/>
      <c r="AA333" s="15"/>
      <c r="AB333" s="15"/>
      <c r="AC333" s="16"/>
      <c r="AD333" s="307">
        <f t="shared" si="24"/>
        <v>0</v>
      </c>
      <c r="AG333" s="87"/>
      <c r="AH333" s="87"/>
    </row>
    <row r="334" spans="1:34" hidden="1">
      <c r="A334" s="1"/>
      <c r="B334" s="12" t="s">
        <v>43</v>
      </c>
      <c r="C334" s="423"/>
      <c r="D334" s="424"/>
      <c r="E334" s="424"/>
      <c r="F334" s="424"/>
      <c r="G334" s="424"/>
      <c r="H334" s="424"/>
      <c r="I334" s="424"/>
      <c r="J334" s="424"/>
      <c r="K334" s="424"/>
      <c r="L334" s="425"/>
      <c r="M334" s="426"/>
      <c r="N334" s="427"/>
      <c r="O334" s="421"/>
      <c r="P334" s="422"/>
      <c r="Q334" s="421"/>
      <c r="R334" s="422"/>
      <c r="S334" s="69"/>
      <c r="T334" s="23"/>
      <c r="U334" s="373" t="str">
        <f t="shared" si="23"/>
        <v/>
      </c>
      <c r="V334" s="370"/>
      <c r="W334" s="1"/>
      <c r="X334" s="15"/>
      <c r="Y334" s="15"/>
      <c r="Z334" s="15"/>
      <c r="AA334" s="15"/>
      <c r="AB334" s="15"/>
      <c r="AC334" s="16"/>
      <c r="AD334" s="307">
        <f t="shared" si="24"/>
        <v>0</v>
      </c>
      <c r="AG334" s="87"/>
      <c r="AH334" s="87"/>
    </row>
    <row r="335" spans="1:34" hidden="1">
      <c r="A335" s="1"/>
      <c r="B335" s="12" t="s">
        <v>44</v>
      </c>
      <c r="C335" s="423"/>
      <c r="D335" s="424"/>
      <c r="E335" s="424"/>
      <c r="F335" s="424"/>
      <c r="G335" s="424"/>
      <c r="H335" s="424"/>
      <c r="I335" s="424"/>
      <c r="J335" s="424"/>
      <c r="K335" s="424"/>
      <c r="L335" s="425"/>
      <c r="M335" s="426"/>
      <c r="N335" s="427"/>
      <c r="O335" s="421"/>
      <c r="P335" s="422"/>
      <c r="Q335" s="421"/>
      <c r="R335" s="422"/>
      <c r="S335" s="69"/>
      <c r="T335" s="23"/>
      <c r="U335" s="373" t="str">
        <f t="shared" si="23"/>
        <v/>
      </c>
      <c r="V335" s="370"/>
      <c r="W335" s="1"/>
      <c r="X335" s="15"/>
      <c r="Y335" s="15"/>
      <c r="Z335" s="15"/>
      <c r="AA335" s="15"/>
      <c r="AB335" s="15"/>
      <c r="AC335" s="16"/>
      <c r="AD335" s="307">
        <f t="shared" si="24"/>
        <v>0</v>
      </c>
      <c r="AG335" s="87"/>
      <c r="AH335" s="87"/>
    </row>
    <row r="336" spans="1:34" hidden="1">
      <c r="A336" s="1"/>
      <c r="B336" s="12" t="s">
        <v>45</v>
      </c>
      <c r="C336" s="423"/>
      <c r="D336" s="424"/>
      <c r="E336" s="424"/>
      <c r="F336" s="424"/>
      <c r="G336" s="424"/>
      <c r="H336" s="424"/>
      <c r="I336" s="424"/>
      <c r="J336" s="424"/>
      <c r="K336" s="424"/>
      <c r="L336" s="425"/>
      <c r="M336" s="426"/>
      <c r="N336" s="427"/>
      <c r="O336" s="421"/>
      <c r="P336" s="422"/>
      <c r="Q336" s="421"/>
      <c r="R336" s="422"/>
      <c r="S336" s="69"/>
      <c r="T336" s="23"/>
      <c r="U336" s="373" t="str">
        <f t="shared" si="23"/>
        <v/>
      </c>
      <c r="V336" s="370"/>
      <c r="W336" s="1"/>
      <c r="X336" s="15"/>
      <c r="Y336" s="15"/>
      <c r="Z336" s="15"/>
      <c r="AA336" s="15"/>
      <c r="AB336" s="15"/>
      <c r="AC336" s="16"/>
      <c r="AD336" s="307">
        <f t="shared" si="24"/>
        <v>0</v>
      </c>
      <c r="AG336" s="87"/>
      <c r="AH336" s="87"/>
    </row>
    <row r="337" spans="1:34" hidden="1">
      <c r="A337" s="1"/>
      <c r="B337" s="12" t="s">
        <v>46</v>
      </c>
      <c r="C337" s="423"/>
      <c r="D337" s="424"/>
      <c r="E337" s="424"/>
      <c r="F337" s="424"/>
      <c r="G337" s="424"/>
      <c r="H337" s="424"/>
      <c r="I337" s="424"/>
      <c r="J337" s="424"/>
      <c r="K337" s="424"/>
      <c r="L337" s="425"/>
      <c r="M337" s="426"/>
      <c r="N337" s="427"/>
      <c r="O337" s="421"/>
      <c r="P337" s="422"/>
      <c r="Q337" s="421"/>
      <c r="R337" s="422"/>
      <c r="S337" s="69"/>
      <c r="T337" s="23"/>
      <c r="U337" s="373" t="str">
        <f t="shared" si="23"/>
        <v/>
      </c>
      <c r="V337" s="370"/>
      <c r="W337" s="1"/>
      <c r="X337" s="15"/>
      <c r="Y337" s="15"/>
      <c r="Z337" s="15"/>
      <c r="AA337" s="15"/>
      <c r="AB337" s="15"/>
      <c r="AC337" s="16"/>
      <c r="AD337" s="307">
        <f t="shared" si="24"/>
        <v>0</v>
      </c>
      <c r="AG337" s="87"/>
      <c r="AH337" s="87"/>
    </row>
    <row r="338" spans="1:34" hidden="1">
      <c r="A338" s="1"/>
      <c r="B338" s="12" t="s">
        <v>47</v>
      </c>
      <c r="C338" s="423"/>
      <c r="D338" s="424"/>
      <c r="E338" s="424"/>
      <c r="F338" s="424"/>
      <c r="G338" s="424"/>
      <c r="H338" s="424"/>
      <c r="I338" s="424"/>
      <c r="J338" s="424"/>
      <c r="K338" s="424"/>
      <c r="L338" s="425"/>
      <c r="M338" s="426"/>
      <c r="N338" s="427"/>
      <c r="O338" s="421"/>
      <c r="P338" s="422"/>
      <c r="Q338" s="421"/>
      <c r="R338" s="422"/>
      <c r="S338" s="69"/>
      <c r="T338" s="23"/>
      <c r="U338" s="373" t="str">
        <f t="shared" si="23"/>
        <v/>
      </c>
      <c r="V338" s="370"/>
      <c r="W338" s="1"/>
      <c r="X338" s="15"/>
      <c r="Y338" s="15"/>
      <c r="Z338" s="15"/>
      <c r="AA338" s="15"/>
      <c r="AB338" s="15"/>
      <c r="AC338" s="16"/>
      <c r="AD338" s="307">
        <f t="shared" si="24"/>
        <v>0</v>
      </c>
      <c r="AG338" s="87"/>
      <c r="AH338" s="87"/>
    </row>
    <row r="339" spans="1:34" hidden="1">
      <c r="A339" s="1"/>
      <c r="B339" s="12" t="s">
        <v>48</v>
      </c>
      <c r="C339" s="423"/>
      <c r="D339" s="424"/>
      <c r="E339" s="424"/>
      <c r="F339" s="424"/>
      <c r="G339" s="424"/>
      <c r="H339" s="424"/>
      <c r="I339" s="424"/>
      <c r="J339" s="424"/>
      <c r="K339" s="424"/>
      <c r="L339" s="425"/>
      <c r="M339" s="426"/>
      <c r="N339" s="427"/>
      <c r="O339" s="421"/>
      <c r="P339" s="422"/>
      <c r="Q339" s="421"/>
      <c r="R339" s="422"/>
      <c r="S339" s="69"/>
      <c r="T339" s="23"/>
      <c r="U339" s="373" t="str">
        <f t="shared" si="23"/>
        <v/>
      </c>
      <c r="V339" s="370"/>
      <c r="W339" s="1"/>
      <c r="X339" s="15"/>
      <c r="Y339" s="15"/>
      <c r="Z339" s="15"/>
      <c r="AA339" s="15"/>
      <c r="AB339" s="15"/>
      <c r="AC339" s="16"/>
      <c r="AD339" s="307">
        <f t="shared" si="24"/>
        <v>0</v>
      </c>
      <c r="AG339" s="87"/>
      <c r="AH339" s="87"/>
    </row>
    <row r="340" spans="1:34" hidden="1">
      <c r="A340" s="1"/>
      <c r="B340" s="12" t="s">
        <v>810</v>
      </c>
      <c r="C340" s="423"/>
      <c r="D340" s="424"/>
      <c r="E340" s="424"/>
      <c r="F340" s="424"/>
      <c r="G340" s="424"/>
      <c r="H340" s="424"/>
      <c r="I340" s="424"/>
      <c r="J340" s="424"/>
      <c r="K340" s="424"/>
      <c r="L340" s="425"/>
      <c r="M340" s="426"/>
      <c r="N340" s="427"/>
      <c r="O340" s="421"/>
      <c r="P340" s="422"/>
      <c r="Q340" s="421"/>
      <c r="R340" s="422"/>
      <c r="S340" s="69"/>
      <c r="T340" s="23"/>
      <c r="U340" s="373" t="str">
        <f t="shared" si="23"/>
        <v/>
      </c>
      <c r="V340" s="370"/>
      <c r="W340" s="1"/>
      <c r="X340" s="15"/>
      <c r="Y340" s="15"/>
      <c r="Z340" s="15"/>
      <c r="AA340" s="15"/>
      <c r="AB340" s="15"/>
      <c r="AC340" s="16"/>
      <c r="AD340" s="307">
        <f t="shared" si="24"/>
        <v>0</v>
      </c>
      <c r="AG340" s="87"/>
      <c r="AH340" s="87"/>
    </row>
    <row r="341" spans="1:34" hidden="1">
      <c r="A341" s="1"/>
      <c r="B341" s="12" t="s">
        <v>811</v>
      </c>
      <c r="C341" s="423"/>
      <c r="D341" s="424"/>
      <c r="E341" s="424"/>
      <c r="F341" s="424"/>
      <c r="G341" s="424"/>
      <c r="H341" s="424"/>
      <c r="I341" s="424"/>
      <c r="J341" s="424"/>
      <c r="K341" s="424"/>
      <c r="L341" s="425"/>
      <c r="M341" s="426"/>
      <c r="N341" s="427"/>
      <c r="O341" s="421"/>
      <c r="P341" s="422"/>
      <c r="Q341" s="421"/>
      <c r="R341" s="422"/>
      <c r="S341" s="69"/>
      <c r="T341" s="23"/>
      <c r="U341" s="373" t="str">
        <f t="shared" si="23"/>
        <v/>
      </c>
      <c r="V341" s="370"/>
      <c r="W341" s="1"/>
      <c r="X341" s="15"/>
      <c r="Y341" s="15"/>
      <c r="Z341" s="15"/>
      <c r="AA341" s="15"/>
      <c r="AB341" s="15"/>
      <c r="AC341" s="16"/>
      <c r="AD341" s="307">
        <f t="shared" si="24"/>
        <v>0</v>
      </c>
      <c r="AG341" s="87"/>
      <c r="AH341" s="87"/>
    </row>
    <row r="342" spans="1:34" hidden="1">
      <c r="A342" s="1"/>
      <c r="B342" s="12" t="s">
        <v>812</v>
      </c>
      <c r="C342" s="423"/>
      <c r="D342" s="424"/>
      <c r="E342" s="424"/>
      <c r="F342" s="424"/>
      <c r="G342" s="424"/>
      <c r="H342" s="424"/>
      <c r="I342" s="424"/>
      <c r="J342" s="424"/>
      <c r="K342" s="424"/>
      <c r="L342" s="425"/>
      <c r="M342" s="426"/>
      <c r="N342" s="427"/>
      <c r="O342" s="421"/>
      <c r="P342" s="422"/>
      <c r="Q342" s="421"/>
      <c r="R342" s="422"/>
      <c r="S342" s="69"/>
      <c r="T342" s="23"/>
      <c r="U342" s="373" t="str">
        <f t="shared" si="23"/>
        <v/>
      </c>
      <c r="V342" s="370"/>
      <c r="W342" s="1"/>
      <c r="X342" s="15"/>
      <c r="Y342" s="15"/>
      <c r="Z342" s="15"/>
      <c r="AA342" s="15"/>
      <c r="AB342" s="15"/>
      <c r="AC342" s="16"/>
      <c r="AD342" s="307">
        <f t="shared" si="24"/>
        <v>0</v>
      </c>
      <c r="AG342" s="87"/>
      <c r="AH342" s="87"/>
    </row>
    <row r="343" spans="1:34" hidden="1">
      <c r="A343" s="1"/>
      <c r="B343" s="12" t="s">
        <v>813</v>
      </c>
      <c r="C343" s="423"/>
      <c r="D343" s="424"/>
      <c r="E343" s="424"/>
      <c r="F343" s="424"/>
      <c r="G343" s="424"/>
      <c r="H343" s="424"/>
      <c r="I343" s="424"/>
      <c r="J343" s="424"/>
      <c r="K343" s="424"/>
      <c r="L343" s="425"/>
      <c r="M343" s="426"/>
      <c r="N343" s="427"/>
      <c r="O343" s="421"/>
      <c r="P343" s="422"/>
      <c r="Q343" s="421"/>
      <c r="R343" s="422"/>
      <c r="S343" s="69"/>
      <c r="T343" s="23"/>
      <c r="U343" s="373" t="str">
        <f t="shared" si="23"/>
        <v/>
      </c>
      <c r="V343" s="370"/>
      <c r="W343" s="1"/>
      <c r="X343" s="15"/>
      <c r="Y343" s="15"/>
      <c r="Z343" s="15"/>
      <c r="AA343" s="15"/>
      <c r="AB343" s="15"/>
      <c r="AC343" s="16"/>
      <c r="AD343" s="307">
        <f t="shared" si="24"/>
        <v>0</v>
      </c>
      <c r="AG343" s="87"/>
      <c r="AH343" s="87"/>
    </row>
    <row r="344" spans="1:34" hidden="1">
      <c r="A344" s="1"/>
      <c r="B344" s="12" t="s">
        <v>814</v>
      </c>
      <c r="C344" s="423"/>
      <c r="D344" s="424"/>
      <c r="E344" s="424"/>
      <c r="F344" s="424"/>
      <c r="G344" s="424"/>
      <c r="H344" s="424"/>
      <c r="I344" s="424"/>
      <c r="J344" s="424"/>
      <c r="K344" s="424"/>
      <c r="L344" s="425"/>
      <c r="M344" s="426"/>
      <c r="N344" s="427"/>
      <c r="O344" s="421"/>
      <c r="P344" s="422"/>
      <c r="Q344" s="421"/>
      <c r="R344" s="422"/>
      <c r="S344" s="69"/>
      <c r="T344" s="23"/>
      <c r="U344" s="373" t="str">
        <f t="shared" si="23"/>
        <v/>
      </c>
      <c r="V344" s="370"/>
      <c r="W344" s="1"/>
      <c r="X344" s="15"/>
      <c r="Y344" s="15"/>
      <c r="Z344" s="15"/>
      <c r="AA344" s="15"/>
      <c r="AB344" s="15"/>
      <c r="AC344" s="16"/>
      <c r="AD344" s="307">
        <f t="shared" si="24"/>
        <v>0</v>
      </c>
      <c r="AG344" s="87"/>
      <c r="AH344" s="87"/>
    </row>
    <row r="345" spans="1:34" hidden="1">
      <c r="A345" s="1"/>
      <c r="B345" s="12" t="s">
        <v>815</v>
      </c>
      <c r="C345" s="423"/>
      <c r="D345" s="424"/>
      <c r="E345" s="424"/>
      <c r="F345" s="424"/>
      <c r="G345" s="424"/>
      <c r="H345" s="424"/>
      <c r="I345" s="424"/>
      <c r="J345" s="424"/>
      <c r="K345" s="424"/>
      <c r="L345" s="425"/>
      <c r="M345" s="426"/>
      <c r="N345" s="427"/>
      <c r="O345" s="421"/>
      <c r="P345" s="422"/>
      <c r="Q345" s="421"/>
      <c r="R345" s="422"/>
      <c r="S345" s="69"/>
      <c r="T345" s="23"/>
      <c r="U345" s="373" t="str">
        <f t="shared" si="23"/>
        <v/>
      </c>
      <c r="V345" s="370"/>
      <c r="W345" s="1"/>
      <c r="X345" s="15"/>
      <c r="Y345" s="15"/>
      <c r="Z345" s="15"/>
      <c r="AA345" s="15"/>
      <c r="AB345" s="15"/>
      <c r="AC345" s="16"/>
      <c r="AD345" s="307">
        <f t="shared" si="24"/>
        <v>0</v>
      </c>
      <c r="AG345" s="87"/>
      <c r="AH345" s="87"/>
    </row>
    <row r="346" spans="1:34" hidden="1">
      <c r="A346" s="1"/>
      <c r="B346" s="12" t="s">
        <v>816</v>
      </c>
      <c r="C346" s="423"/>
      <c r="D346" s="424"/>
      <c r="E346" s="424"/>
      <c r="F346" s="424"/>
      <c r="G346" s="424"/>
      <c r="H346" s="424"/>
      <c r="I346" s="424"/>
      <c r="J346" s="424"/>
      <c r="K346" s="424"/>
      <c r="L346" s="425"/>
      <c r="M346" s="426"/>
      <c r="N346" s="427"/>
      <c r="O346" s="421"/>
      <c r="P346" s="422"/>
      <c r="Q346" s="421"/>
      <c r="R346" s="422"/>
      <c r="S346" s="69"/>
      <c r="T346" s="23"/>
      <c r="U346" s="373" t="str">
        <f t="shared" si="23"/>
        <v/>
      </c>
      <c r="V346" s="370"/>
      <c r="W346" s="1"/>
      <c r="X346" s="15"/>
      <c r="Y346" s="15"/>
      <c r="Z346" s="15"/>
      <c r="AA346" s="15"/>
      <c r="AB346" s="15"/>
      <c r="AC346" s="16"/>
      <c r="AD346" s="307">
        <f t="shared" si="24"/>
        <v>0</v>
      </c>
      <c r="AG346" s="87"/>
      <c r="AH346" s="87"/>
    </row>
    <row r="347" spans="1:34" hidden="1">
      <c r="A347" s="1"/>
      <c r="B347" s="12" t="s">
        <v>817</v>
      </c>
      <c r="C347" s="423"/>
      <c r="D347" s="424"/>
      <c r="E347" s="424"/>
      <c r="F347" s="424"/>
      <c r="G347" s="424"/>
      <c r="H347" s="424"/>
      <c r="I347" s="424"/>
      <c r="J347" s="424"/>
      <c r="K347" s="424"/>
      <c r="L347" s="425"/>
      <c r="M347" s="426"/>
      <c r="N347" s="427"/>
      <c r="O347" s="421"/>
      <c r="P347" s="422"/>
      <c r="Q347" s="421"/>
      <c r="R347" s="422"/>
      <c r="S347" s="69"/>
      <c r="T347" s="23"/>
      <c r="U347" s="373" t="str">
        <f t="shared" si="23"/>
        <v/>
      </c>
      <c r="V347" s="370"/>
      <c r="W347" s="1"/>
      <c r="X347" s="15"/>
      <c r="Y347" s="15"/>
      <c r="Z347" s="15"/>
      <c r="AA347" s="15"/>
      <c r="AB347" s="15"/>
      <c r="AC347" s="16"/>
      <c r="AD347" s="307">
        <f t="shared" si="24"/>
        <v>0</v>
      </c>
      <c r="AG347" s="87"/>
      <c r="AH347" s="87"/>
    </row>
    <row r="348" spans="1:34" hidden="1">
      <c r="A348" s="1"/>
      <c r="B348" s="12" t="s">
        <v>818</v>
      </c>
      <c r="C348" s="423"/>
      <c r="D348" s="424"/>
      <c r="E348" s="424"/>
      <c r="F348" s="424"/>
      <c r="G348" s="424"/>
      <c r="H348" s="424"/>
      <c r="I348" s="424"/>
      <c r="J348" s="424"/>
      <c r="K348" s="424"/>
      <c r="L348" s="425"/>
      <c r="M348" s="426"/>
      <c r="N348" s="427"/>
      <c r="O348" s="421"/>
      <c r="P348" s="422"/>
      <c r="Q348" s="421"/>
      <c r="R348" s="422"/>
      <c r="S348" s="69"/>
      <c r="T348" s="23"/>
      <c r="U348" s="373" t="str">
        <f t="shared" si="23"/>
        <v/>
      </c>
      <c r="V348" s="370"/>
      <c r="W348" s="1"/>
      <c r="X348" s="15"/>
      <c r="Y348" s="15"/>
      <c r="Z348" s="15"/>
      <c r="AA348" s="15"/>
      <c r="AB348" s="15"/>
      <c r="AC348" s="16"/>
      <c r="AD348" s="307">
        <f t="shared" si="24"/>
        <v>0</v>
      </c>
      <c r="AG348" s="87"/>
      <c r="AH348" s="87"/>
    </row>
    <row r="349" spans="1:34" hidden="1">
      <c r="A349" s="1"/>
      <c r="B349" s="12" t="s">
        <v>819</v>
      </c>
      <c r="C349" s="423"/>
      <c r="D349" s="424"/>
      <c r="E349" s="424"/>
      <c r="F349" s="424"/>
      <c r="G349" s="424"/>
      <c r="H349" s="424"/>
      <c r="I349" s="424"/>
      <c r="J349" s="424"/>
      <c r="K349" s="424"/>
      <c r="L349" s="425"/>
      <c r="M349" s="426"/>
      <c r="N349" s="427"/>
      <c r="O349" s="421"/>
      <c r="P349" s="422"/>
      <c r="Q349" s="421"/>
      <c r="R349" s="422"/>
      <c r="S349" s="69"/>
      <c r="T349" s="23"/>
      <c r="U349" s="373" t="str">
        <f t="shared" si="23"/>
        <v/>
      </c>
      <c r="V349" s="370"/>
      <c r="W349" s="1"/>
      <c r="X349" s="15"/>
      <c r="Y349" s="15"/>
      <c r="Z349" s="15"/>
      <c r="AA349" s="15"/>
      <c r="AB349" s="15"/>
      <c r="AC349" s="16"/>
      <c r="AD349" s="307">
        <f t="shared" si="24"/>
        <v>0</v>
      </c>
      <c r="AG349" s="87"/>
      <c r="AH349" s="87"/>
    </row>
    <row r="350" spans="1:34" hidden="1">
      <c r="A350" s="1"/>
      <c r="B350" s="12" t="s">
        <v>820</v>
      </c>
      <c r="C350" s="423"/>
      <c r="D350" s="424"/>
      <c r="E350" s="424"/>
      <c r="F350" s="424"/>
      <c r="G350" s="424"/>
      <c r="H350" s="424"/>
      <c r="I350" s="424"/>
      <c r="J350" s="424"/>
      <c r="K350" s="424"/>
      <c r="L350" s="425"/>
      <c r="M350" s="426"/>
      <c r="N350" s="427"/>
      <c r="O350" s="421"/>
      <c r="P350" s="422"/>
      <c r="Q350" s="421"/>
      <c r="R350" s="422"/>
      <c r="S350" s="69"/>
      <c r="T350" s="23"/>
      <c r="U350" s="373" t="str">
        <f t="shared" si="23"/>
        <v/>
      </c>
      <c r="V350" s="370"/>
      <c r="W350" s="1"/>
      <c r="X350" s="15"/>
      <c r="Y350" s="15"/>
      <c r="Z350" s="15"/>
      <c r="AA350" s="15"/>
      <c r="AB350" s="15"/>
      <c r="AC350" s="16"/>
      <c r="AD350" s="307">
        <f t="shared" si="24"/>
        <v>0</v>
      </c>
      <c r="AG350" s="87"/>
      <c r="AH350" s="87"/>
    </row>
    <row r="351" spans="1:34" hidden="1">
      <c r="A351" s="1"/>
      <c r="B351" s="12" t="s">
        <v>821</v>
      </c>
      <c r="C351" s="423"/>
      <c r="D351" s="424"/>
      <c r="E351" s="424"/>
      <c r="F351" s="424"/>
      <c r="G351" s="424"/>
      <c r="H351" s="424"/>
      <c r="I351" s="424"/>
      <c r="J351" s="424"/>
      <c r="K351" s="424"/>
      <c r="L351" s="425"/>
      <c r="M351" s="426"/>
      <c r="N351" s="427"/>
      <c r="O351" s="421"/>
      <c r="P351" s="422"/>
      <c r="Q351" s="421"/>
      <c r="R351" s="422"/>
      <c r="S351" s="69"/>
      <c r="T351" s="23"/>
      <c r="U351" s="373" t="str">
        <f t="shared" si="23"/>
        <v/>
      </c>
      <c r="V351" s="370"/>
      <c r="W351" s="1"/>
      <c r="X351" s="15"/>
      <c r="Y351" s="15"/>
      <c r="Z351" s="15"/>
      <c r="AA351" s="15"/>
      <c r="AB351" s="15"/>
      <c r="AC351" s="16"/>
      <c r="AD351" s="307">
        <f t="shared" si="24"/>
        <v>0</v>
      </c>
      <c r="AG351" s="87"/>
      <c r="AH351" s="87"/>
    </row>
    <row r="352" spans="1:34" hidden="1">
      <c r="A352" s="1"/>
      <c r="B352" s="12" t="s">
        <v>822</v>
      </c>
      <c r="C352" s="423"/>
      <c r="D352" s="424"/>
      <c r="E352" s="424"/>
      <c r="F352" s="424"/>
      <c r="G352" s="424"/>
      <c r="H352" s="424"/>
      <c r="I352" s="424"/>
      <c r="J352" s="424"/>
      <c r="K352" s="424"/>
      <c r="L352" s="425"/>
      <c r="M352" s="426"/>
      <c r="N352" s="427"/>
      <c r="O352" s="421"/>
      <c r="P352" s="422"/>
      <c r="Q352" s="421"/>
      <c r="R352" s="422"/>
      <c r="S352" s="69"/>
      <c r="T352" s="23"/>
      <c r="U352" s="373" t="str">
        <f t="shared" si="23"/>
        <v/>
      </c>
      <c r="V352" s="370"/>
      <c r="W352" s="1"/>
      <c r="X352" s="15"/>
      <c r="Y352" s="15"/>
      <c r="Z352" s="15"/>
      <c r="AA352" s="15"/>
      <c r="AB352" s="15"/>
      <c r="AC352" s="16"/>
      <c r="AD352" s="307">
        <f t="shared" si="24"/>
        <v>0</v>
      </c>
      <c r="AG352" s="87"/>
      <c r="AH352" s="87"/>
    </row>
    <row r="353" spans="1:49" hidden="1">
      <c r="A353" s="1"/>
      <c r="B353" s="12" t="s">
        <v>823</v>
      </c>
      <c r="C353" s="423"/>
      <c r="D353" s="424"/>
      <c r="E353" s="424"/>
      <c r="F353" s="424"/>
      <c r="G353" s="424"/>
      <c r="H353" s="424"/>
      <c r="I353" s="424"/>
      <c r="J353" s="424"/>
      <c r="K353" s="424"/>
      <c r="L353" s="425"/>
      <c r="M353" s="426"/>
      <c r="N353" s="427"/>
      <c r="O353" s="421"/>
      <c r="P353" s="422"/>
      <c r="Q353" s="421"/>
      <c r="R353" s="422"/>
      <c r="S353" s="69"/>
      <c r="T353" s="23"/>
      <c r="U353" s="373" t="str">
        <f t="shared" si="23"/>
        <v/>
      </c>
      <c r="V353" s="370"/>
      <c r="W353" s="1"/>
      <c r="X353" s="15"/>
      <c r="Y353" s="15"/>
      <c r="Z353" s="15"/>
      <c r="AA353" s="15"/>
      <c r="AB353" s="15"/>
      <c r="AC353" s="16"/>
      <c r="AD353" s="307">
        <f t="shared" si="24"/>
        <v>0</v>
      </c>
      <c r="AG353" s="87"/>
      <c r="AH353" s="87"/>
    </row>
    <row r="354" spans="1:49" hidden="1">
      <c r="A354" s="1"/>
      <c r="B354" s="12" t="s">
        <v>824</v>
      </c>
      <c r="C354" s="423"/>
      <c r="D354" s="424"/>
      <c r="E354" s="424"/>
      <c r="F354" s="424"/>
      <c r="G354" s="424"/>
      <c r="H354" s="424"/>
      <c r="I354" s="424"/>
      <c r="J354" s="424"/>
      <c r="K354" s="424"/>
      <c r="L354" s="425"/>
      <c r="M354" s="426"/>
      <c r="N354" s="427"/>
      <c r="O354" s="421"/>
      <c r="P354" s="422"/>
      <c r="Q354" s="421"/>
      <c r="R354" s="422"/>
      <c r="S354" s="69"/>
      <c r="T354" s="23"/>
      <c r="U354" s="373" t="str">
        <f t="shared" si="23"/>
        <v/>
      </c>
      <c r="V354" s="370"/>
      <c r="W354" s="1"/>
      <c r="X354" s="15"/>
      <c r="Y354" s="15"/>
      <c r="Z354" s="15"/>
      <c r="AA354" s="15"/>
      <c r="AB354" s="15"/>
      <c r="AC354" s="16"/>
      <c r="AD354" s="307">
        <f t="shared" si="24"/>
        <v>0</v>
      </c>
      <c r="AG354" s="87"/>
      <c r="AH354" s="87"/>
    </row>
    <row r="355" spans="1:49" hidden="1">
      <c r="A355" s="1"/>
      <c r="B355" s="12" t="s">
        <v>825</v>
      </c>
      <c r="C355" s="423"/>
      <c r="D355" s="424"/>
      <c r="E355" s="424"/>
      <c r="F355" s="424"/>
      <c r="G355" s="424"/>
      <c r="H355" s="424"/>
      <c r="I355" s="424"/>
      <c r="J355" s="424"/>
      <c r="K355" s="424"/>
      <c r="L355" s="425"/>
      <c r="M355" s="426"/>
      <c r="N355" s="427"/>
      <c r="O355" s="421"/>
      <c r="P355" s="422"/>
      <c r="Q355" s="421"/>
      <c r="R355" s="422"/>
      <c r="S355" s="69"/>
      <c r="T355" s="23"/>
      <c r="U355" s="373" t="str">
        <f t="shared" si="23"/>
        <v/>
      </c>
      <c r="V355" s="370"/>
      <c r="W355" s="1"/>
      <c r="X355" s="15"/>
      <c r="Y355" s="15"/>
      <c r="Z355" s="15"/>
      <c r="AA355" s="15"/>
      <c r="AB355" s="15"/>
      <c r="AC355" s="16"/>
      <c r="AD355" s="307">
        <f t="shared" si="24"/>
        <v>0</v>
      </c>
      <c r="AG355" s="87"/>
      <c r="AH355" s="87"/>
    </row>
    <row r="356" spans="1:49" hidden="1">
      <c r="A356" s="1"/>
      <c r="B356" s="12" t="s">
        <v>826</v>
      </c>
      <c r="C356" s="423"/>
      <c r="D356" s="424"/>
      <c r="E356" s="424"/>
      <c r="F356" s="424"/>
      <c r="G356" s="424"/>
      <c r="H356" s="424"/>
      <c r="I356" s="424"/>
      <c r="J356" s="424"/>
      <c r="K356" s="424"/>
      <c r="L356" s="425"/>
      <c r="M356" s="426"/>
      <c r="N356" s="427"/>
      <c r="O356" s="421"/>
      <c r="P356" s="422"/>
      <c r="Q356" s="421"/>
      <c r="R356" s="422"/>
      <c r="S356" s="69"/>
      <c r="T356" s="23"/>
      <c r="U356" s="373" t="str">
        <f t="shared" si="23"/>
        <v/>
      </c>
      <c r="V356" s="370"/>
      <c r="W356" s="1"/>
      <c r="X356" s="15"/>
      <c r="Y356" s="15"/>
      <c r="Z356" s="15"/>
      <c r="AA356" s="15"/>
      <c r="AB356" s="15"/>
      <c r="AC356" s="16"/>
      <c r="AD356" s="307">
        <f t="shared" si="24"/>
        <v>0</v>
      </c>
      <c r="AG356" s="87"/>
      <c r="AH356" s="87"/>
    </row>
    <row r="357" spans="1:49" hidden="1">
      <c r="A357" s="1"/>
      <c r="B357" s="12" t="s">
        <v>827</v>
      </c>
      <c r="C357" s="423"/>
      <c r="D357" s="424"/>
      <c r="E357" s="424"/>
      <c r="F357" s="424"/>
      <c r="G357" s="424"/>
      <c r="H357" s="424"/>
      <c r="I357" s="424"/>
      <c r="J357" s="424"/>
      <c r="K357" s="424"/>
      <c r="L357" s="425"/>
      <c r="M357" s="426"/>
      <c r="N357" s="427"/>
      <c r="O357" s="421"/>
      <c r="P357" s="422"/>
      <c r="Q357" s="421"/>
      <c r="R357" s="422"/>
      <c r="S357" s="69"/>
      <c r="T357" s="23"/>
      <c r="U357" s="373" t="str">
        <f t="shared" si="23"/>
        <v/>
      </c>
      <c r="V357" s="370"/>
      <c r="W357" s="1"/>
      <c r="X357" s="15"/>
      <c r="Y357" s="15"/>
      <c r="Z357" s="15"/>
      <c r="AA357" s="15"/>
      <c r="AB357" s="15"/>
      <c r="AC357" s="16"/>
      <c r="AD357" s="307">
        <f t="shared" si="24"/>
        <v>0</v>
      </c>
      <c r="AG357" s="87"/>
      <c r="AH357" s="87"/>
    </row>
    <row r="358" spans="1:49" hidden="1">
      <c r="A358" s="1"/>
      <c r="B358" s="12" t="s">
        <v>828</v>
      </c>
      <c r="C358" s="423"/>
      <c r="D358" s="424"/>
      <c r="E358" s="424"/>
      <c r="F358" s="424"/>
      <c r="G358" s="424"/>
      <c r="H358" s="424"/>
      <c r="I358" s="424"/>
      <c r="J358" s="424"/>
      <c r="K358" s="424"/>
      <c r="L358" s="425"/>
      <c r="M358" s="426"/>
      <c r="N358" s="427"/>
      <c r="O358" s="421"/>
      <c r="P358" s="422"/>
      <c r="Q358" s="421"/>
      <c r="R358" s="422"/>
      <c r="S358" s="69"/>
      <c r="T358" s="23"/>
      <c r="U358" s="373" t="str">
        <f t="shared" si="23"/>
        <v/>
      </c>
      <c r="V358" s="370"/>
      <c r="W358" s="1"/>
      <c r="X358" s="15"/>
      <c r="Y358" s="15"/>
      <c r="Z358" s="15"/>
      <c r="AA358" s="15"/>
      <c r="AB358" s="15"/>
      <c r="AC358" s="16"/>
      <c r="AD358" s="307">
        <f t="shared" si="24"/>
        <v>0</v>
      </c>
      <c r="AG358" s="87"/>
      <c r="AH358" s="87"/>
    </row>
    <row r="359" spans="1:49" hidden="1">
      <c r="A359" s="1"/>
      <c r="B359" s="12" t="s">
        <v>829</v>
      </c>
      <c r="C359" s="507"/>
      <c r="D359" s="508"/>
      <c r="E359" s="508"/>
      <c r="F359" s="508"/>
      <c r="G359" s="508"/>
      <c r="H359" s="508"/>
      <c r="I359" s="508"/>
      <c r="J359" s="508"/>
      <c r="K359" s="508"/>
      <c r="L359" s="558"/>
      <c r="M359" s="559"/>
      <c r="N359" s="560"/>
      <c r="O359" s="531"/>
      <c r="P359" s="532"/>
      <c r="Q359" s="421"/>
      <c r="R359" s="422"/>
      <c r="S359" s="69"/>
      <c r="T359" s="23"/>
      <c r="U359" s="373" t="str">
        <f t="shared" si="23"/>
        <v/>
      </c>
      <c r="V359" s="370"/>
      <c r="W359" s="1"/>
      <c r="X359" s="15"/>
      <c r="Y359" s="15"/>
      <c r="Z359" s="15"/>
      <c r="AA359" s="15"/>
      <c r="AB359" s="15"/>
      <c r="AC359" s="16"/>
      <c r="AD359" s="307">
        <f t="shared" si="24"/>
        <v>0</v>
      </c>
      <c r="AG359" s="87"/>
      <c r="AH359" s="87"/>
    </row>
    <row r="360" spans="1:49" ht="4.5" customHeight="1" thickBot="1">
      <c r="A360" s="1"/>
      <c r="B360" s="4"/>
      <c r="C360" s="4"/>
      <c r="D360" s="4"/>
      <c r="E360" s="4"/>
      <c r="F360" s="4"/>
      <c r="G360" s="4"/>
      <c r="H360" s="4"/>
      <c r="I360" s="4"/>
      <c r="J360" s="4"/>
      <c r="K360" s="4"/>
      <c r="L360" s="4"/>
      <c r="M360" s="4"/>
      <c r="N360" s="4"/>
      <c r="O360" s="4"/>
      <c r="P360" s="4"/>
      <c r="Q360" s="4"/>
      <c r="R360" s="4"/>
      <c r="S360" s="4"/>
      <c r="T360" s="4"/>
      <c r="U360" s="4"/>
      <c r="V360" s="4"/>
      <c r="W360" s="1"/>
      <c r="X360" s="15"/>
      <c r="Y360" s="15"/>
      <c r="Z360" s="15"/>
      <c r="AA360" s="15"/>
      <c r="AB360" s="15"/>
      <c r="AC360" s="16"/>
      <c r="AG360" s="87"/>
      <c r="AH360" s="87"/>
    </row>
    <row r="361" spans="1:49" ht="18" customHeight="1">
      <c r="A361" s="1"/>
      <c r="B361" s="20" t="s">
        <v>639</v>
      </c>
      <c r="C361" s="8"/>
      <c r="D361" s="8"/>
      <c r="E361" s="8"/>
      <c r="F361" s="8"/>
      <c r="G361" s="35"/>
      <c r="H361" s="8"/>
      <c r="J361" s="479" t="s">
        <v>190</v>
      </c>
      <c r="K361" s="479"/>
      <c r="L361" s="479"/>
      <c r="M361" s="479"/>
      <c r="N361" s="43" t="s">
        <v>172</v>
      </c>
      <c r="O361" s="24"/>
      <c r="P361" s="43" t="s">
        <v>171</v>
      </c>
      <c r="Q361" s="9"/>
      <c r="R361" s="9"/>
      <c r="S361" s="48" t="str">
        <f>IF(AD361&gt;0,"INC","")</f>
        <v/>
      </c>
      <c r="T361" s="49" t="s">
        <v>170</v>
      </c>
      <c r="U361" s="412">
        <f ca="1">ROUND(SUM(U363:U491)+SUM(U494:U513)+SUM(U516:U550),2)</f>
        <v>0</v>
      </c>
      <c r="V361" s="413"/>
      <c r="W361" s="1"/>
      <c r="X361" s="15"/>
      <c r="Y361" s="15"/>
      <c r="Z361" s="15"/>
      <c r="AA361" s="15"/>
      <c r="AB361" s="15"/>
      <c r="AC361" s="16"/>
      <c r="AD361" s="307">
        <f>SUM(AD362:AD550)</f>
        <v>0</v>
      </c>
      <c r="AG361" s="87"/>
      <c r="AH361" s="87"/>
    </row>
    <row r="362" spans="1:49" s="105" customFormat="1" ht="17.25" hidden="1" customHeight="1">
      <c r="A362" s="97"/>
      <c r="B362" s="115" t="s">
        <v>253</v>
      </c>
      <c r="C362" s="99"/>
      <c r="D362" s="97"/>
      <c r="E362" s="97"/>
      <c r="F362" s="97"/>
      <c r="G362" s="108"/>
      <c r="H362" s="97"/>
      <c r="I362" s="97"/>
      <c r="J362" s="97"/>
      <c r="K362" s="97"/>
      <c r="L362" s="110"/>
      <c r="M362" s="97"/>
      <c r="N362" s="110"/>
      <c r="O362" s="106"/>
      <c r="P362" s="98" t="s">
        <v>99</v>
      </c>
      <c r="Q362" s="98"/>
      <c r="R362" s="98"/>
      <c r="S362" s="98"/>
      <c r="T362" s="98" t="s">
        <v>127</v>
      </c>
      <c r="U362" s="98" t="s">
        <v>123</v>
      </c>
      <c r="V362" s="98"/>
      <c r="W362" s="97"/>
      <c r="X362" s="103"/>
      <c r="Y362" s="103"/>
      <c r="Z362" s="103"/>
      <c r="AA362" s="103"/>
      <c r="AB362" s="103"/>
      <c r="AC362" s="104"/>
      <c r="AD362" s="306"/>
      <c r="AE362" s="74"/>
      <c r="AF362" s="74"/>
      <c r="AG362" s="87"/>
      <c r="AH362" s="87"/>
      <c r="AI362" s="74"/>
      <c r="AJ362" s="74"/>
      <c r="AK362" s="74"/>
      <c r="AL362" s="74"/>
      <c r="AM362" s="74"/>
      <c r="AN362" s="74"/>
      <c r="AO362" s="74"/>
      <c r="AP362" s="74"/>
      <c r="AQ362" s="74"/>
      <c r="AR362" s="74"/>
      <c r="AS362" s="74"/>
      <c r="AT362" s="74"/>
      <c r="AU362" s="74"/>
      <c r="AV362" s="74"/>
      <c r="AW362" s="74"/>
    </row>
    <row r="363" spans="1:49" ht="13.75" hidden="1" customHeight="1">
      <c r="A363" s="1"/>
      <c r="B363" s="12" t="s">
        <v>677</v>
      </c>
      <c r="C363" s="401" t="str">
        <f>Data!P6</f>
        <v>SWITCH, BROCADE ICX 7450, 24-PORT 1 GBE PoE+ BUNDLE, 4x10G SFP+ UPLINKS, 2x40G QSFP+ UPLINKS/STACKING, DUAL 1000W AC PS, ICX7450-24P-E2, MRN238007</v>
      </c>
      <c r="D363" s="402"/>
      <c r="E363" s="402"/>
      <c r="F363" s="402"/>
      <c r="G363" s="402"/>
      <c r="H363" s="402"/>
      <c r="I363" s="402"/>
      <c r="J363" s="402"/>
      <c r="K363" s="402"/>
      <c r="L363" s="402"/>
      <c r="M363" s="402"/>
      <c r="N363" s="402"/>
      <c r="O363" s="403"/>
      <c r="P363" s="404" t="str">
        <f>Data!Q6</f>
        <v>ICX7450-24P-E2</v>
      </c>
      <c r="Q363" s="405"/>
      <c r="R363" s="405"/>
      <c r="S363" s="406"/>
      <c r="T363" s="137">
        <f ca="1">SUMIF($C$266:$R$295,C363,$T$266:$T$295)</f>
        <v>0</v>
      </c>
      <c r="U363" s="419">
        <f t="shared" ref="U363" ca="1" si="25">IF($E$263="Yes", 0, IF(T363&lt;&gt;0,T363*VLOOKUP(C363,BAN_LAN_Price,4,FALSE),0))</f>
        <v>0</v>
      </c>
      <c r="V363" s="420"/>
      <c r="W363" s="1"/>
      <c r="X363" s="15"/>
      <c r="Y363" s="15"/>
      <c r="Z363" s="15"/>
      <c r="AA363" s="15"/>
      <c r="AB363" s="15"/>
      <c r="AC363" s="16"/>
      <c r="AG363" s="87"/>
      <c r="AH363" s="87"/>
    </row>
    <row r="364" spans="1:49" ht="12.75" hidden="1" customHeight="1">
      <c r="A364" s="1"/>
      <c r="B364" s="12" t="s">
        <v>678</v>
      </c>
      <c r="C364" s="401" t="str">
        <f>Data!P7</f>
        <v>SWITCH, BROCADE ICX 7450, 48-PORT 1 GBE PoE+ BUNDLE, 4x10G SFP+ UPLINKS, 2x40G QSFP+ UPLINKS/STACKING, DUAL 1000W AC PS, ICX7450-48P-E2, MRN238011</v>
      </c>
      <c r="D364" s="402"/>
      <c r="E364" s="402"/>
      <c r="F364" s="402"/>
      <c r="G364" s="402"/>
      <c r="H364" s="402"/>
      <c r="I364" s="402"/>
      <c r="J364" s="402"/>
      <c r="K364" s="402"/>
      <c r="L364" s="402"/>
      <c r="M364" s="402"/>
      <c r="N364" s="402"/>
      <c r="O364" s="403"/>
      <c r="P364" s="404" t="str">
        <f>Data!Q7</f>
        <v>ICX7450-48P-E2</v>
      </c>
      <c r="Q364" s="405"/>
      <c r="R364" s="405"/>
      <c r="S364" s="406"/>
      <c r="T364" s="137">
        <f t="shared" ref="T364:T421" ca="1" si="26">SUMIF($C$266:$R$295,C364,$T$266:$T$295)</f>
        <v>0</v>
      </c>
      <c r="U364" s="399">
        <f t="shared" ref="U364:U405" ca="1" si="27">IF($E$263="Yes", 0, IF(T364&lt;&gt;0,T364*VLOOKUP(C364,BAN_LAN_Price,4,FALSE),0))</f>
        <v>0</v>
      </c>
      <c r="V364" s="400"/>
      <c r="W364" s="1"/>
      <c r="X364" s="15"/>
      <c r="Y364" s="15"/>
      <c r="Z364" s="15"/>
      <c r="AA364" s="15"/>
      <c r="AB364" s="15"/>
      <c r="AC364" s="16"/>
      <c r="AG364" s="87"/>
      <c r="AH364" s="87"/>
    </row>
    <row r="365" spans="1:49" ht="12.75" hidden="1" customHeight="1">
      <c r="A365" s="1"/>
      <c r="B365" s="12" t="s">
        <v>679</v>
      </c>
      <c r="C365" s="401" t="str">
        <f>Data!P8</f>
        <v>SWITCH, BROCADE ICX 7450, 48-PORT 1 GBE SFP BUNDLE, 4x10G SFP+ UPLINKS, 2x40G QSFP+ UPLINKS/STACKING, DUAL 250W AC PS , ICX7450-48F-E2, MRN238009</v>
      </c>
      <c r="D365" s="402"/>
      <c r="E365" s="402"/>
      <c r="F365" s="402"/>
      <c r="G365" s="402"/>
      <c r="H365" s="402"/>
      <c r="I365" s="402"/>
      <c r="J365" s="402"/>
      <c r="K365" s="402"/>
      <c r="L365" s="402"/>
      <c r="M365" s="402"/>
      <c r="N365" s="402"/>
      <c r="O365" s="403"/>
      <c r="P365" s="404" t="str">
        <f>Data!Q8</f>
        <v>ICX7450-48F-E2</v>
      </c>
      <c r="Q365" s="405"/>
      <c r="R365" s="405"/>
      <c r="S365" s="406"/>
      <c r="T365" s="137">
        <f t="shared" ca="1" si="26"/>
        <v>0</v>
      </c>
      <c r="U365" s="399">
        <f t="shared" ca="1" si="27"/>
        <v>0</v>
      </c>
      <c r="V365" s="400"/>
      <c r="W365" s="1"/>
      <c r="X365" s="15"/>
      <c r="Y365" s="15"/>
      <c r="Z365" s="15"/>
      <c r="AA365" s="15"/>
      <c r="AB365" s="15"/>
      <c r="AC365" s="16"/>
      <c r="AG365" s="87"/>
      <c r="AH365" s="87"/>
    </row>
    <row r="366" spans="1:49" ht="12.75" hidden="1" customHeight="1">
      <c r="A366" s="1"/>
      <c r="B366" s="12" t="s">
        <v>680</v>
      </c>
      <c r="C366" s="401" t="str">
        <f>Data!P16</f>
        <v>SWITCH, CISCO CATALYST 2960S, 24 GE PORTS,  DUAL 10G SFP+ PORTS, LAN BASE, WS-C2960S-24TD-L, MRN223262</v>
      </c>
      <c r="D366" s="402"/>
      <c r="E366" s="402"/>
      <c r="F366" s="402"/>
      <c r="G366" s="402"/>
      <c r="H366" s="402"/>
      <c r="I366" s="402"/>
      <c r="J366" s="402"/>
      <c r="K366" s="402"/>
      <c r="L366" s="402"/>
      <c r="M366" s="402"/>
      <c r="N366" s="402"/>
      <c r="O366" s="403"/>
      <c r="P366" s="404" t="str">
        <f>Data!Q16</f>
        <v>WS-C2960S-24TD-L</v>
      </c>
      <c r="Q366" s="405"/>
      <c r="R366" s="405"/>
      <c r="S366" s="406"/>
      <c r="T366" s="137">
        <f t="shared" ca="1" si="26"/>
        <v>0</v>
      </c>
      <c r="U366" s="399">
        <f t="shared" ca="1" si="27"/>
        <v>0</v>
      </c>
      <c r="V366" s="400"/>
      <c r="W366" s="1"/>
      <c r="X366" s="15"/>
      <c r="Y366" s="15"/>
      <c r="Z366" s="15"/>
      <c r="AA366" s="15"/>
      <c r="AB366" s="15"/>
      <c r="AC366" s="16"/>
      <c r="AG366" s="87"/>
      <c r="AH366" s="87"/>
    </row>
    <row r="367" spans="1:49" ht="12.75" hidden="1" customHeight="1">
      <c r="A367" s="1"/>
      <c r="B367" s="12" t="s">
        <v>681</v>
      </c>
      <c r="C367" s="401" t="str">
        <f>Data!P18</f>
        <v>SWITCH, CISCO CATALYST 3650, 24 10/100/1000 PORTS, 4 1GE SFP PORTS, IP BASE, DUAL C2-250WAC PS, 50CM STACK CABLE, WS-C3650-24TS-S, MRN237264</v>
      </c>
      <c r="D367" s="402"/>
      <c r="E367" s="402"/>
      <c r="F367" s="402"/>
      <c r="G367" s="402"/>
      <c r="H367" s="402"/>
      <c r="I367" s="402"/>
      <c r="J367" s="402"/>
      <c r="K367" s="402"/>
      <c r="L367" s="402"/>
      <c r="M367" s="402"/>
      <c r="N367" s="402"/>
      <c r="O367" s="403"/>
      <c r="P367" s="404" t="str">
        <f>Data!Q18</f>
        <v>MRN237264</v>
      </c>
      <c r="Q367" s="405"/>
      <c r="R367" s="405"/>
      <c r="S367" s="406"/>
      <c r="T367" s="137">
        <f t="shared" ca="1" si="26"/>
        <v>0</v>
      </c>
      <c r="U367" s="399">
        <f t="shared" ca="1" si="27"/>
        <v>0</v>
      </c>
      <c r="V367" s="400"/>
      <c r="W367" s="1"/>
      <c r="X367" s="15"/>
      <c r="Y367" s="15"/>
      <c r="Z367" s="15"/>
      <c r="AA367" s="15"/>
      <c r="AB367" s="15"/>
      <c r="AC367" s="16"/>
      <c r="AG367" s="87"/>
      <c r="AH367" s="87"/>
    </row>
    <row r="368" spans="1:49" ht="12.75" hidden="1" customHeight="1">
      <c r="A368" s="1"/>
      <c r="B368" s="12" t="s">
        <v>682</v>
      </c>
      <c r="C368" s="401" t="str">
        <f>Data!P19</f>
        <v>SWITCH, CISCO CATALYST 3650, 48 10/100/1000 PORTS, 4 1GE SFP PORTS, IP BASE, DUAL C2-250WAC PS, 50CM STACK CABLE, WS-C3650-48TS-S, MRN237348</v>
      </c>
      <c r="D368" s="402"/>
      <c r="E368" s="402"/>
      <c r="F368" s="402"/>
      <c r="G368" s="402"/>
      <c r="H368" s="402"/>
      <c r="I368" s="402"/>
      <c r="J368" s="402"/>
      <c r="K368" s="402"/>
      <c r="L368" s="402"/>
      <c r="M368" s="402"/>
      <c r="N368" s="402"/>
      <c r="O368" s="403"/>
      <c r="P368" s="404" t="str">
        <f>Data!Q19</f>
        <v>MRN237348</v>
      </c>
      <c r="Q368" s="405"/>
      <c r="R368" s="405"/>
      <c r="S368" s="406"/>
      <c r="T368" s="137">
        <f t="shared" ca="1" si="26"/>
        <v>0</v>
      </c>
      <c r="U368" s="399">
        <f t="shared" ca="1" si="27"/>
        <v>0</v>
      </c>
      <c r="V368" s="400"/>
      <c r="W368" s="1"/>
      <c r="X368" s="15"/>
      <c r="Y368" s="15"/>
      <c r="Z368" s="15"/>
      <c r="AA368" s="15"/>
      <c r="AB368" s="15"/>
      <c r="AC368" s="16"/>
      <c r="AG368" s="87"/>
      <c r="AH368" s="87"/>
    </row>
    <row r="369" spans="1:34" ht="12.75" hidden="1" customHeight="1">
      <c r="A369" s="1"/>
      <c r="B369" s="12" t="s">
        <v>683</v>
      </c>
      <c r="C369" s="401" t="str">
        <f>Data!P21</f>
        <v>SWITCH, CISCO CATALYST 3850, 24 10/100/1000 PORTS, LAN BASE, DUAL C1-350WAC PS, 50CM STACK CABLE, WS-C3850-24T-L, MRN237305</v>
      </c>
      <c r="D369" s="402"/>
      <c r="E369" s="402"/>
      <c r="F369" s="402"/>
      <c r="G369" s="402"/>
      <c r="H369" s="402"/>
      <c r="I369" s="402"/>
      <c r="J369" s="402"/>
      <c r="K369" s="402"/>
      <c r="L369" s="402"/>
      <c r="M369" s="402"/>
      <c r="N369" s="402"/>
      <c r="O369" s="403"/>
      <c r="P369" s="404" t="str">
        <f>Data!Q21</f>
        <v>MRN237305</v>
      </c>
      <c r="Q369" s="405"/>
      <c r="R369" s="405"/>
      <c r="S369" s="406"/>
      <c r="T369" s="137">
        <f t="shared" ca="1" si="26"/>
        <v>0</v>
      </c>
      <c r="U369" s="399">
        <f t="shared" ca="1" si="27"/>
        <v>0</v>
      </c>
      <c r="V369" s="400"/>
      <c r="W369" s="1"/>
      <c r="X369" s="15"/>
      <c r="Y369" s="15"/>
      <c r="Z369" s="15"/>
      <c r="AA369" s="15"/>
      <c r="AB369" s="15"/>
      <c r="AC369" s="16"/>
      <c r="AG369" s="87"/>
      <c r="AH369" s="87"/>
    </row>
    <row r="370" spans="1:34" ht="12.75" hidden="1" customHeight="1">
      <c r="A370" s="1"/>
      <c r="B370" s="12" t="s">
        <v>684</v>
      </c>
      <c r="C370" s="401" t="str">
        <f>Data!P22</f>
        <v>SWITCH, CISCO CATALYST 3850, 48 10/100/1000 PORTS, LAN BASE, DUAL C1-350WAC PS, 50CM STACK CABLE, WS-C3850-48T-L, MRN237306</v>
      </c>
      <c r="D370" s="402"/>
      <c r="E370" s="402"/>
      <c r="F370" s="402"/>
      <c r="G370" s="402"/>
      <c r="H370" s="402"/>
      <c r="I370" s="402"/>
      <c r="J370" s="402"/>
      <c r="K370" s="402"/>
      <c r="L370" s="402"/>
      <c r="M370" s="402"/>
      <c r="N370" s="402"/>
      <c r="O370" s="403"/>
      <c r="P370" s="404" t="str">
        <f>Data!Q22</f>
        <v>MRN237306</v>
      </c>
      <c r="Q370" s="405"/>
      <c r="R370" s="405"/>
      <c r="S370" s="406"/>
      <c r="T370" s="137">
        <f t="shared" ca="1" si="26"/>
        <v>0</v>
      </c>
      <c r="U370" s="399">
        <f t="shared" ca="1" si="27"/>
        <v>0</v>
      </c>
      <c r="V370" s="400"/>
      <c r="W370" s="1"/>
      <c r="X370" s="15"/>
      <c r="Y370" s="15"/>
      <c r="Z370" s="15"/>
      <c r="AA370" s="15"/>
      <c r="AB370" s="15"/>
      <c r="AC370" s="16"/>
      <c r="AG370" s="87"/>
      <c r="AH370" s="87"/>
    </row>
    <row r="371" spans="1:34" ht="12.75" hidden="1" customHeight="1">
      <c r="A371" s="1"/>
      <c r="B371" s="12" t="s">
        <v>685</v>
      </c>
      <c r="C371" s="401" t="str">
        <f>Data!P24</f>
        <v>SWITCH, CISCO CATALYST 3850, 24 10/100/1000 PORTS, IP BASE, DUAL C1-350WAC PS, 50CM STACK CABLE, WS-C3850-24T-S, MRN237307</v>
      </c>
      <c r="D371" s="402"/>
      <c r="E371" s="402"/>
      <c r="F371" s="402"/>
      <c r="G371" s="402"/>
      <c r="H371" s="402"/>
      <c r="I371" s="402"/>
      <c r="J371" s="402"/>
      <c r="K371" s="402"/>
      <c r="L371" s="402"/>
      <c r="M371" s="402"/>
      <c r="N371" s="402"/>
      <c r="O371" s="403"/>
      <c r="P371" s="404" t="str">
        <f>Data!Q24</f>
        <v>MRN237307</v>
      </c>
      <c r="Q371" s="405"/>
      <c r="R371" s="405"/>
      <c r="S371" s="406"/>
      <c r="T371" s="137">
        <f t="shared" ca="1" si="26"/>
        <v>0</v>
      </c>
      <c r="U371" s="399">
        <f t="shared" ca="1" si="27"/>
        <v>0</v>
      </c>
      <c r="V371" s="400"/>
      <c r="W371" s="1"/>
      <c r="X371" s="15"/>
      <c r="Y371" s="15"/>
      <c r="Z371" s="15"/>
      <c r="AA371" s="15"/>
      <c r="AB371" s="15"/>
      <c r="AC371" s="16"/>
      <c r="AG371" s="87"/>
      <c r="AH371" s="87"/>
    </row>
    <row r="372" spans="1:34" ht="12.75" hidden="1" customHeight="1">
      <c r="A372" s="1"/>
      <c r="B372" s="12" t="s">
        <v>686</v>
      </c>
      <c r="C372" s="401" t="str">
        <f>Data!P25</f>
        <v>SWITCH, CISCO CATALYST 3850, 48 10/100/1000 PORTS, IP BASE, DUAL C1-350WAC PS, 50CM STACK CABLE, WS-C3850-48T-S, MRN237308</v>
      </c>
      <c r="D372" s="402"/>
      <c r="E372" s="402"/>
      <c r="F372" s="402"/>
      <c r="G372" s="402"/>
      <c r="H372" s="402"/>
      <c r="I372" s="402"/>
      <c r="J372" s="402"/>
      <c r="K372" s="402"/>
      <c r="L372" s="402"/>
      <c r="M372" s="402"/>
      <c r="N372" s="402"/>
      <c r="O372" s="403"/>
      <c r="P372" s="404" t="str">
        <f>Data!Q25</f>
        <v>MRN237308</v>
      </c>
      <c r="Q372" s="405"/>
      <c r="R372" s="405"/>
      <c r="S372" s="406"/>
      <c r="T372" s="137">
        <f t="shared" ca="1" si="26"/>
        <v>0</v>
      </c>
      <c r="U372" s="399">
        <f t="shared" ca="1" si="27"/>
        <v>0</v>
      </c>
      <c r="V372" s="400"/>
      <c r="W372" s="1"/>
      <c r="X372" s="15"/>
      <c r="Y372" s="15"/>
      <c r="Z372" s="15"/>
      <c r="AA372" s="15"/>
      <c r="AB372" s="15"/>
      <c r="AC372" s="16"/>
      <c r="AG372" s="87"/>
      <c r="AH372" s="87"/>
    </row>
    <row r="373" spans="1:34" ht="12.75" hidden="1" customHeight="1">
      <c r="A373" s="1"/>
      <c r="B373" s="12" t="s">
        <v>687</v>
      </c>
      <c r="C373" s="401" t="str">
        <f>Data!P27</f>
        <v>SWITCH, CISCO CATALYST 3850, 24 10/100/1000 PORTS, IP SERVICES, DUAL C1-350WAC PS, 50CM STACK CABLE, WS-C3850-24T-E, MRN237315</v>
      </c>
      <c r="D373" s="402"/>
      <c r="E373" s="402"/>
      <c r="F373" s="402"/>
      <c r="G373" s="402"/>
      <c r="H373" s="402"/>
      <c r="I373" s="402"/>
      <c r="J373" s="402"/>
      <c r="K373" s="402"/>
      <c r="L373" s="402"/>
      <c r="M373" s="402"/>
      <c r="N373" s="402"/>
      <c r="O373" s="403"/>
      <c r="P373" s="404" t="str">
        <f>Data!Q27</f>
        <v>MRN237315</v>
      </c>
      <c r="Q373" s="405"/>
      <c r="R373" s="405"/>
      <c r="S373" s="406"/>
      <c r="T373" s="137">
        <f t="shared" ca="1" si="26"/>
        <v>0</v>
      </c>
      <c r="U373" s="399">
        <f t="shared" ca="1" si="27"/>
        <v>0</v>
      </c>
      <c r="V373" s="400"/>
      <c r="W373" s="1"/>
      <c r="X373" s="15"/>
      <c r="Y373" s="15"/>
      <c r="Z373" s="15"/>
      <c r="AA373" s="15"/>
      <c r="AB373" s="15"/>
      <c r="AC373" s="16"/>
      <c r="AG373" s="87"/>
      <c r="AH373" s="87"/>
    </row>
    <row r="374" spans="1:34" ht="12.75" hidden="1" customHeight="1">
      <c r="A374" s="1"/>
      <c r="B374" s="12" t="s">
        <v>688</v>
      </c>
      <c r="C374" s="401" t="str">
        <f>Data!P29</f>
        <v>SWITCH, CISCO CATALYST 3850, 24 10/100/1000 POE PORTS, LAN BASE, DUAL C1-715WAC PS, 50CM STACK CABLE, WS-C3850-24P-L, MRN237313</v>
      </c>
      <c r="D374" s="402"/>
      <c r="E374" s="402"/>
      <c r="F374" s="402"/>
      <c r="G374" s="402"/>
      <c r="H374" s="402"/>
      <c r="I374" s="402"/>
      <c r="J374" s="402"/>
      <c r="K374" s="402"/>
      <c r="L374" s="402"/>
      <c r="M374" s="402"/>
      <c r="N374" s="402"/>
      <c r="O374" s="403"/>
      <c r="P374" s="404" t="str">
        <f>Data!Q29</f>
        <v>MRN237313</v>
      </c>
      <c r="Q374" s="405"/>
      <c r="R374" s="405"/>
      <c r="S374" s="406"/>
      <c r="T374" s="137">
        <f t="shared" ca="1" si="26"/>
        <v>0</v>
      </c>
      <c r="U374" s="399">
        <f t="shared" ca="1" si="27"/>
        <v>0</v>
      </c>
      <c r="V374" s="400"/>
      <c r="W374" s="1"/>
      <c r="X374" s="15"/>
      <c r="Y374" s="15"/>
      <c r="Z374" s="15"/>
      <c r="AA374" s="15"/>
      <c r="AB374" s="15"/>
      <c r="AC374" s="16"/>
      <c r="AG374" s="87"/>
      <c r="AH374" s="87"/>
    </row>
    <row r="375" spans="1:34" ht="12.75" hidden="1" customHeight="1">
      <c r="A375" s="1"/>
      <c r="B375" s="12" t="s">
        <v>689</v>
      </c>
      <c r="C375" s="401" t="str">
        <f>Data!P31</f>
        <v>SWITCH, CISCO CATALYST 3850, 24 10/100/1000 POE PORTS, IP BASE, DUAL C1-715WAC PS, 50CM STACK CABLE, WS-C3850-24P-S, MRN237309</v>
      </c>
      <c r="D375" s="402"/>
      <c r="E375" s="402"/>
      <c r="F375" s="402"/>
      <c r="G375" s="402"/>
      <c r="H375" s="402"/>
      <c r="I375" s="402"/>
      <c r="J375" s="402"/>
      <c r="K375" s="402"/>
      <c r="L375" s="402"/>
      <c r="M375" s="402"/>
      <c r="N375" s="402"/>
      <c r="O375" s="403"/>
      <c r="P375" s="404" t="str">
        <f>Data!Q31</f>
        <v>MRN237309</v>
      </c>
      <c r="Q375" s="405"/>
      <c r="R375" s="405"/>
      <c r="S375" s="406"/>
      <c r="T375" s="137">
        <f t="shared" ca="1" si="26"/>
        <v>0</v>
      </c>
      <c r="U375" s="399">
        <f t="shared" ca="1" si="27"/>
        <v>0</v>
      </c>
      <c r="V375" s="400"/>
      <c r="W375" s="1"/>
      <c r="X375" s="15"/>
      <c r="Y375" s="15"/>
      <c r="Z375" s="15"/>
      <c r="AA375" s="15"/>
      <c r="AB375" s="15"/>
      <c r="AC375" s="16"/>
      <c r="AG375" s="87"/>
      <c r="AH375" s="87"/>
    </row>
    <row r="376" spans="1:34" ht="12.75" hidden="1" customHeight="1">
      <c r="A376" s="1"/>
      <c r="B376" s="12" t="s">
        <v>690</v>
      </c>
      <c r="C376" s="401" t="str">
        <f>Data!P32</f>
        <v>SWITCH, CISCO CATALYST 3850, 48 10/100/1000 POE PORTS, IP BASE, DUAL C1-715WAC PS, 50CM STACK CABLE, WS-C3850-48P-S, MRN237316</v>
      </c>
      <c r="D376" s="402"/>
      <c r="E376" s="402"/>
      <c r="F376" s="402"/>
      <c r="G376" s="402"/>
      <c r="H376" s="402"/>
      <c r="I376" s="402"/>
      <c r="J376" s="402"/>
      <c r="K376" s="402"/>
      <c r="L376" s="402"/>
      <c r="M376" s="402"/>
      <c r="N376" s="402"/>
      <c r="O376" s="403"/>
      <c r="P376" s="404" t="str">
        <f>Data!Q32</f>
        <v>MRN237316</v>
      </c>
      <c r="Q376" s="405"/>
      <c r="R376" s="405"/>
      <c r="S376" s="406"/>
      <c r="T376" s="137">
        <f t="shared" ca="1" si="26"/>
        <v>0</v>
      </c>
      <c r="U376" s="399">
        <f t="shared" ca="1" si="27"/>
        <v>0</v>
      </c>
      <c r="V376" s="400"/>
      <c r="W376" s="1"/>
      <c r="X376" s="15"/>
      <c r="Y376" s="15"/>
      <c r="Z376" s="15"/>
      <c r="AA376" s="15"/>
      <c r="AB376" s="15"/>
      <c r="AC376" s="16"/>
      <c r="AG376" s="87"/>
      <c r="AH376" s="87"/>
    </row>
    <row r="377" spans="1:34" ht="12.75" hidden="1" customHeight="1">
      <c r="A377" s="1"/>
      <c r="B377" s="12" t="s">
        <v>691</v>
      </c>
      <c r="C377" s="401" t="str">
        <f>Data!P34</f>
        <v>SWITCH, CISCO CATALYST 3850, 48 10/100/1000 POE PORTS, IP BASE, DUAL C1-1100WAC PS, 50CM STACK CABLE, WS-C3850-48F-S, MRN237310</v>
      </c>
      <c r="D377" s="402"/>
      <c r="E377" s="402"/>
      <c r="F377" s="402"/>
      <c r="G377" s="402"/>
      <c r="H377" s="402"/>
      <c r="I377" s="402"/>
      <c r="J377" s="402"/>
      <c r="K377" s="402"/>
      <c r="L377" s="402"/>
      <c r="M377" s="402"/>
      <c r="N377" s="402"/>
      <c r="O377" s="403"/>
      <c r="P377" s="404" t="str">
        <f>Data!Q34</f>
        <v>MRN237310</v>
      </c>
      <c r="Q377" s="405"/>
      <c r="R377" s="405"/>
      <c r="S377" s="406"/>
      <c r="T377" s="137">
        <f t="shared" ca="1" si="26"/>
        <v>0</v>
      </c>
      <c r="U377" s="399">
        <f t="shared" ca="1" si="27"/>
        <v>0</v>
      </c>
      <c r="V377" s="400"/>
      <c r="W377" s="1"/>
      <c r="X377" s="15"/>
      <c r="Y377" s="15"/>
      <c r="Z377" s="15"/>
      <c r="AA377" s="15"/>
      <c r="AB377" s="15"/>
      <c r="AC377" s="16"/>
      <c r="AG377" s="87"/>
      <c r="AH377" s="87"/>
    </row>
    <row r="378" spans="1:34" ht="12.75" hidden="1" customHeight="1">
      <c r="A378" s="1"/>
      <c r="B378" s="12" t="s">
        <v>692</v>
      </c>
      <c r="C378" s="401" t="str">
        <f>Data!P36</f>
        <v>SWITCH, CISCO CATALYST 3850, 24 10/100/1000 POE PORTS, IP SERVICES, DUAL C1-715WAC PS, 50CM STACK CABLE, WS-C3850-24P-E, MRN237314</v>
      </c>
      <c r="D378" s="402"/>
      <c r="E378" s="402"/>
      <c r="F378" s="402"/>
      <c r="G378" s="402"/>
      <c r="H378" s="402"/>
      <c r="I378" s="402"/>
      <c r="J378" s="402"/>
      <c r="K378" s="402"/>
      <c r="L378" s="402"/>
      <c r="M378" s="402"/>
      <c r="N378" s="402"/>
      <c r="O378" s="403"/>
      <c r="P378" s="404" t="str">
        <f>Data!Q36</f>
        <v>MRN237314</v>
      </c>
      <c r="Q378" s="405"/>
      <c r="R378" s="405"/>
      <c r="S378" s="406"/>
      <c r="T378" s="137">
        <f t="shared" ca="1" si="26"/>
        <v>0</v>
      </c>
      <c r="U378" s="399">
        <f t="shared" ca="1" si="27"/>
        <v>0</v>
      </c>
      <c r="V378" s="400"/>
      <c r="W378" s="1"/>
      <c r="X378" s="15"/>
      <c r="Y378" s="15"/>
      <c r="Z378" s="15"/>
      <c r="AA378" s="15"/>
      <c r="AB378" s="15"/>
      <c r="AC378" s="16"/>
      <c r="AG378" s="87"/>
      <c r="AH378" s="87"/>
    </row>
    <row r="379" spans="1:34" ht="12.75" hidden="1" customHeight="1">
      <c r="A379" s="1"/>
      <c r="B379" s="12" t="s">
        <v>693</v>
      </c>
      <c r="C379" s="401" t="str">
        <f>Data!P38</f>
        <v>SWITCH, CISCO CATALYST 3850, 24 10/100/1000 PORTS, 4 1GE SFP PORTS, LAN BASE, DUAL C1-350WAC PS, 50CM STACK CABLE, WS-C3850-24T-L, MRN237267</v>
      </c>
      <c r="D379" s="402"/>
      <c r="E379" s="402"/>
      <c r="F379" s="402"/>
      <c r="G379" s="402"/>
      <c r="H379" s="402"/>
      <c r="I379" s="402"/>
      <c r="J379" s="402"/>
      <c r="K379" s="402"/>
      <c r="L379" s="402"/>
      <c r="M379" s="402"/>
      <c r="N379" s="402"/>
      <c r="O379" s="403"/>
      <c r="P379" s="404" t="str">
        <f>Data!Q38</f>
        <v>MRN237267</v>
      </c>
      <c r="Q379" s="405"/>
      <c r="R379" s="405"/>
      <c r="S379" s="406"/>
      <c r="T379" s="137">
        <f t="shared" ca="1" si="26"/>
        <v>0</v>
      </c>
      <c r="U379" s="399">
        <f t="shared" ca="1" si="27"/>
        <v>0</v>
      </c>
      <c r="V379" s="400"/>
      <c r="W379" s="1"/>
      <c r="X379" s="15"/>
      <c r="Y379" s="15"/>
      <c r="Z379" s="15"/>
      <c r="AA379" s="15"/>
      <c r="AB379" s="15"/>
      <c r="AC379" s="16"/>
      <c r="AG379" s="87"/>
      <c r="AH379" s="87"/>
    </row>
    <row r="380" spans="1:34" ht="12.75" hidden="1" customHeight="1">
      <c r="A380" s="1"/>
      <c r="B380" s="12" t="s">
        <v>694</v>
      </c>
      <c r="C380" s="401" t="str">
        <f>Data!P39</f>
        <v>SWITCH, CISCO CATALYST 3850, 48 10/100/1000 PORTS, 4 1GE SFP PORTS, LAN BASE, DUAL C1-350WAC PS, 50CM STACK CABLE, WS-C3850-48T-L, MRN237270</v>
      </c>
      <c r="D380" s="402"/>
      <c r="E380" s="402"/>
      <c r="F380" s="402"/>
      <c r="G380" s="402"/>
      <c r="H380" s="402"/>
      <c r="I380" s="402"/>
      <c r="J380" s="402"/>
      <c r="K380" s="402"/>
      <c r="L380" s="402"/>
      <c r="M380" s="402"/>
      <c r="N380" s="402"/>
      <c r="O380" s="403"/>
      <c r="P380" s="404" t="str">
        <f>Data!Q39</f>
        <v>MRN237270</v>
      </c>
      <c r="Q380" s="405"/>
      <c r="R380" s="405"/>
      <c r="S380" s="406"/>
      <c r="T380" s="137">
        <f t="shared" ca="1" si="26"/>
        <v>0</v>
      </c>
      <c r="U380" s="399">
        <f t="shared" ca="1" si="27"/>
        <v>0</v>
      </c>
      <c r="V380" s="400"/>
      <c r="W380" s="1"/>
      <c r="X380" s="15"/>
      <c r="Y380" s="15"/>
      <c r="Z380" s="15"/>
      <c r="AA380" s="15"/>
      <c r="AB380" s="15"/>
      <c r="AC380" s="16"/>
      <c r="AG380" s="87"/>
      <c r="AH380" s="87"/>
    </row>
    <row r="381" spans="1:34" ht="12.75" hidden="1" customHeight="1">
      <c r="A381" s="1"/>
      <c r="B381" s="12" t="s">
        <v>695</v>
      </c>
      <c r="C381" s="401" t="str">
        <f>Data!P41</f>
        <v>SWITCH, CISCO CATALYST 3850, 24 10/100/1000 PORTS, 4 1GE SFP PORTS, IP BASE, DUAL C1-350WAC PS, 50CM STACK CABLE, WS-C3850-24T-S, MRN237276</v>
      </c>
      <c r="D381" s="402"/>
      <c r="E381" s="402"/>
      <c r="F381" s="402"/>
      <c r="G381" s="402"/>
      <c r="H381" s="402"/>
      <c r="I381" s="402"/>
      <c r="J381" s="402"/>
      <c r="K381" s="402"/>
      <c r="L381" s="402"/>
      <c r="M381" s="402"/>
      <c r="N381" s="402"/>
      <c r="O381" s="403"/>
      <c r="P381" s="404" t="str">
        <f>Data!Q41</f>
        <v>MRN237276</v>
      </c>
      <c r="Q381" s="405"/>
      <c r="R381" s="405"/>
      <c r="S381" s="406"/>
      <c r="T381" s="137">
        <f t="shared" ca="1" si="26"/>
        <v>0</v>
      </c>
      <c r="U381" s="399">
        <f t="shared" ca="1" si="27"/>
        <v>0</v>
      </c>
      <c r="V381" s="400"/>
      <c r="W381" s="1"/>
      <c r="X381" s="15"/>
      <c r="Y381" s="15"/>
      <c r="Z381" s="15"/>
      <c r="AA381" s="15"/>
      <c r="AB381" s="15"/>
      <c r="AC381" s="16"/>
      <c r="AG381" s="87"/>
      <c r="AH381" s="87"/>
    </row>
    <row r="382" spans="1:34" ht="12.75" hidden="1" customHeight="1">
      <c r="A382" s="1"/>
      <c r="B382" s="12" t="s">
        <v>696</v>
      </c>
      <c r="C382" s="401" t="str">
        <f>Data!P42</f>
        <v>SWITCH, CISCO CATALYST 3850, 48 10/100/1000 PORTS, 4 1GE SFP PORTS, IP BASE, DUAL C1-350WAC PS, 50CM STACK CABLE, WS-C3850-48T-S, MRN237279</v>
      </c>
      <c r="D382" s="402"/>
      <c r="E382" s="402"/>
      <c r="F382" s="402"/>
      <c r="G382" s="402"/>
      <c r="H382" s="402"/>
      <c r="I382" s="402"/>
      <c r="J382" s="402"/>
      <c r="K382" s="402"/>
      <c r="L382" s="402"/>
      <c r="M382" s="402"/>
      <c r="N382" s="402"/>
      <c r="O382" s="403"/>
      <c r="P382" s="404" t="str">
        <f>Data!Q42</f>
        <v>MRN237279</v>
      </c>
      <c r="Q382" s="405"/>
      <c r="R382" s="405"/>
      <c r="S382" s="406"/>
      <c r="T382" s="137">
        <f t="shared" ca="1" si="26"/>
        <v>0</v>
      </c>
      <c r="U382" s="399">
        <f t="shared" ca="1" si="27"/>
        <v>0</v>
      </c>
      <c r="V382" s="400"/>
      <c r="W382" s="1"/>
      <c r="X382" s="15"/>
      <c r="Y382" s="15"/>
      <c r="Z382" s="15"/>
      <c r="AA382" s="15"/>
      <c r="AB382" s="15"/>
      <c r="AC382" s="16"/>
      <c r="AG382" s="87"/>
      <c r="AH382" s="87"/>
    </row>
    <row r="383" spans="1:34" ht="12.75" hidden="1" customHeight="1">
      <c r="A383" s="1"/>
      <c r="B383" s="12" t="s">
        <v>697</v>
      </c>
      <c r="C383" s="401" t="str">
        <f>Data!P44</f>
        <v>SWITCH, CISCO CATALYST 3850, 24 10/100/1000 PORTS, 4 1GE SFP PORTS, IP SERVICES, DUAL C1-350WAC PS, 50CM STACK CABLE, WS-C3850-24T-E, MRN237300</v>
      </c>
      <c r="D383" s="402"/>
      <c r="E383" s="402"/>
      <c r="F383" s="402"/>
      <c r="G383" s="402"/>
      <c r="H383" s="402"/>
      <c r="I383" s="402"/>
      <c r="J383" s="402"/>
      <c r="K383" s="402"/>
      <c r="L383" s="402"/>
      <c r="M383" s="402"/>
      <c r="N383" s="402"/>
      <c r="O383" s="403"/>
      <c r="P383" s="404" t="str">
        <f>Data!Q44</f>
        <v>MRN237300</v>
      </c>
      <c r="Q383" s="405"/>
      <c r="R383" s="405"/>
      <c r="S383" s="406"/>
      <c r="T383" s="137">
        <f t="shared" ca="1" si="26"/>
        <v>0</v>
      </c>
      <c r="U383" s="399">
        <f t="shared" ca="1" si="27"/>
        <v>0</v>
      </c>
      <c r="V383" s="400"/>
      <c r="W383" s="1"/>
      <c r="X383" s="15"/>
      <c r="Y383" s="15"/>
      <c r="Z383" s="15"/>
      <c r="AA383" s="15"/>
      <c r="AB383" s="15"/>
      <c r="AC383" s="16"/>
      <c r="AG383" s="87"/>
      <c r="AH383" s="87"/>
    </row>
    <row r="384" spans="1:34" ht="12.75" hidden="1" customHeight="1">
      <c r="A384" s="1"/>
      <c r="B384" s="12" t="s">
        <v>698</v>
      </c>
      <c r="C384" s="401" t="str">
        <f>Data!P46</f>
        <v>SWITCH, CISCO CATALYST 3850, 24 10/100/1000 PORTS, 2 10GE SFP PORTS, LAN BASE, DUAL C1-350WAC PS, 50CM STACK CABLE, WS-C3850-24T-L, MRN237269</v>
      </c>
      <c r="D384" s="402"/>
      <c r="E384" s="402"/>
      <c r="F384" s="402"/>
      <c r="G384" s="402"/>
      <c r="H384" s="402"/>
      <c r="I384" s="402"/>
      <c r="J384" s="402"/>
      <c r="K384" s="402"/>
      <c r="L384" s="402"/>
      <c r="M384" s="402"/>
      <c r="N384" s="402"/>
      <c r="O384" s="403"/>
      <c r="P384" s="404" t="str">
        <f>Data!Q46</f>
        <v>MRN237269</v>
      </c>
      <c r="Q384" s="405"/>
      <c r="R384" s="405"/>
      <c r="S384" s="406"/>
      <c r="T384" s="137">
        <f t="shared" ca="1" si="26"/>
        <v>0</v>
      </c>
      <c r="U384" s="399">
        <f t="shared" ca="1" si="27"/>
        <v>0</v>
      </c>
      <c r="V384" s="400"/>
      <c r="W384" s="1"/>
      <c r="X384" s="15"/>
      <c r="Y384" s="15"/>
      <c r="Z384" s="15"/>
      <c r="AA384" s="15"/>
      <c r="AB384" s="15"/>
      <c r="AC384" s="16"/>
      <c r="AG384" s="87"/>
      <c r="AH384" s="87"/>
    </row>
    <row r="385" spans="1:34" ht="12.75" hidden="1" customHeight="1">
      <c r="A385" s="1"/>
      <c r="B385" s="12" t="s">
        <v>699</v>
      </c>
      <c r="C385" s="401" t="str">
        <f>Data!P47</f>
        <v>SWITCH, CISCO CATALYST 3850, 48 10/100/1000 PORTS, 2 10GE SFP PORTS, LAN BASE, DUAL C1-350WAC PS, 50CM STACK CABLE, WS-C3850-48T-L, MRN237275</v>
      </c>
      <c r="D385" s="402"/>
      <c r="E385" s="402"/>
      <c r="F385" s="402"/>
      <c r="G385" s="402"/>
      <c r="H385" s="402"/>
      <c r="I385" s="402"/>
      <c r="J385" s="402"/>
      <c r="K385" s="402"/>
      <c r="L385" s="402"/>
      <c r="M385" s="402"/>
      <c r="N385" s="402"/>
      <c r="O385" s="403"/>
      <c r="P385" s="404" t="str">
        <f>Data!Q47</f>
        <v>MRN237275</v>
      </c>
      <c r="Q385" s="405"/>
      <c r="R385" s="405"/>
      <c r="S385" s="406"/>
      <c r="T385" s="137">
        <f t="shared" ca="1" si="26"/>
        <v>0</v>
      </c>
      <c r="U385" s="399">
        <f t="shared" ca="1" si="27"/>
        <v>0</v>
      </c>
      <c r="V385" s="400"/>
      <c r="W385" s="1"/>
      <c r="X385" s="15"/>
      <c r="Y385" s="15"/>
      <c r="Z385" s="15"/>
      <c r="AA385" s="15"/>
      <c r="AB385" s="15"/>
      <c r="AC385" s="16"/>
      <c r="AG385" s="87"/>
      <c r="AH385" s="87"/>
    </row>
    <row r="386" spans="1:34" ht="12.75" hidden="1" customHeight="1">
      <c r="A386" s="1"/>
      <c r="B386" s="12" t="s">
        <v>700</v>
      </c>
      <c r="C386" s="401" t="str">
        <f>Data!P49</f>
        <v>SWITCH, CISCO CATALYST 3850, 24 10/100/1000 PORTS, 2 10GE SFP PORTS, IP BASE, DUAL C1-350WAC PS, 50CM STACK CABLE, WS-C3850-24T-S, MRN237277</v>
      </c>
      <c r="D386" s="402"/>
      <c r="E386" s="402"/>
      <c r="F386" s="402"/>
      <c r="G386" s="402"/>
      <c r="H386" s="402"/>
      <c r="I386" s="402"/>
      <c r="J386" s="402"/>
      <c r="K386" s="402"/>
      <c r="L386" s="402"/>
      <c r="M386" s="402"/>
      <c r="N386" s="402"/>
      <c r="O386" s="403"/>
      <c r="P386" s="404" t="str">
        <f>Data!Q49</f>
        <v>MRN237277</v>
      </c>
      <c r="Q386" s="405"/>
      <c r="R386" s="405"/>
      <c r="S386" s="406"/>
      <c r="T386" s="137">
        <f t="shared" ca="1" si="26"/>
        <v>0</v>
      </c>
      <c r="U386" s="399">
        <f t="shared" ca="1" si="27"/>
        <v>0</v>
      </c>
      <c r="V386" s="400"/>
      <c r="W386" s="1"/>
      <c r="X386" s="15"/>
      <c r="Y386" s="15"/>
      <c r="Z386" s="15"/>
      <c r="AA386" s="15"/>
      <c r="AB386" s="15"/>
      <c r="AC386" s="16"/>
      <c r="AG386" s="87"/>
      <c r="AH386" s="87"/>
    </row>
    <row r="387" spans="1:34" ht="12.75" hidden="1" customHeight="1">
      <c r="A387" s="1"/>
      <c r="B387" s="12" t="s">
        <v>701</v>
      </c>
      <c r="C387" s="401" t="str">
        <f>Data!P50</f>
        <v>SWITCH, CISCO CATALYST 3850, 48 10/100/1000 PORTS, 2 10GE SFP PORTS, IP BASE, DUAL C1-350WAC PS, 50CM STACK CABLE, WS-C3850-48T-S, MRN237280</v>
      </c>
      <c r="D387" s="402"/>
      <c r="E387" s="402"/>
      <c r="F387" s="402"/>
      <c r="G387" s="402"/>
      <c r="H387" s="402"/>
      <c r="I387" s="402"/>
      <c r="J387" s="402"/>
      <c r="K387" s="402"/>
      <c r="L387" s="402"/>
      <c r="M387" s="402"/>
      <c r="N387" s="402"/>
      <c r="O387" s="403"/>
      <c r="P387" s="404" t="str">
        <f>Data!Q50</f>
        <v>MRN237280</v>
      </c>
      <c r="Q387" s="405"/>
      <c r="R387" s="405"/>
      <c r="S387" s="406"/>
      <c r="T387" s="137">
        <f t="shared" ca="1" si="26"/>
        <v>0</v>
      </c>
      <c r="U387" s="399">
        <f t="shared" ca="1" si="27"/>
        <v>0</v>
      </c>
      <c r="V387" s="400"/>
      <c r="W387" s="1"/>
      <c r="X387" s="15"/>
      <c r="Y387" s="15"/>
      <c r="Z387" s="15"/>
      <c r="AA387" s="15"/>
      <c r="AB387" s="15"/>
      <c r="AC387" s="16"/>
      <c r="AG387" s="87"/>
      <c r="AH387" s="87"/>
    </row>
    <row r="388" spans="1:34" ht="12.75" hidden="1" customHeight="1">
      <c r="A388" s="1"/>
      <c r="B388" s="12" t="s">
        <v>702</v>
      </c>
      <c r="C388" s="401" t="str">
        <f>Data!P52</f>
        <v>SWITCH, CISCO CATALYST 3850, 24 10/100/1000 PORTS, 2 10GE SFP PORTS, IP SERVICES, DUAL C1-350WAC PS, 50CM STACK CABLE, WS-C3850-24T-E, MRN237301</v>
      </c>
      <c r="D388" s="402"/>
      <c r="E388" s="402"/>
      <c r="F388" s="402"/>
      <c r="G388" s="402"/>
      <c r="H388" s="402"/>
      <c r="I388" s="402"/>
      <c r="J388" s="402"/>
      <c r="K388" s="402"/>
      <c r="L388" s="402"/>
      <c r="M388" s="402"/>
      <c r="N388" s="402"/>
      <c r="O388" s="403"/>
      <c r="P388" s="404" t="str">
        <f>Data!Q52</f>
        <v>MRN237301</v>
      </c>
      <c r="Q388" s="405"/>
      <c r="R388" s="405"/>
      <c r="S388" s="406"/>
      <c r="T388" s="137">
        <f t="shared" ca="1" si="26"/>
        <v>0</v>
      </c>
      <c r="U388" s="399">
        <f t="shared" ca="1" si="27"/>
        <v>0</v>
      </c>
      <c r="V388" s="400"/>
      <c r="W388" s="1"/>
      <c r="X388" s="15"/>
      <c r="Y388" s="15"/>
      <c r="Z388" s="15"/>
      <c r="AA388" s="15"/>
      <c r="AB388" s="15"/>
      <c r="AC388" s="16"/>
      <c r="AG388" s="87"/>
      <c r="AH388" s="87"/>
    </row>
    <row r="389" spans="1:34" ht="12.75" hidden="1" customHeight="1">
      <c r="A389" s="1"/>
      <c r="B389" s="12" t="s">
        <v>703</v>
      </c>
      <c r="C389" s="401" t="str">
        <f>Data!P54</f>
        <v>SWITCH, CISCO CATALYST 3850, 24 10/100/1000 POE PORTS, 4 1GE SFP PORTS, LAN BASE, DUAL C1-715WAC PS, 50CM STACK CABLE, WS-C3850-24P-L, MRN237295</v>
      </c>
      <c r="D389" s="402"/>
      <c r="E389" s="402"/>
      <c r="F389" s="402"/>
      <c r="G389" s="402"/>
      <c r="H389" s="402"/>
      <c r="I389" s="402"/>
      <c r="J389" s="402"/>
      <c r="K389" s="402"/>
      <c r="L389" s="402"/>
      <c r="M389" s="402"/>
      <c r="N389" s="402"/>
      <c r="O389" s="403"/>
      <c r="P389" s="404" t="str">
        <f>Data!Q54</f>
        <v>MRN237295</v>
      </c>
      <c r="Q389" s="405"/>
      <c r="R389" s="405"/>
      <c r="S389" s="406"/>
      <c r="T389" s="137">
        <f t="shared" ca="1" si="26"/>
        <v>0</v>
      </c>
      <c r="U389" s="399">
        <f t="shared" ca="1" si="27"/>
        <v>0</v>
      </c>
      <c r="V389" s="400"/>
      <c r="W389" s="1"/>
      <c r="X389" s="15"/>
      <c r="Y389" s="15"/>
      <c r="Z389" s="15"/>
      <c r="AA389" s="15"/>
      <c r="AB389" s="15"/>
      <c r="AC389" s="16"/>
      <c r="AG389" s="87"/>
      <c r="AH389" s="87"/>
    </row>
    <row r="390" spans="1:34" ht="12.75" hidden="1" customHeight="1">
      <c r="A390" s="1"/>
      <c r="B390" s="12" t="s">
        <v>704</v>
      </c>
      <c r="C390" s="401" t="str">
        <f>Data!P56</f>
        <v>SWITCH, CISCO CATALYST 3850, 24 10/100/1000 POE PORTS, 4 1GE SFP PORTS, IP BASE, DUAL C1-715WAC PS, 50CM STACK CABLE, WS-C3850-24P-S, MRN237282</v>
      </c>
      <c r="D390" s="402"/>
      <c r="E390" s="402"/>
      <c r="F390" s="402"/>
      <c r="G390" s="402"/>
      <c r="H390" s="402"/>
      <c r="I390" s="402"/>
      <c r="J390" s="402"/>
      <c r="K390" s="402"/>
      <c r="L390" s="402"/>
      <c r="M390" s="402"/>
      <c r="N390" s="402"/>
      <c r="O390" s="403"/>
      <c r="P390" s="404" t="str">
        <f>Data!Q56</f>
        <v>MRN237282</v>
      </c>
      <c r="Q390" s="405"/>
      <c r="R390" s="405"/>
      <c r="S390" s="406"/>
      <c r="T390" s="137">
        <f t="shared" ca="1" si="26"/>
        <v>0</v>
      </c>
      <c r="U390" s="399">
        <f t="shared" ca="1" si="27"/>
        <v>0</v>
      </c>
      <c r="V390" s="400"/>
      <c r="W390" s="1"/>
      <c r="X390" s="15"/>
      <c r="Y390" s="15"/>
      <c r="Z390" s="15"/>
      <c r="AA390" s="15"/>
      <c r="AB390" s="15"/>
      <c r="AC390" s="16"/>
      <c r="AG390" s="87"/>
      <c r="AH390" s="87"/>
    </row>
    <row r="391" spans="1:34" ht="12.75" hidden="1" customHeight="1">
      <c r="A391" s="1"/>
      <c r="B391" s="12" t="s">
        <v>705</v>
      </c>
      <c r="C391" s="401" t="str">
        <f>Data!P57</f>
        <v>SWITCH, CISCO CATALYST 3850, 48 10/100/1000 POE PORTS, 4 1GE SFP PORTS, IP BASE, DUAL C1-715WAC PS, 50CM STACK CABLE, WS-C3850-48P-S, MRN237303</v>
      </c>
      <c r="D391" s="402"/>
      <c r="E391" s="402"/>
      <c r="F391" s="402"/>
      <c r="G391" s="402"/>
      <c r="H391" s="402"/>
      <c r="I391" s="402"/>
      <c r="J391" s="402"/>
      <c r="K391" s="402"/>
      <c r="L391" s="402"/>
      <c r="M391" s="402"/>
      <c r="N391" s="402"/>
      <c r="O391" s="403"/>
      <c r="P391" s="404" t="str">
        <f>Data!Q57</f>
        <v>MRN237303</v>
      </c>
      <c r="Q391" s="405"/>
      <c r="R391" s="405"/>
      <c r="S391" s="406"/>
      <c r="T391" s="137">
        <f t="shared" ca="1" si="26"/>
        <v>0</v>
      </c>
      <c r="U391" s="399">
        <f t="shared" ca="1" si="27"/>
        <v>0</v>
      </c>
      <c r="V391" s="400"/>
      <c r="W391" s="1"/>
      <c r="X391" s="15"/>
      <c r="Y391" s="15"/>
      <c r="Z391" s="15"/>
      <c r="AA391" s="15"/>
      <c r="AB391" s="15"/>
      <c r="AC391" s="16"/>
      <c r="AG391" s="87"/>
      <c r="AH391" s="87"/>
    </row>
    <row r="392" spans="1:34" ht="12.75" hidden="1" customHeight="1">
      <c r="A392" s="1"/>
      <c r="B392" s="12" t="s">
        <v>706</v>
      </c>
      <c r="C392" s="401" t="str">
        <f>Data!P59</f>
        <v>SWITCH, CISCO CATALYST 3850, 48 10/100/1000 POE PORTS, 4 1GE SFP PORTS, IP BASE, DUAL C1-1100WAC PS, 50CM STACK CABLE, WS-C3850-48F-S, MRN237285</v>
      </c>
      <c r="D392" s="402"/>
      <c r="E392" s="402"/>
      <c r="F392" s="402"/>
      <c r="G392" s="402"/>
      <c r="H392" s="402"/>
      <c r="I392" s="402"/>
      <c r="J392" s="402"/>
      <c r="K392" s="402"/>
      <c r="L392" s="402"/>
      <c r="M392" s="402"/>
      <c r="N392" s="402"/>
      <c r="O392" s="403"/>
      <c r="P392" s="404" t="str">
        <f>Data!Q59</f>
        <v>MRN237285</v>
      </c>
      <c r="Q392" s="405"/>
      <c r="R392" s="405"/>
      <c r="S392" s="406"/>
      <c r="T392" s="137">
        <f t="shared" ca="1" si="26"/>
        <v>0</v>
      </c>
      <c r="U392" s="399">
        <f t="shared" ca="1" si="27"/>
        <v>0</v>
      </c>
      <c r="V392" s="400"/>
      <c r="W392" s="1"/>
      <c r="X392" s="15"/>
      <c r="Y392" s="15"/>
      <c r="Z392" s="15"/>
      <c r="AA392" s="15"/>
      <c r="AB392" s="15"/>
      <c r="AC392" s="16"/>
      <c r="AG392" s="87"/>
      <c r="AH392" s="87"/>
    </row>
    <row r="393" spans="1:34" ht="12.75" hidden="1" customHeight="1">
      <c r="A393" s="1"/>
      <c r="B393" s="12" t="s">
        <v>707</v>
      </c>
      <c r="C393" s="401" t="str">
        <f>Data!P61</f>
        <v>SWITCH, CISCO CATALYST 3850, 24 10/100/1000 POE PORTS, 4 1GE SFP PORTS, IP SERVICES, DUAL C1-715WAC PS, 50CM STACK CABLE, WS-C3850-24P-E, MRN237297</v>
      </c>
      <c r="D393" s="402"/>
      <c r="E393" s="402"/>
      <c r="F393" s="402"/>
      <c r="G393" s="402"/>
      <c r="H393" s="402"/>
      <c r="I393" s="402"/>
      <c r="J393" s="402"/>
      <c r="K393" s="402"/>
      <c r="L393" s="402"/>
      <c r="M393" s="402"/>
      <c r="N393" s="402"/>
      <c r="O393" s="403"/>
      <c r="P393" s="404" t="str">
        <f>Data!Q61</f>
        <v>MRN237297</v>
      </c>
      <c r="Q393" s="405"/>
      <c r="R393" s="405"/>
      <c r="S393" s="406"/>
      <c r="T393" s="137">
        <f t="shared" ca="1" si="26"/>
        <v>0</v>
      </c>
      <c r="U393" s="399">
        <f t="shared" ca="1" si="27"/>
        <v>0</v>
      </c>
      <c r="V393" s="400"/>
      <c r="W393" s="1"/>
      <c r="X393" s="15"/>
      <c r="Y393" s="15"/>
      <c r="Z393" s="15"/>
      <c r="AA393" s="15"/>
      <c r="AB393" s="15"/>
      <c r="AC393" s="16"/>
      <c r="AG393" s="87"/>
      <c r="AH393" s="87"/>
    </row>
    <row r="394" spans="1:34" ht="12.75" hidden="1" customHeight="1">
      <c r="A394" s="1"/>
      <c r="B394" s="12" t="s">
        <v>708</v>
      </c>
      <c r="C394" s="401" t="str">
        <f>Data!P63</f>
        <v>SWITCH, CISCO CATALYST 3850, 24 10/100/1000 POE PORTS, 2 10GE SFP PORTS, LAN BASE, DUAL C1-715WAC PS, 50CM STACK CABLE, WS-C3850-24P-L, MRN237296</v>
      </c>
      <c r="D394" s="402"/>
      <c r="E394" s="402"/>
      <c r="F394" s="402"/>
      <c r="G394" s="402"/>
      <c r="H394" s="402"/>
      <c r="I394" s="402"/>
      <c r="J394" s="402"/>
      <c r="K394" s="402"/>
      <c r="L394" s="402"/>
      <c r="M394" s="402"/>
      <c r="N394" s="402"/>
      <c r="O394" s="403"/>
      <c r="P394" s="404" t="str">
        <f>Data!Q63</f>
        <v>MRN237296</v>
      </c>
      <c r="Q394" s="405"/>
      <c r="R394" s="405"/>
      <c r="S394" s="406"/>
      <c r="T394" s="137">
        <f t="shared" ca="1" si="26"/>
        <v>0</v>
      </c>
      <c r="U394" s="399">
        <f t="shared" ca="1" si="27"/>
        <v>0</v>
      </c>
      <c r="V394" s="400"/>
      <c r="W394" s="1"/>
      <c r="X394" s="15"/>
      <c r="Y394" s="15"/>
      <c r="Z394" s="15"/>
      <c r="AA394" s="15"/>
      <c r="AB394" s="15"/>
      <c r="AC394" s="16"/>
      <c r="AG394" s="87"/>
      <c r="AH394" s="87"/>
    </row>
    <row r="395" spans="1:34" ht="12.75" hidden="1" customHeight="1">
      <c r="A395" s="1"/>
      <c r="B395" s="12" t="s">
        <v>709</v>
      </c>
      <c r="C395" s="401" t="str">
        <f>Data!P65</f>
        <v>SWITCH, CISCO CATALYST 3850, 24 10/100/1000 POE PORTS, 2 10GE SFP PORTS, IP BASE, DUAL C1-715WAC PS, 50CM STACK CABLE, WS-C3850-24P-S, MRN237283</v>
      </c>
      <c r="D395" s="402"/>
      <c r="E395" s="402"/>
      <c r="F395" s="402"/>
      <c r="G395" s="402"/>
      <c r="H395" s="402"/>
      <c r="I395" s="402"/>
      <c r="J395" s="402"/>
      <c r="K395" s="402"/>
      <c r="L395" s="402"/>
      <c r="M395" s="402"/>
      <c r="N395" s="402"/>
      <c r="O395" s="403"/>
      <c r="P395" s="404" t="str">
        <f>Data!Q65</f>
        <v>MRN237283</v>
      </c>
      <c r="Q395" s="405"/>
      <c r="R395" s="405"/>
      <c r="S395" s="406"/>
      <c r="T395" s="137">
        <f t="shared" ca="1" si="26"/>
        <v>0</v>
      </c>
      <c r="U395" s="399">
        <f t="shared" ca="1" si="27"/>
        <v>0</v>
      </c>
      <c r="V395" s="400"/>
      <c r="W395" s="1"/>
      <c r="X395" s="15"/>
      <c r="Y395" s="15"/>
      <c r="Z395" s="15"/>
      <c r="AA395" s="15"/>
      <c r="AB395" s="15"/>
      <c r="AC395" s="16"/>
      <c r="AG395" s="87"/>
      <c r="AH395" s="87"/>
    </row>
    <row r="396" spans="1:34" ht="12.75" hidden="1" customHeight="1">
      <c r="A396" s="1"/>
      <c r="B396" s="12" t="s">
        <v>710</v>
      </c>
      <c r="C396" s="401" t="str">
        <f>Data!P66</f>
        <v>SWITCH, CISCO CATALYST 3850, 48 10/100/1000 POE PORTS, 2 10GE SFP PORTS, IP BASE, DUAL C1-715WAC PS, 50CM STACK CABLE, WS-C3850-48P-S, MRN237304</v>
      </c>
      <c r="D396" s="402"/>
      <c r="E396" s="402"/>
      <c r="F396" s="402"/>
      <c r="G396" s="402"/>
      <c r="H396" s="402"/>
      <c r="I396" s="402"/>
      <c r="J396" s="402"/>
      <c r="K396" s="402"/>
      <c r="L396" s="402"/>
      <c r="M396" s="402"/>
      <c r="N396" s="402"/>
      <c r="O396" s="403"/>
      <c r="P396" s="404" t="str">
        <f>Data!Q66</f>
        <v>MRN237304</v>
      </c>
      <c r="Q396" s="405"/>
      <c r="R396" s="405"/>
      <c r="S396" s="406"/>
      <c r="T396" s="137">
        <f t="shared" ca="1" si="26"/>
        <v>0</v>
      </c>
      <c r="U396" s="399">
        <f t="shared" ca="1" si="27"/>
        <v>0</v>
      </c>
      <c r="V396" s="400"/>
      <c r="W396" s="1"/>
      <c r="X396" s="15"/>
      <c r="Y396" s="15"/>
      <c r="Z396" s="15"/>
      <c r="AA396" s="15"/>
      <c r="AB396" s="15"/>
      <c r="AC396" s="16"/>
      <c r="AG396" s="87"/>
      <c r="AH396" s="87"/>
    </row>
    <row r="397" spans="1:34" ht="12.75" hidden="1" customHeight="1">
      <c r="A397" s="1"/>
      <c r="B397" s="12" t="s">
        <v>711</v>
      </c>
      <c r="C397" s="401" t="str">
        <f>Data!P68</f>
        <v>SWITCH, CISCO CATALYST 3850, 48 10/100/1000 POE PORTS, 2 10GE SFP PORTS, IP BASE, DUAL C1-1100WAC PS, 50CM STACK CABLE, WS-C3850-48F-S, MRN237286</v>
      </c>
      <c r="D397" s="402"/>
      <c r="E397" s="402"/>
      <c r="F397" s="402"/>
      <c r="G397" s="402"/>
      <c r="H397" s="402"/>
      <c r="I397" s="402"/>
      <c r="J397" s="402"/>
      <c r="K397" s="402"/>
      <c r="L397" s="402"/>
      <c r="M397" s="402"/>
      <c r="N397" s="402"/>
      <c r="O397" s="403"/>
      <c r="P397" s="404" t="str">
        <f>Data!Q68</f>
        <v>MRN237286</v>
      </c>
      <c r="Q397" s="405"/>
      <c r="R397" s="405"/>
      <c r="S397" s="406"/>
      <c r="T397" s="137">
        <f t="shared" ca="1" si="26"/>
        <v>0</v>
      </c>
      <c r="U397" s="399">
        <f t="shared" ca="1" si="27"/>
        <v>0</v>
      </c>
      <c r="V397" s="400"/>
      <c r="W397" s="1"/>
      <c r="X397" s="15"/>
      <c r="Y397" s="15"/>
      <c r="Z397" s="15"/>
      <c r="AA397" s="15"/>
      <c r="AB397" s="15"/>
      <c r="AC397" s="16"/>
      <c r="AG397" s="87"/>
      <c r="AH397" s="87"/>
    </row>
    <row r="398" spans="1:34" ht="12.75" hidden="1" customHeight="1">
      <c r="A398" s="1"/>
      <c r="B398" s="12" t="s">
        <v>712</v>
      </c>
      <c r="C398" s="401" t="str">
        <f>Data!P70</f>
        <v>SWITCH, CISCO CATALYST 3850, 24 10/100/1000 POE PORTS, 2 10GE SFP PORTS, IP SERVICES, DUAL C1-715WAC PS, 50CM STACK CABLE, WS-C3850-24P-E, MRN237298</v>
      </c>
      <c r="D398" s="402"/>
      <c r="E398" s="402"/>
      <c r="F398" s="402"/>
      <c r="G398" s="402"/>
      <c r="H398" s="402"/>
      <c r="I398" s="402"/>
      <c r="J398" s="402"/>
      <c r="K398" s="402"/>
      <c r="L398" s="402"/>
      <c r="M398" s="402"/>
      <c r="N398" s="402"/>
      <c r="O398" s="403"/>
      <c r="P398" s="404" t="str">
        <f>Data!Q70</f>
        <v>MRN237298</v>
      </c>
      <c r="Q398" s="405"/>
      <c r="R398" s="405"/>
      <c r="S398" s="406"/>
      <c r="T398" s="137">
        <f t="shared" ca="1" si="26"/>
        <v>0</v>
      </c>
      <c r="U398" s="399">
        <f t="shared" ca="1" si="27"/>
        <v>0</v>
      </c>
      <c r="V398" s="400"/>
      <c r="W398" s="1"/>
      <c r="X398" s="15"/>
      <c r="Y398" s="15"/>
      <c r="Z398" s="15"/>
      <c r="AA398" s="15"/>
      <c r="AB398" s="15"/>
      <c r="AC398" s="16"/>
      <c r="AG398" s="87"/>
      <c r="AH398" s="87"/>
    </row>
    <row r="399" spans="1:34" ht="12.75" hidden="1" customHeight="1">
      <c r="A399" s="1"/>
      <c r="B399" s="12" t="s">
        <v>713</v>
      </c>
      <c r="C399" s="401" t="str">
        <f>Data!P72</f>
        <v>SWITCH, CISCO CATALYST 3850, 12 1GE SFP PORTS, IP BASE, DUAL C1-350WAC PS, 50CM STACK CABLE, WS-C3850-12S-S, MRN237311</v>
      </c>
      <c r="D399" s="402"/>
      <c r="E399" s="402"/>
      <c r="F399" s="402"/>
      <c r="G399" s="402"/>
      <c r="H399" s="402"/>
      <c r="I399" s="402"/>
      <c r="J399" s="402"/>
      <c r="K399" s="402"/>
      <c r="L399" s="402"/>
      <c r="M399" s="402"/>
      <c r="N399" s="402"/>
      <c r="O399" s="403"/>
      <c r="P399" s="404" t="str">
        <f>Data!Q72</f>
        <v>MRN237311</v>
      </c>
      <c r="Q399" s="405"/>
      <c r="R399" s="405"/>
      <c r="S399" s="406"/>
      <c r="T399" s="137">
        <f t="shared" ca="1" si="26"/>
        <v>0</v>
      </c>
      <c r="U399" s="399">
        <f t="shared" ca="1" si="27"/>
        <v>0</v>
      </c>
      <c r="V399" s="400"/>
      <c r="W399" s="1"/>
      <c r="X399" s="15"/>
      <c r="Y399" s="15"/>
      <c r="Z399" s="15"/>
      <c r="AA399" s="15"/>
      <c r="AB399" s="15"/>
      <c r="AC399" s="16"/>
      <c r="AG399" s="87"/>
      <c r="AH399" s="87"/>
    </row>
    <row r="400" spans="1:34" ht="12.75" hidden="1" customHeight="1">
      <c r="A400" s="1"/>
      <c r="B400" s="12" t="s">
        <v>714</v>
      </c>
      <c r="C400" s="401" t="str">
        <f>Data!P74</f>
        <v>SWITCH, CISCO CATALYST 3850, 12 1GE SFP PORTS, IP SERVICES, DUAL C1-350WAC PS, 50CM STACK CABLE, WS-C3850-12S-E, MRN237312</v>
      </c>
      <c r="D400" s="402"/>
      <c r="E400" s="402"/>
      <c r="F400" s="402"/>
      <c r="G400" s="402"/>
      <c r="H400" s="402"/>
      <c r="I400" s="402"/>
      <c r="J400" s="402"/>
      <c r="K400" s="402"/>
      <c r="L400" s="402"/>
      <c r="M400" s="402"/>
      <c r="N400" s="402"/>
      <c r="O400" s="403"/>
      <c r="P400" s="404" t="str">
        <f>Data!Q74</f>
        <v>MRN237312</v>
      </c>
      <c r="Q400" s="405"/>
      <c r="R400" s="405"/>
      <c r="S400" s="406"/>
      <c r="T400" s="137">
        <f t="shared" ca="1" si="26"/>
        <v>0</v>
      </c>
      <c r="U400" s="399">
        <f t="shared" ca="1" si="27"/>
        <v>0</v>
      </c>
      <c r="V400" s="400"/>
      <c r="W400" s="1"/>
      <c r="X400" s="15"/>
      <c r="Y400" s="15"/>
      <c r="Z400" s="15"/>
      <c r="AA400" s="15"/>
      <c r="AB400" s="15"/>
      <c r="AC400" s="16"/>
      <c r="AG400" s="87"/>
      <c r="AH400" s="87"/>
    </row>
    <row r="401" spans="1:34" ht="12.75" hidden="1" customHeight="1">
      <c r="A401" s="1"/>
      <c r="B401" s="12" t="s">
        <v>715</v>
      </c>
      <c r="C401" s="401" t="str">
        <f>Data!P76</f>
        <v>SWITCH, CISCO CATALYST 3850, 12 + 4 1GE SFP PORTS, IP BASE, DUAL C1-350WAC PS, 50CM STACK CABLE, WS-C3850-12S-S, MRN237289</v>
      </c>
      <c r="D401" s="402"/>
      <c r="E401" s="402"/>
      <c r="F401" s="402"/>
      <c r="G401" s="402"/>
      <c r="H401" s="402"/>
      <c r="I401" s="402"/>
      <c r="J401" s="402"/>
      <c r="K401" s="402"/>
      <c r="L401" s="402"/>
      <c r="M401" s="402"/>
      <c r="N401" s="402"/>
      <c r="O401" s="403"/>
      <c r="P401" s="404" t="str">
        <f>Data!Q76</f>
        <v>MRN237289</v>
      </c>
      <c r="Q401" s="405"/>
      <c r="R401" s="405"/>
      <c r="S401" s="406"/>
      <c r="T401" s="137">
        <f t="shared" ca="1" si="26"/>
        <v>0</v>
      </c>
      <c r="U401" s="399">
        <f t="shared" ca="1" si="27"/>
        <v>0</v>
      </c>
      <c r="V401" s="400"/>
      <c r="W401" s="1"/>
      <c r="X401" s="15"/>
      <c r="Y401" s="15"/>
      <c r="Z401" s="15"/>
      <c r="AA401" s="15"/>
      <c r="AB401" s="15"/>
      <c r="AC401" s="16"/>
      <c r="AG401" s="87"/>
      <c r="AH401" s="87"/>
    </row>
    <row r="402" spans="1:34" ht="12.75" hidden="1" customHeight="1">
      <c r="A402" s="1"/>
      <c r="B402" s="12" t="s">
        <v>716</v>
      </c>
      <c r="C402" s="401" t="str">
        <f>Data!P78</f>
        <v>SWITCH, CISCO CATALYST 3850, 12 + 4 1GE SFP PORTS, IP SERVICES, DUAL C1-350WAC PS, 50CM STACK CABLE, WS-C3850-12S-E, MRN237292</v>
      </c>
      <c r="D402" s="402"/>
      <c r="E402" s="402"/>
      <c r="F402" s="402"/>
      <c r="G402" s="402"/>
      <c r="H402" s="402"/>
      <c r="I402" s="402"/>
      <c r="J402" s="402"/>
      <c r="K402" s="402"/>
      <c r="L402" s="402"/>
      <c r="M402" s="402"/>
      <c r="N402" s="402"/>
      <c r="O402" s="403"/>
      <c r="P402" s="404" t="str">
        <f>Data!Q78</f>
        <v>MRN237292</v>
      </c>
      <c r="Q402" s="405"/>
      <c r="R402" s="405"/>
      <c r="S402" s="406"/>
      <c r="T402" s="137">
        <f t="shared" ca="1" si="26"/>
        <v>0</v>
      </c>
      <c r="U402" s="399">
        <f t="shared" ca="1" si="27"/>
        <v>0</v>
      </c>
      <c r="V402" s="400"/>
      <c r="W402" s="1"/>
      <c r="X402" s="15"/>
      <c r="Y402" s="15"/>
      <c r="Z402" s="15"/>
      <c r="AA402" s="15"/>
      <c r="AB402" s="15"/>
      <c r="AC402" s="16"/>
      <c r="AG402" s="87"/>
      <c r="AH402" s="87"/>
    </row>
    <row r="403" spans="1:34" ht="12.75" hidden="1" customHeight="1">
      <c r="A403" s="1"/>
      <c r="B403" s="12" t="s">
        <v>717</v>
      </c>
      <c r="C403" s="401" t="str">
        <f>Data!P80</f>
        <v>SWITCH, CISCO CATALYST 3850, 12 1GE SFP PORTS, 2 10GE SFP PORTS, IP BASE, DUAL C1-350WAC PS, 50CM STACK CABLE, WS-C3850-12S-S, MRN237290</v>
      </c>
      <c r="D403" s="402"/>
      <c r="E403" s="402"/>
      <c r="F403" s="402"/>
      <c r="G403" s="402"/>
      <c r="H403" s="402"/>
      <c r="I403" s="402"/>
      <c r="J403" s="402"/>
      <c r="K403" s="402"/>
      <c r="L403" s="402"/>
      <c r="M403" s="402"/>
      <c r="N403" s="402"/>
      <c r="O403" s="403"/>
      <c r="P403" s="404" t="str">
        <f>Data!Q80</f>
        <v>MRN237290</v>
      </c>
      <c r="Q403" s="405"/>
      <c r="R403" s="405"/>
      <c r="S403" s="406"/>
      <c r="T403" s="137">
        <f t="shared" ca="1" si="26"/>
        <v>0</v>
      </c>
      <c r="U403" s="399">
        <f t="shared" ca="1" si="27"/>
        <v>0</v>
      </c>
      <c r="V403" s="400"/>
      <c r="W403" s="1"/>
      <c r="X403" s="15"/>
      <c r="Y403" s="15"/>
      <c r="Z403" s="15"/>
      <c r="AA403" s="15"/>
      <c r="AB403" s="15"/>
      <c r="AC403" s="16"/>
      <c r="AG403" s="87"/>
      <c r="AH403" s="87"/>
    </row>
    <row r="404" spans="1:34" ht="12.75" hidden="1" customHeight="1">
      <c r="A404" s="1"/>
      <c r="B404" s="12" t="s">
        <v>718</v>
      </c>
      <c r="C404" s="401" t="str">
        <f>Data!P82</f>
        <v>SWITCH, CISCO CATALYST 3850, 12 1GE SFP PORTS, 2 10GE SFP PORTS, IP SERVICES, DUAL C1-350WAC PS, 50CM STACK CABLE, WS-C3850-12S-E, MRN237293</v>
      </c>
      <c r="D404" s="402"/>
      <c r="E404" s="402"/>
      <c r="F404" s="402"/>
      <c r="G404" s="402"/>
      <c r="H404" s="402"/>
      <c r="I404" s="402"/>
      <c r="J404" s="402"/>
      <c r="K404" s="402"/>
      <c r="L404" s="402"/>
      <c r="M404" s="402"/>
      <c r="N404" s="402"/>
      <c r="O404" s="403"/>
      <c r="P404" s="404" t="str">
        <f>Data!Q82</f>
        <v>MRN237293</v>
      </c>
      <c r="Q404" s="405"/>
      <c r="R404" s="405"/>
      <c r="S404" s="406"/>
      <c r="T404" s="137">
        <f t="shared" ca="1" si="26"/>
        <v>0</v>
      </c>
      <c r="U404" s="399">
        <f t="shared" ca="1" si="27"/>
        <v>0</v>
      </c>
      <c r="V404" s="400"/>
      <c r="W404" s="1"/>
      <c r="X404" s="15"/>
      <c r="Y404" s="15"/>
      <c r="Z404" s="15"/>
      <c r="AA404" s="15"/>
      <c r="AB404" s="15"/>
      <c r="AC404" s="16"/>
      <c r="AG404" s="87"/>
      <c r="AH404" s="87"/>
    </row>
    <row r="405" spans="1:34" ht="12.75" hidden="1" customHeight="1">
      <c r="A405" s="1"/>
      <c r="B405" s="12" t="s">
        <v>719</v>
      </c>
      <c r="C405" s="401" t="str">
        <f>Data!P83</f>
        <v>SWITCH, CISCO CATALYST 4500-X, 16 10GE PORTS, IP BASE, DUAL C4KX-PWR-750AC, WS-C4500X-16SFP+, MRN222254</v>
      </c>
      <c r="D405" s="402"/>
      <c r="E405" s="402"/>
      <c r="F405" s="402"/>
      <c r="G405" s="402"/>
      <c r="H405" s="402"/>
      <c r="I405" s="402"/>
      <c r="J405" s="402"/>
      <c r="K405" s="402"/>
      <c r="L405" s="402"/>
      <c r="M405" s="402"/>
      <c r="N405" s="402"/>
      <c r="O405" s="403"/>
      <c r="P405" s="404" t="str">
        <f>Data!Q83</f>
        <v>MRN222254</v>
      </c>
      <c r="Q405" s="405"/>
      <c r="R405" s="405"/>
      <c r="S405" s="406"/>
      <c r="T405" s="137">
        <f t="shared" ca="1" si="26"/>
        <v>0</v>
      </c>
      <c r="U405" s="399">
        <f t="shared" ca="1" si="27"/>
        <v>0</v>
      </c>
      <c r="V405" s="400"/>
      <c r="W405" s="1"/>
      <c r="X405" s="15"/>
      <c r="Y405" s="15"/>
      <c r="Z405" s="15"/>
      <c r="AA405" s="15"/>
      <c r="AB405" s="15"/>
      <c r="AC405" s="16"/>
      <c r="AG405" s="87"/>
      <c r="AH405" s="87"/>
    </row>
    <row r="406" spans="1:34" ht="12.75" hidden="1" customHeight="1">
      <c r="A406" s="1"/>
      <c r="B406" s="12" t="s">
        <v>720</v>
      </c>
      <c r="C406" s="401" t="str">
        <f>Data!P84</f>
        <v>SWITCH, CISCO CATALYST 4500 E BUNDLE, 3-SLOT CHASSIS, DUAL 1300W PS, SUP 7L-E, WS-C4503-E-SUP7LE-1300W, MRN223228</v>
      </c>
      <c r="D406" s="402"/>
      <c r="E406" s="402"/>
      <c r="F406" s="402"/>
      <c r="G406" s="402"/>
      <c r="H406" s="402"/>
      <c r="I406" s="402"/>
      <c r="J406" s="402"/>
      <c r="K406" s="402"/>
      <c r="L406" s="402"/>
      <c r="M406" s="402"/>
      <c r="N406" s="402"/>
      <c r="O406" s="403"/>
      <c r="P406" s="404" t="str">
        <f>Data!Q84</f>
        <v>MRN223228</v>
      </c>
      <c r="Q406" s="405"/>
      <c r="R406" s="405"/>
      <c r="S406" s="406"/>
      <c r="T406" s="137">
        <f t="shared" ca="1" si="26"/>
        <v>0</v>
      </c>
      <c r="U406" s="399">
        <f t="shared" ref="U406:U438" ca="1" si="28">IF($E$263="Yes", 0, IF(T406&lt;&gt;0,T406*VLOOKUP(C406,BAN_LAN_Price,4,FALSE),0))</f>
        <v>0</v>
      </c>
      <c r="V406" s="400"/>
      <c r="W406" s="1"/>
      <c r="X406" s="15"/>
      <c r="Y406" s="15"/>
      <c r="Z406" s="15"/>
      <c r="AA406" s="15"/>
      <c r="AB406" s="15"/>
      <c r="AC406" s="16"/>
      <c r="AG406" s="87"/>
      <c r="AH406" s="87"/>
    </row>
    <row r="407" spans="1:34" ht="12.75" hidden="1" customHeight="1">
      <c r="A407" s="1"/>
      <c r="B407" s="12" t="s">
        <v>721</v>
      </c>
      <c r="C407" s="401" t="str">
        <f>Data!P85</f>
        <v>SWITCH, CISCO CATALYST 4500 E BUNDLE, 3-SLOT CHASSIS, DUAL 1300W PS, SUP 7-E, WS-C4503-E-SUP7E-1300W, MRN229332</v>
      </c>
      <c r="D407" s="402"/>
      <c r="E407" s="402"/>
      <c r="F407" s="402"/>
      <c r="G407" s="402"/>
      <c r="H407" s="402"/>
      <c r="I407" s="402"/>
      <c r="J407" s="402"/>
      <c r="K407" s="402"/>
      <c r="L407" s="402"/>
      <c r="M407" s="402"/>
      <c r="N407" s="402"/>
      <c r="O407" s="403"/>
      <c r="P407" s="404" t="str">
        <f>Data!Q85</f>
        <v>MRN229332</v>
      </c>
      <c r="Q407" s="405"/>
      <c r="R407" s="405"/>
      <c r="S407" s="406"/>
      <c r="T407" s="137">
        <f t="shared" ca="1" si="26"/>
        <v>0</v>
      </c>
      <c r="U407" s="399">
        <f t="shared" ca="1" si="28"/>
        <v>0</v>
      </c>
      <c r="V407" s="400"/>
      <c r="W407" s="1"/>
      <c r="X407" s="15"/>
      <c r="Y407" s="15"/>
      <c r="Z407" s="15"/>
      <c r="AA407" s="15"/>
      <c r="AB407" s="15"/>
      <c r="AC407" s="16"/>
      <c r="AG407" s="87"/>
      <c r="AH407" s="87"/>
    </row>
    <row r="408" spans="1:34" ht="12.75" hidden="1" customHeight="1">
      <c r="A408" s="1"/>
      <c r="B408" s="12" t="s">
        <v>722</v>
      </c>
      <c r="C408" s="401" t="str">
        <f>Data!P86</f>
        <v>SWITCH, CISCO CATALYST 4500 E BUNDLE, 6-SLOT CHASSIS, DUAL 1300W PS, SUP 7L-E, WS-C4506-E-SUP7LE-1300W, MRN229333</v>
      </c>
      <c r="D408" s="402"/>
      <c r="E408" s="402"/>
      <c r="F408" s="402"/>
      <c r="G408" s="402"/>
      <c r="H408" s="402"/>
      <c r="I408" s="402"/>
      <c r="J408" s="402"/>
      <c r="K408" s="402"/>
      <c r="L408" s="402"/>
      <c r="M408" s="402"/>
      <c r="N408" s="402"/>
      <c r="O408" s="403"/>
      <c r="P408" s="404" t="str">
        <f>Data!Q86</f>
        <v>MRN229333</v>
      </c>
      <c r="Q408" s="405"/>
      <c r="R408" s="405"/>
      <c r="S408" s="406"/>
      <c r="T408" s="137">
        <f t="shared" ca="1" si="26"/>
        <v>0</v>
      </c>
      <c r="U408" s="399">
        <f t="shared" ca="1" si="28"/>
        <v>0</v>
      </c>
      <c r="V408" s="400"/>
      <c r="W408" s="1"/>
      <c r="X408" s="15"/>
      <c r="Y408" s="15"/>
      <c r="Z408" s="15"/>
      <c r="AA408" s="15"/>
      <c r="AB408" s="15"/>
      <c r="AC408" s="16"/>
      <c r="AG408" s="87"/>
      <c r="AH408" s="87"/>
    </row>
    <row r="409" spans="1:34" ht="12.75" hidden="1" customHeight="1">
      <c r="A409" s="1"/>
      <c r="B409" s="12" t="s">
        <v>723</v>
      </c>
      <c r="C409" s="401" t="str">
        <f>Data!P87</f>
        <v>SWITCH, CISCO CATALYST 4500 E BUNDLE, 6-SLOT CHASSIS, DUAL 1300W PS, SUP 7-E, WS-C4506-E-SUP7E-1300W, MRN223231</v>
      </c>
      <c r="D409" s="402"/>
      <c r="E409" s="402"/>
      <c r="F409" s="402"/>
      <c r="G409" s="402"/>
      <c r="H409" s="402"/>
      <c r="I409" s="402"/>
      <c r="J409" s="402"/>
      <c r="K409" s="402"/>
      <c r="L409" s="402"/>
      <c r="M409" s="402"/>
      <c r="N409" s="402"/>
      <c r="O409" s="403"/>
      <c r="P409" s="404" t="str">
        <f>Data!Q87</f>
        <v>MRN223231</v>
      </c>
      <c r="Q409" s="405"/>
      <c r="R409" s="405"/>
      <c r="S409" s="406"/>
      <c r="T409" s="137">
        <f t="shared" ca="1" si="26"/>
        <v>0</v>
      </c>
      <c r="U409" s="399">
        <f t="shared" ca="1" si="28"/>
        <v>0</v>
      </c>
      <c r="V409" s="400"/>
      <c r="W409" s="1"/>
      <c r="X409" s="15"/>
      <c r="Y409" s="15"/>
      <c r="Z409" s="15"/>
      <c r="AA409" s="15"/>
      <c r="AB409" s="15"/>
      <c r="AC409" s="16"/>
      <c r="AG409" s="87"/>
      <c r="AH409" s="87"/>
    </row>
    <row r="410" spans="1:34" ht="12.75" hidden="1" customHeight="1">
      <c r="A410" s="1"/>
      <c r="B410" s="12" t="s">
        <v>724</v>
      </c>
      <c r="C410" s="401" t="str">
        <f>Data!P88</f>
        <v>SWITCH, CISCO CATALYST 4500 E BUNDLE, 6-SLOT CHASSIS, DUAL 2800W PS, SUP 7L-E, WS-C4506-E-SUP7LE-2800W, MRN223232</v>
      </c>
      <c r="D410" s="402"/>
      <c r="E410" s="402"/>
      <c r="F410" s="402"/>
      <c r="G410" s="402"/>
      <c r="H410" s="402"/>
      <c r="I410" s="402"/>
      <c r="J410" s="402"/>
      <c r="K410" s="402"/>
      <c r="L410" s="402"/>
      <c r="M410" s="402"/>
      <c r="N410" s="402"/>
      <c r="O410" s="403"/>
      <c r="P410" s="404" t="str">
        <f>Data!Q88</f>
        <v>MRN223232</v>
      </c>
      <c r="Q410" s="405"/>
      <c r="R410" s="405"/>
      <c r="S410" s="406"/>
      <c r="T410" s="137">
        <f t="shared" ca="1" si="26"/>
        <v>0</v>
      </c>
      <c r="U410" s="399">
        <f t="shared" ca="1" si="28"/>
        <v>0</v>
      </c>
      <c r="V410" s="400"/>
      <c r="W410" s="1"/>
      <c r="X410" s="15"/>
      <c r="Y410" s="15"/>
      <c r="Z410" s="15"/>
      <c r="AA410" s="15"/>
      <c r="AB410" s="15"/>
      <c r="AC410" s="16"/>
      <c r="AG410" s="87"/>
      <c r="AH410" s="87"/>
    </row>
    <row r="411" spans="1:34" ht="12.75" hidden="1" customHeight="1">
      <c r="A411" s="1"/>
      <c r="B411" s="12" t="s">
        <v>725</v>
      </c>
      <c r="C411" s="401" t="str">
        <f>Data!P89</f>
        <v>SWITCH, CISCO CATALYST 4500 E BUNDLE, 6-SLOT CHASSIS, DUAL 2800W PS, SUP 7-E, WS-C4506-E-SUP7E-2800W, MRN223235</v>
      </c>
      <c r="D411" s="402"/>
      <c r="E411" s="402"/>
      <c r="F411" s="402"/>
      <c r="G411" s="402"/>
      <c r="H411" s="402"/>
      <c r="I411" s="402"/>
      <c r="J411" s="402"/>
      <c r="K411" s="402"/>
      <c r="L411" s="402"/>
      <c r="M411" s="402"/>
      <c r="N411" s="402"/>
      <c r="O411" s="403"/>
      <c r="P411" s="404" t="str">
        <f>Data!Q89</f>
        <v>MRN223235</v>
      </c>
      <c r="Q411" s="405"/>
      <c r="R411" s="405"/>
      <c r="S411" s="406"/>
      <c r="T411" s="137">
        <f t="shared" ca="1" si="26"/>
        <v>0</v>
      </c>
      <c r="U411" s="399">
        <f t="shared" ca="1" si="28"/>
        <v>0</v>
      </c>
      <c r="V411" s="400"/>
      <c r="W411" s="1"/>
      <c r="X411" s="15"/>
      <c r="Y411" s="15"/>
      <c r="Z411" s="15"/>
      <c r="AA411" s="15"/>
      <c r="AB411" s="15"/>
      <c r="AC411" s="16"/>
      <c r="AG411" s="87"/>
      <c r="AH411" s="87"/>
    </row>
    <row r="412" spans="1:34" ht="12.75" hidden="1" customHeight="1">
      <c r="A412" s="1"/>
      <c r="B412" s="12" t="s">
        <v>726</v>
      </c>
      <c r="C412" s="401" t="str">
        <f>Data!P90</f>
        <v>SWITCH, CISCO CATALYST 4500 E BUNDLE, 6-SLOT CHASSIS, DUAL 4200W PS, SUP 7L-E, WS-C4506-E-SUP7LE-4200W, MRN223236</v>
      </c>
      <c r="D412" s="402"/>
      <c r="E412" s="402"/>
      <c r="F412" s="402"/>
      <c r="G412" s="402"/>
      <c r="H412" s="402"/>
      <c r="I412" s="402"/>
      <c r="J412" s="402"/>
      <c r="K412" s="402"/>
      <c r="L412" s="402"/>
      <c r="M412" s="402"/>
      <c r="N412" s="402"/>
      <c r="O412" s="403"/>
      <c r="P412" s="404" t="str">
        <f>Data!Q90</f>
        <v>MRN223236</v>
      </c>
      <c r="Q412" s="405"/>
      <c r="R412" s="405"/>
      <c r="S412" s="406"/>
      <c r="T412" s="137">
        <f t="shared" ca="1" si="26"/>
        <v>0</v>
      </c>
      <c r="U412" s="399">
        <f t="shared" ca="1" si="28"/>
        <v>0</v>
      </c>
      <c r="V412" s="400"/>
      <c r="W412" s="1"/>
      <c r="X412" s="15"/>
      <c r="Y412" s="15"/>
      <c r="Z412" s="15"/>
      <c r="AA412" s="15"/>
      <c r="AB412" s="15"/>
      <c r="AC412" s="16"/>
      <c r="AG412" s="87"/>
      <c r="AH412" s="87"/>
    </row>
    <row r="413" spans="1:34" ht="12.75" hidden="1" customHeight="1">
      <c r="A413" s="1"/>
      <c r="B413" s="12" t="s">
        <v>2377</v>
      </c>
      <c r="C413" s="401" t="str">
        <f>Data!P91</f>
        <v>SWITCH, CISCO CATALYST 4500 E BUNDLE, 6-SLOT CHASSIS, DUAL 4200W PS, SUP 7-E, WS-C4506-E-SUP7E-4200W, MRN223240</v>
      </c>
      <c r="D413" s="402"/>
      <c r="E413" s="402"/>
      <c r="F413" s="402"/>
      <c r="G413" s="402"/>
      <c r="H413" s="402"/>
      <c r="I413" s="402"/>
      <c r="J413" s="402"/>
      <c r="K413" s="402"/>
      <c r="L413" s="402"/>
      <c r="M413" s="402"/>
      <c r="N413" s="402"/>
      <c r="O413" s="403"/>
      <c r="P413" s="404" t="str">
        <f>Data!Q91</f>
        <v>MRN223240</v>
      </c>
      <c r="Q413" s="405"/>
      <c r="R413" s="405"/>
      <c r="S413" s="406"/>
      <c r="T413" s="137">
        <f t="shared" ca="1" si="26"/>
        <v>0</v>
      </c>
      <c r="U413" s="399">
        <f t="shared" ca="1" si="28"/>
        <v>0</v>
      </c>
      <c r="V413" s="400"/>
      <c r="W413" s="1"/>
      <c r="X413" s="15"/>
      <c r="Y413" s="15"/>
      <c r="Z413" s="15"/>
      <c r="AA413" s="15"/>
      <c r="AB413" s="15"/>
      <c r="AC413" s="16"/>
      <c r="AG413" s="87"/>
      <c r="AH413" s="87"/>
    </row>
    <row r="414" spans="1:34" ht="12.75" hidden="1" customHeight="1">
      <c r="A414" s="1"/>
      <c r="B414" s="12" t="s">
        <v>2378</v>
      </c>
      <c r="C414" s="401" t="str">
        <f>Data!P92</f>
        <v>SWITCH, CISCO CATALYST 4500 R+E BUNDLE, 7-SLOT CHASSIS, DUAL 1300W PS, SUP 7L-E, WS-C4507-R+E-SUP7LE-1300W, MRN222277</v>
      </c>
      <c r="D414" s="402"/>
      <c r="E414" s="402"/>
      <c r="F414" s="402"/>
      <c r="G414" s="402"/>
      <c r="H414" s="402"/>
      <c r="I414" s="402"/>
      <c r="J414" s="402"/>
      <c r="K414" s="402"/>
      <c r="L414" s="402"/>
      <c r="M414" s="402"/>
      <c r="N414" s="402"/>
      <c r="O414" s="403"/>
      <c r="P414" s="404" t="str">
        <f>Data!Q92</f>
        <v>MRN222277</v>
      </c>
      <c r="Q414" s="405"/>
      <c r="R414" s="405"/>
      <c r="S414" s="406"/>
      <c r="T414" s="137">
        <f t="shared" ca="1" si="26"/>
        <v>0</v>
      </c>
      <c r="U414" s="399">
        <f t="shared" ca="1" si="28"/>
        <v>0</v>
      </c>
      <c r="V414" s="400"/>
      <c r="W414" s="1"/>
      <c r="X414" s="15"/>
      <c r="Y414" s="15"/>
      <c r="Z414" s="15"/>
      <c r="AA414" s="15"/>
      <c r="AB414" s="15"/>
      <c r="AC414" s="16"/>
      <c r="AG414" s="87"/>
      <c r="AH414" s="87"/>
    </row>
    <row r="415" spans="1:34" ht="12.75" hidden="1" customHeight="1">
      <c r="A415" s="1"/>
      <c r="B415" s="12" t="s">
        <v>2379</v>
      </c>
      <c r="C415" s="401" t="str">
        <f>Data!P93</f>
        <v>SWITCH, CISCO CATALYST 4500 R+E BUNDLE, 7-SLOT CHASSIS, DUAL 1300W PS, SUP 7-E, WS-C4507-R+E-SUP7E-1300W, MRN222275</v>
      </c>
      <c r="D415" s="402"/>
      <c r="E415" s="402"/>
      <c r="F415" s="402"/>
      <c r="G415" s="402"/>
      <c r="H415" s="402"/>
      <c r="I415" s="402"/>
      <c r="J415" s="402"/>
      <c r="K415" s="402"/>
      <c r="L415" s="402"/>
      <c r="M415" s="402"/>
      <c r="N415" s="402"/>
      <c r="O415" s="403"/>
      <c r="P415" s="404" t="str">
        <f>Data!Q93</f>
        <v>MRN222275</v>
      </c>
      <c r="Q415" s="405"/>
      <c r="R415" s="405"/>
      <c r="S415" s="406"/>
      <c r="T415" s="137">
        <f t="shared" ca="1" si="26"/>
        <v>0</v>
      </c>
      <c r="U415" s="399">
        <f t="shared" ca="1" si="28"/>
        <v>0</v>
      </c>
      <c r="V415" s="400"/>
      <c r="W415" s="1"/>
      <c r="X415" s="15"/>
      <c r="Y415" s="15"/>
      <c r="Z415" s="15"/>
      <c r="AA415" s="15"/>
      <c r="AB415" s="15"/>
      <c r="AC415" s="16"/>
      <c r="AG415" s="87"/>
      <c r="AH415" s="87"/>
    </row>
    <row r="416" spans="1:34" ht="12.75" hidden="1" customHeight="1">
      <c r="A416" s="1"/>
      <c r="B416" s="12" t="s">
        <v>2380</v>
      </c>
      <c r="C416" s="401" t="str">
        <f>Data!P94</f>
        <v>SWITCH, CISCO CATALYST 4500 R+E BUNDLE, 7-SLOT CHASSIS, DUAL 2800W PS, SUP 7L-E, WS-C4507-R+E-SUP7LE-2800W, MRN223242</v>
      </c>
      <c r="D416" s="402"/>
      <c r="E416" s="402"/>
      <c r="F416" s="402"/>
      <c r="G416" s="402"/>
      <c r="H416" s="402"/>
      <c r="I416" s="402"/>
      <c r="J416" s="402"/>
      <c r="K416" s="402"/>
      <c r="L416" s="402"/>
      <c r="M416" s="402"/>
      <c r="N416" s="402"/>
      <c r="O416" s="403"/>
      <c r="P416" s="404" t="str">
        <f>Data!Q94</f>
        <v>MRN223242</v>
      </c>
      <c r="Q416" s="405"/>
      <c r="R416" s="405"/>
      <c r="S416" s="406"/>
      <c r="T416" s="137">
        <f t="shared" ca="1" si="26"/>
        <v>0</v>
      </c>
      <c r="U416" s="399">
        <f t="shared" ca="1" si="28"/>
        <v>0</v>
      </c>
      <c r="V416" s="400"/>
      <c r="W416" s="1"/>
      <c r="X416" s="15"/>
      <c r="Y416" s="15"/>
      <c r="Z416" s="15"/>
      <c r="AA416" s="15"/>
      <c r="AB416" s="15"/>
      <c r="AC416" s="16"/>
      <c r="AG416" s="87"/>
      <c r="AH416" s="87"/>
    </row>
    <row r="417" spans="1:34" ht="12.75" hidden="1" customHeight="1">
      <c r="A417" s="1"/>
      <c r="B417" s="12" t="s">
        <v>2381</v>
      </c>
      <c r="C417" s="401" t="str">
        <f>Data!P95</f>
        <v>SWITCH, CISCO CATALYST 4500 R+E BUNDLE, 7-SLOT CHASSIS, DUAL 2800W PS, SUP 7-E, WS-C4507-R+E-SUP7E-2800W, MRN223243</v>
      </c>
      <c r="D417" s="402"/>
      <c r="E417" s="402"/>
      <c r="F417" s="402"/>
      <c r="G417" s="402"/>
      <c r="H417" s="402"/>
      <c r="I417" s="402"/>
      <c r="J417" s="402"/>
      <c r="K417" s="402"/>
      <c r="L417" s="402"/>
      <c r="M417" s="402"/>
      <c r="N417" s="402"/>
      <c r="O417" s="403"/>
      <c r="P417" s="404" t="str">
        <f>Data!Q95</f>
        <v>MRN223243</v>
      </c>
      <c r="Q417" s="405"/>
      <c r="R417" s="405"/>
      <c r="S417" s="406"/>
      <c r="T417" s="137">
        <f t="shared" ca="1" si="26"/>
        <v>0</v>
      </c>
      <c r="U417" s="399">
        <f t="shared" ca="1" si="28"/>
        <v>0</v>
      </c>
      <c r="V417" s="400"/>
      <c r="W417" s="1"/>
      <c r="X417" s="15"/>
      <c r="Y417" s="15"/>
      <c r="Z417" s="15"/>
      <c r="AA417" s="15"/>
      <c r="AB417" s="15"/>
      <c r="AC417" s="16"/>
      <c r="AG417" s="87"/>
      <c r="AH417" s="87"/>
    </row>
    <row r="418" spans="1:34" ht="12.75" hidden="1" customHeight="1">
      <c r="A418" s="1"/>
      <c r="B418" s="12" t="s">
        <v>2382</v>
      </c>
      <c r="C418" s="401" t="str">
        <f>Data!P96</f>
        <v>SWITCH, CISCO CATALYST 4500 R+E BUNDLE, 7-SLOT CHASSIS, DUAL 4200W PS, SUP 7L-E, WS-C4507-R+E-SUP7LE-4200W, MRN223244</v>
      </c>
      <c r="D418" s="402"/>
      <c r="E418" s="402"/>
      <c r="F418" s="402"/>
      <c r="G418" s="402"/>
      <c r="H418" s="402"/>
      <c r="I418" s="402"/>
      <c r="J418" s="402"/>
      <c r="K418" s="402"/>
      <c r="L418" s="402"/>
      <c r="M418" s="402"/>
      <c r="N418" s="402"/>
      <c r="O418" s="403"/>
      <c r="P418" s="404" t="str">
        <f>Data!Q96</f>
        <v>MRN223244</v>
      </c>
      <c r="Q418" s="405"/>
      <c r="R418" s="405"/>
      <c r="S418" s="406"/>
      <c r="T418" s="137">
        <f t="shared" ca="1" si="26"/>
        <v>0</v>
      </c>
      <c r="U418" s="399">
        <f t="shared" ca="1" si="28"/>
        <v>0</v>
      </c>
      <c r="V418" s="400"/>
      <c r="W418" s="1"/>
      <c r="X418" s="15"/>
      <c r="Y418" s="15"/>
      <c r="Z418" s="15"/>
      <c r="AA418" s="15"/>
      <c r="AB418" s="15"/>
      <c r="AC418" s="16"/>
      <c r="AG418" s="87"/>
      <c r="AH418" s="87"/>
    </row>
    <row r="419" spans="1:34" ht="12.75" hidden="1" customHeight="1">
      <c r="A419" s="1"/>
      <c r="B419" s="12" t="s">
        <v>2383</v>
      </c>
      <c r="C419" s="401" t="str">
        <f>Data!P97</f>
        <v>SWITCH, CISCO CATALYST 4500 R+E BUNDLE, 7-SLOT CHASSIS, DUAL 4200W PS, SUP 7-E, WS-C4507-R+E-SUP7E-4200W, MRN223245</v>
      </c>
      <c r="D419" s="402"/>
      <c r="E419" s="402"/>
      <c r="F419" s="402"/>
      <c r="G419" s="402"/>
      <c r="H419" s="402"/>
      <c r="I419" s="402"/>
      <c r="J419" s="402"/>
      <c r="K419" s="402"/>
      <c r="L419" s="402"/>
      <c r="M419" s="402"/>
      <c r="N419" s="402"/>
      <c r="O419" s="403"/>
      <c r="P419" s="404" t="str">
        <f>Data!Q97</f>
        <v>MRN223245</v>
      </c>
      <c r="Q419" s="405"/>
      <c r="R419" s="405"/>
      <c r="S419" s="406"/>
      <c r="T419" s="137">
        <f t="shared" ca="1" si="26"/>
        <v>0</v>
      </c>
      <c r="U419" s="399">
        <f t="shared" ca="1" si="28"/>
        <v>0</v>
      </c>
      <c r="V419" s="400"/>
      <c r="W419" s="1"/>
      <c r="X419" s="15"/>
      <c r="Y419" s="15"/>
      <c r="Z419" s="15"/>
      <c r="AA419" s="15"/>
      <c r="AB419" s="15"/>
      <c r="AC419" s="16"/>
      <c r="AG419" s="87"/>
      <c r="AH419" s="87"/>
    </row>
    <row r="420" spans="1:34" ht="12.75" hidden="1" customHeight="1">
      <c r="A420" s="1"/>
      <c r="B420" s="12" t="s">
        <v>2384</v>
      </c>
      <c r="C420" s="401" t="str">
        <f>Data!P98</f>
        <v>SWITCH MODULE, CISCO CATALYST 4500 NETWORK MODULE, 48 10/100/1000 RJ-45 PORTS, WS-X4748-RJ45-E++=, MRN221210</v>
      </c>
      <c r="D420" s="402"/>
      <c r="E420" s="402"/>
      <c r="F420" s="402"/>
      <c r="G420" s="402"/>
      <c r="H420" s="402"/>
      <c r="I420" s="402"/>
      <c r="J420" s="402"/>
      <c r="K420" s="402"/>
      <c r="L420" s="402"/>
      <c r="M420" s="402"/>
      <c r="N420" s="402"/>
      <c r="O420" s="403"/>
      <c r="P420" s="404" t="str">
        <f>Data!Q98</f>
        <v>WS-X4748-RJ45-E++=</v>
      </c>
      <c r="Q420" s="405"/>
      <c r="R420" s="405"/>
      <c r="S420" s="406"/>
      <c r="T420" s="137">
        <f t="shared" ca="1" si="26"/>
        <v>0</v>
      </c>
      <c r="U420" s="399">
        <f t="shared" ca="1" si="28"/>
        <v>0</v>
      </c>
      <c r="V420" s="400"/>
      <c r="W420" s="1"/>
      <c r="X420" s="15"/>
      <c r="Y420" s="15"/>
      <c r="Z420" s="15"/>
      <c r="AA420" s="15"/>
      <c r="AB420" s="15"/>
      <c r="AC420" s="16"/>
      <c r="AG420" s="87"/>
      <c r="AH420" s="87"/>
    </row>
    <row r="421" spans="1:34" ht="12.75" hidden="1" customHeight="1">
      <c r="A421" s="1"/>
      <c r="B421" s="12" t="s">
        <v>2385</v>
      </c>
      <c r="C421" s="401" t="str">
        <f>Data!P99</f>
        <v>SWITCH MODULE, CISCO CATALYST 4500 NETWORK MODULE, 48 10/100/1000 RJ-45 POE PORTS, WS-X4748-UPOE+E++=, MRN222257</v>
      </c>
      <c r="D421" s="402"/>
      <c r="E421" s="402"/>
      <c r="F421" s="402"/>
      <c r="G421" s="402"/>
      <c r="H421" s="402"/>
      <c r="I421" s="402"/>
      <c r="J421" s="402"/>
      <c r="K421" s="402"/>
      <c r="L421" s="402"/>
      <c r="M421" s="402"/>
      <c r="N421" s="402"/>
      <c r="O421" s="403"/>
      <c r="P421" s="404" t="str">
        <f>Data!Q99</f>
        <v>WS-X4748-UPOE+E++=</v>
      </c>
      <c r="Q421" s="405"/>
      <c r="R421" s="405"/>
      <c r="S421" s="406"/>
      <c r="T421" s="137">
        <f t="shared" ca="1" si="26"/>
        <v>0</v>
      </c>
      <c r="U421" s="399">
        <f t="shared" ca="1" si="28"/>
        <v>0</v>
      </c>
      <c r="V421" s="400"/>
      <c r="W421" s="1"/>
      <c r="X421" s="15"/>
      <c r="Y421" s="15"/>
      <c r="Z421" s="15"/>
      <c r="AA421" s="15"/>
      <c r="AB421" s="15"/>
      <c r="AC421" s="16"/>
      <c r="AG421" s="87"/>
      <c r="AH421" s="87"/>
    </row>
    <row r="422" spans="1:34" ht="12.75" hidden="1" customHeight="1">
      <c r="A422" s="1"/>
      <c r="B422" s="12" t="s">
        <v>2386</v>
      </c>
      <c r="C422" s="401" t="str">
        <f>Data!P100</f>
        <v>SWITCH MODULE, CISCO CATALYST 4500 NETWORK MODULE, 12 SFP+ PORTS, WS-X4712-SFP+E++=, MRN229130</v>
      </c>
      <c r="D422" s="402"/>
      <c r="E422" s="402"/>
      <c r="F422" s="402"/>
      <c r="G422" s="402"/>
      <c r="H422" s="402"/>
      <c r="I422" s="402"/>
      <c r="J422" s="402"/>
      <c r="K422" s="402"/>
      <c r="L422" s="402"/>
      <c r="M422" s="402"/>
      <c r="N422" s="402"/>
      <c r="O422" s="403"/>
      <c r="P422" s="404" t="str">
        <f>Data!Q100</f>
        <v>WS-X4712-SFP+E++=</v>
      </c>
      <c r="Q422" s="405"/>
      <c r="R422" s="405"/>
      <c r="S422" s="406"/>
      <c r="T422" s="137">
        <f t="shared" ref="T422:T441" ca="1" si="29">SUMIF($C$266:$R$295,C422,$T$266:$T$295)</f>
        <v>0</v>
      </c>
      <c r="U422" s="399">
        <f t="shared" ca="1" si="28"/>
        <v>0</v>
      </c>
      <c r="V422" s="400"/>
      <c r="W422" s="1"/>
      <c r="X422" s="15"/>
      <c r="Y422" s="15"/>
      <c r="Z422" s="15"/>
      <c r="AA422" s="15"/>
      <c r="AB422" s="15"/>
      <c r="AC422" s="16"/>
      <c r="AG422" s="87"/>
      <c r="AH422" s="87"/>
    </row>
    <row r="423" spans="1:34" ht="12.75" hidden="1" customHeight="1">
      <c r="A423" s="1"/>
      <c r="B423" s="12" t="s">
        <v>2387</v>
      </c>
      <c r="C423" s="401" t="str">
        <f>Data!P101</f>
        <v>SWITCH MODULE, CISCO CATALYST 4500 NETWORK MODULE, 48 100FX MMF PORTS, WS-X4148-FX-MT++=, MRN229070</v>
      </c>
      <c r="D423" s="402"/>
      <c r="E423" s="402"/>
      <c r="F423" s="402"/>
      <c r="G423" s="402"/>
      <c r="H423" s="402"/>
      <c r="I423" s="402"/>
      <c r="J423" s="402"/>
      <c r="K423" s="402"/>
      <c r="L423" s="402"/>
      <c r="M423" s="402"/>
      <c r="N423" s="402"/>
      <c r="O423" s="403"/>
      <c r="P423" s="404" t="str">
        <f>Data!Q101</f>
        <v>END-OF-SALE</v>
      </c>
      <c r="Q423" s="405"/>
      <c r="R423" s="405"/>
      <c r="S423" s="406"/>
      <c r="T423" s="137">
        <f t="shared" ca="1" si="29"/>
        <v>0</v>
      </c>
      <c r="U423" s="399">
        <f t="shared" ca="1" si="28"/>
        <v>0</v>
      </c>
      <c r="V423" s="400"/>
      <c r="W423" s="1"/>
      <c r="X423" s="15"/>
      <c r="Y423" s="15"/>
      <c r="Z423" s="15"/>
      <c r="AA423" s="15"/>
      <c r="AB423" s="15"/>
      <c r="AC423" s="16"/>
      <c r="AG423" s="87"/>
      <c r="AH423" s="87"/>
    </row>
    <row r="424" spans="1:34" ht="12.75" hidden="1" customHeight="1">
      <c r="A424" s="1"/>
      <c r="B424" s="12" t="s">
        <v>2388</v>
      </c>
      <c r="C424" s="401" t="str">
        <f>Data!P102</f>
        <v>SWITCH MODULE, CISCO CATALYST 4500 NETWORK MODULE, 6 10GB X2 or 12 1GB SFP PORTS, WS-X4606-X2-E++=, MRN234273</v>
      </c>
      <c r="D424" s="402"/>
      <c r="E424" s="402"/>
      <c r="F424" s="402"/>
      <c r="G424" s="402"/>
      <c r="H424" s="402"/>
      <c r="I424" s="402"/>
      <c r="J424" s="402"/>
      <c r="K424" s="402"/>
      <c r="L424" s="402"/>
      <c r="M424" s="402"/>
      <c r="N424" s="402"/>
      <c r="O424" s="403"/>
      <c r="P424" s="404" t="str">
        <f>Data!Q102</f>
        <v>END-OF-SALE</v>
      </c>
      <c r="Q424" s="405"/>
      <c r="R424" s="405"/>
      <c r="S424" s="406"/>
      <c r="T424" s="137">
        <f t="shared" ca="1" si="29"/>
        <v>0</v>
      </c>
      <c r="U424" s="399">
        <f t="shared" ca="1" si="28"/>
        <v>0</v>
      </c>
      <c r="V424" s="400"/>
      <c r="W424" s="1"/>
      <c r="X424" s="15"/>
      <c r="Y424" s="15"/>
      <c r="Z424" s="15"/>
      <c r="AA424" s="15"/>
      <c r="AB424" s="15"/>
      <c r="AC424" s="16"/>
      <c r="AG424" s="87"/>
      <c r="AH424" s="87"/>
    </row>
    <row r="425" spans="1:34" ht="12.75" hidden="1" customHeight="1">
      <c r="A425" s="1"/>
      <c r="B425" s="12" t="s">
        <v>2389</v>
      </c>
      <c r="C425" s="401" t="str">
        <f>Data!P103</f>
        <v>SWITCH MODULE, CISCO CATALYST 4500 NETWORK MODULE, 40 SFP or 80 C-SFP PORTS, WS-X4640-CSFP-E++=, MRN234271</v>
      </c>
      <c r="D425" s="402"/>
      <c r="E425" s="402"/>
      <c r="F425" s="402"/>
      <c r="G425" s="402"/>
      <c r="H425" s="402"/>
      <c r="I425" s="402"/>
      <c r="J425" s="402"/>
      <c r="K425" s="402"/>
      <c r="L425" s="402"/>
      <c r="M425" s="402"/>
      <c r="N425" s="402"/>
      <c r="O425" s="403"/>
      <c r="P425" s="404" t="str">
        <f>Data!Q103</f>
        <v>WS-X4640-CSFP-E++=</v>
      </c>
      <c r="Q425" s="405"/>
      <c r="R425" s="405"/>
      <c r="S425" s="406"/>
      <c r="T425" s="137">
        <f t="shared" ca="1" si="29"/>
        <v>0</v>
      </c>
      <c r="U425" s="399">
        <f t="shared" ca="1" si="28"/>
        <v>0</v>
      </c>
      <c r="V425" s="400"/>
      <c r="W425" s="1"/>
      <c r="X425" s="15"/>
      <c r="Y425" s="15"/>
      <c r="Z425" s="15"/>
      <c r="AA425" s="15"/>
      <c r="AB425" s="15"/>
      <c r="AC425" s="16"/>
      <c r="AG425" s="87"/>
      <c r="AH425" s="87"/>
    </row>
    <row r="426" spans="1:34" ht="12.75" hidden="1" customHeight="1">
      <c r="A426" s="1"/>
      <c r="B426" s="12" t="s">
        <v>2390</v>
      </c>
      <c r="C426" s="401" t="str">
        <f>Data!P104</f>
        <v>SWITCH, CISCO CATALYST 6500 E BUNDLE, 3-SLOT CHASSIS, DUAL 1400W PS, SUP VS-S2T-10G, WS-C6503-E-1400W, MRN223249</v>
      </c>
      <c r="D426" s="402"/>
      <c r="E426" s="402"/>
      <c r="F426" s="402"/>
      <c r="G426" s="402"/>
      <c r="H426" s="402"/>
      <c r="I426" s="402"/>
      <c r="J426" s="402"/>
      <c r="K426" s="402"/>
      <c r="L426" s="402"/>
      <c r="M426" s="402"/>
      <c r="N426" s="402"/>
      <c r="O426" s="403"/>
      <c r="P426" s="404" t="str">
        <f>Data!Q104</f>
        <v>MRN223249</v>
      </c>
      <c r="Q426" s="405"/>
      <c r="R426" s="405"/>
      <c r="S426" s="406"/>
      <c r="T426" s="137">
        <f t="shared" ca="1" si="29"/>
        <v>0</v>
      </c>
      <c r="U426" s="399">
        <f t="shared" ca="1" si="28"/>
        <v>0</v>
      </c>
      <c r="V426" s="400"/>
      <c r="W426" s="1"/>
      <c r="X426" s="15"/>
      <c r="Y426" s="15"/>
      <c r="Z426" s="15"/>
      <c r="AA426" s="15"/>
      <c r="AB426" s="15"/>
      <c r="AC426" s="16"/>
      <c r="AG426" s="87"/>
      <c r="AH426" s="87"/>
    </row>
    <row r="427" spans="1:34" ht="12.75" hidden="1" customHeight="1">
      <c r="A427" s="1"/>
      <c r="B427" s="12" t="s">
        <v>2391</v>
      </c>
      <c r="C427" s="401" t="str">
        <f>Data!P105</f>
        <v>SWITCH, CISCO CATALYST 6500 E BUNDLE, 6-SLOT CHASSIS, DUAL 3000W PS, SUP VS-S2T-10G, WS-C6506-E-3000W, MRN223255</v>
      </c>
      <c r="D427" s="402"/>
      <c r="E427" s="402"/>
      <c r="F427" s="402"/>
      <c r="G427" s="402"/>
      <c r="H427" s="402"/>
      <c r="I427" s="402"/>
      <c r="J427" s="402"/>
      <c r="K427" s="402"/>
      <c r="L427" s="402"/>
      <c r="M427" s="402"/>
      <c r="N427" s="402"/>
      <c r="O427" s="403"/>
      <c r="P427" s="404" t="str">
        <f>Data!Q105</f>
        <v>MRN223255</v>
      </c>
      <c r="Q427" s="405"/>
      <c r="R427" s="405"/>
      <c r="S427" s="406"/>
      <c r="T427" s="137">
        <f t="shared" ca="1" si="29"/>
        <v>0</v>
      </c>
      <c r="U427" s="399">
        <f t="shared" ca="1" si="28"/>
        <v>0</v>
      </c>
      <c r="V427" s="400"/>
      <c r="W427" s="1"/>
      <c r="X427" s="15"/>
      <c r="Y427" s="15"/>
      <c r="Z427" s="15"/>
      <c r="AA427" s="15"/>
      <c r="AB427" s="15"/>
      <c r="AC427" s="16"/>
      <c r="AG427" s="87"/>
      <c r="AH427" s="87"/>
    </row>
    <row r="428" spans="1:34" ht="12.75" hidden="1" customHeight="1">
      <c r="A428" s="1"/>
      <c r="B428" s="12" t="s">
        <v>2392</v>
      </c>
      <c r="C428" s="401" t="str">
        <f>Data!P106</f>
        <v>SWITCH, CISCO CATALYST 6500 E BUNDLE, 6-SLOT CHASSIS, DUAL 4000W PS, SUP VS-S2T-10G, WS-C6506-E-4000W, MRN227798</v>
      </c>
      <c r="D428" s="402"/>
      <c r="E428" s="402"/>
      <c r="F428" s="402"/>
      <c r="G428" s="402"/>
      <c r="H428" s="402"/>
      <c r="I428" s="402"/>
      <c r="J428" s="402"/>
      <c r="K428" s="402"/>
      <c r="L428" s="402"/>
      <c r="M428" s="402"/>
      <c r="N428" s="402"/>
      <c r="O428" s="403"/>
      <c r="P428" s="404" t="str">
        <f>Data!Q106</f>
        <v>MRN227798</v>
      </c>
      <c r="Q428" s="405"/>
      <c r="R428" s="405"/>
      <c r="S428" s="406"/>
      <c r="T428" s="137">
        <f t="shared" ca="1" si="29"/>
        <v>0</v>
      </c>
      <c r="U428" s="399">
        <f t="shared" ca="1" si="28"/>
        <v>0</v>
      </c>
      <c r="V428" s="400"/>
      <c r="W428" s="1"/>
      <c r="X428" s="15"/>
      <c r="Y428" s="15"/>
      <c r="Z428" s="15"/>
      <c r="AA428" s="15"/>
      <c r="AB428" s="15"/>
      <c r="AC428" s="16"/>
      <c r="AG428" s="87"/>
      <c r="AH428" s="87"/>
    </row>
    <row r="429" spans="1:34" ht="12.75" hidden="1" customHeight="1">
      <c r="A429" s="1"/>
      <c r="B429" s="12" t="s">
        <v>2393</v>
      </c>
      <c r="C429" s="401" t="str">
        <f>Data!P107</f>
        <v>SWITCH, CISCO CATALYST 6500 E BUNDLE, 9-SLOT CHASSIS, DUAL 3000W PS, SUP VS-S2T-10G, WS-C6509-E-3000W, MRN223256</v>
      </c>
      <c r="D429" s="402"/>
      <c r="E429" s="402"/>
      <c r="F429" s="402"/>
      <c r="G429" s="402"/>
      <c r="H429" s="402"/>
      <c r="I429" s="402"/>
      <c r="J429" s="402"/>
      <c r="K429" s="402"/>
      <c r="L429" s="402"/>
      <c r="M429" s="402"/>
      <c r="N429" s="402"/>
      <c r="O429" s="403"/>
      <c r="P429" s="404" t="str">
        <f>Data!Q107</f>
        <v>MRN223256</v>
      </c>
      <c r="Q429" s="405"/>
      <c r="R429" s="405"/>
      <c r="S429" s="406"/>
      <c r="T429" s="137">
        <f t="shared" ca="1" si="29"/>
        <v>0</v>
      </c>
      <c r="U429" s="399">
        <f t="shared" ca="1" si="28"/>
        <v>0</v>
      </c>
      <c r="V429" s="400"/>
      <c r="W429" s="1"/>
      <c r="X429" s="15"/>
      <c r="Y429" s="15"/>
      <c r="Z429" s="15"/>
      <c r="AA429" s="15"/>
      <c r="AB429" s="15"/>
      <c r="AC429" s="16"/>
      <c r="AG429" s="87"/>
      <c r="AH429" s="87"/>
    </row>
    <row r="430" spans="1:34" ht="12.75" hidden="1" customHeight="1">
      <c r="A430" s="1"/>
      <c r="B430" s="12" t="s">
        <v>2394</v>
      </c>
      <c r="C430" s="401" t="str">
        <f>Data!P108</f>
        <v>SWITCH, CISCO CATALYST 6500 E BUNDLE, 9-SLOT CHASSIS, DUAL 4000W PS, SUP VS-S2T-10G, WS-C6509-E-4000W, MRN224735</v>
      </c>
      <c r="D430" s="402"/>
      <c r="E430" s="402"/>
      <c r="F430" s="402"/>
      <c r="G430" s="402"/>
      <c r="H430" s="402"/>
      <c r="I430" s="402"/>
      <c r="J430" s="402"/>
      <c r="K430" s="402"/>
      <c r="L430" s="402"/>
      <c r="M430" s="402"/>
      <c r="N430" s="402"/>
      <c r="O430" s="403"/>
      <c r="P430" s="404" t="str">
        <f>Data!Q108</f>
        <v>MRN224735</v>
      </c>
      <c r="Q430" s="405"/>
      <c r="R430" s="405"/>
      <c r="S430" s="406"/>
      <c r="T430" s="137">
        <f t="shared" ca="1" si="29"/>
        <v>0</v>
      </c>
      <c r="U430" s="399">
        <f t="shared" ca="1" si="28"/>
        <v>0</v>
      </c>
      <c r="V430" s="400"/>
      <c r="W430" s="1"/>
      <c r="X430" s="15"/>
      <c r="Y430" s="15"/>
      <c r="Z430" s="15"/>
      <c r="AA430" s="15"/>
      <c r="AB430" s="15"/>
      <c r="AC430" s="16"/>
      <c r="AG430" s="87"/>
      <c r="AH430" s="87"/>
    </row>
    <row r="431" spans="1:34" ht="12.75" hidden="1" customHeight="1">
      <c r="A431" s="1"/>
      <c r="B431" s="12" t="s">
        <v>2395</v>
      </c>
      <c r="C431" s="401" t="str">
        <f>Data!P109</f>
        <v>SWITCH MODULE, CISCO CATALYST 6500 SUPERVISOR ENGINE, 2 10GB X2 PORTS,  3 SFP+ PORTS, ADV IP SERVICES, VS-S2T-10G=, MRN226425</v>
      </c>
      <c r="D431" s="402"/>
      <c r="E431" s="402"/>
      <c r="F431" s="402"/>
      <c r="G431" s="402"/>
      <c r="H431" s="402"/>
      <c r="I431" s="402"/>
      <c r="J431" s="402"/>
      <c r="K431" s="402"/>
      <c r="L431" s="402"/>
      <c r="M431" s="402"/>
      <c r="N431" s="402"/>
      <c r="O431" s="403"/>
      <c r="P431" s="404" t="str">
        <f>Data!Q109</f>
        <v>VS-S2T-10G=</v>
      </c>
      <c r="Q431" s="405"/>
      <c r="R431" s="405"/>
      <c r="S431" s="406"/>
      <c r="T431" s="137">
        <f t="shared" ca="1" si="29"/>
        <v>0</v>
      </c>
      <c r="U431" s="399">
        <f t="shared" ca="1" si="28"/>
        <v>0</v>
      </c>
      <c r="V431" s="400"/>
      <c r="W431" s="1"/>
      <c r="X431" s="15"/>
      <c r="Y431" s="15"/>
      <c r="Z431" s="15"/>
      <c r="AA431" s="15"/>
      <c r="AB431" s="15"/>
      <c r="AC431" s="16"/>
      <c r="AG431" s="87"/>
      <c r="AH431" s="87"/>
    </row>
    <row r="432" spans="1:34" ht="12.75" hidden="1" customHeight="1">
      <c r="A432" s="1"/>
      <c r="B432" s="12" t="s">
        <v>2396</v>
      </c>
      <c r="C432" s="401" t="str">
        <f>Data!P110</f>
        <v>SWITCH MODULE, CISCO CATALYST 6500 NETWORK MODULE, 48 10/100/1000 RJ-45 PORTS, DFC4 S, WS-X6848-TX-2T++=, MRN223389</v>
      </c>
      <c r="D432" s="402"/>
      <c r="E432" s="402"/>
      <c r="F432" s="402"/>
      <c r="G432" s="402"/>
      <c r="H432" s="402"/>
      <c r="I432" s="402"/>
      <c r="J432" s="402"/>
      <c r="K432" s="402"/>
      <c r="L432" s="402"/>
      <c r="M432" s="402"/>
      <c r="N432" s="402"/>
      <c r="O432" s="403"/>
      <c r="P432" s="404" t="str">
        <f>Data!Q110</f>
        <v>WS-X6848-TX-2T++=</v>
      </c>
      <c r="Q432" s="405"/>
      <c r="R432" s="405"/>
      <c r="S432" s="406"/>
      <c r="T432" s="137">
        <f t="shared" ca="1" si="29"/>
        <v>0</v>
      </c>
      <c r="U432" s="399">
        <f t="shared" ca="1" si="28"/>
        <v>0</v>
      </c>
      <c r="V432" s="400"/>
      <c r="W432" s="1"/>
      <c r="X432" s="15"/>
      <c r="Y432" s="15"/>
      <c r="Z432" s="15"/>
      <c r="AA432" s="15"/>
      <c r="AB432" s="15"/>
      <c r="AC432" s="16"/>
      <c r="AG432" s="87"/>
      <c r="AH432" s="87"/>
    </row>
    <row r="433" spans="1:34" ht="12.75" hidden="1" customHeight="1">
      <c r="A433" s="1"/>
      <c r="B433" s="12" t="s">
        <v>2397</v>
      </c>
      <c r="C433" s="401" t="str">
        <f>Data!P111</f>
        <v>SWITCH MODULE, CISCO CATALYST 6500 NETWORK MODULE, 24 SFP PORTS, DFC4 S, WS-X6824-SFP-2T++=, MRN223386</v>
      </c>
      <c r="D433" s="402"/>
      <c r="E433" s="402"/>
      <c r="F433" s="402"/>
      <c r="G433" s="402"/>
      <c r="H433" s="402"/>
      <c r="I433" s="402"/>
      <c r="J433" s="402"/>
      <c r="K433" s="402"/>
      <c r="L433" s="402"/>
      <c r="M433" s="402"/>
      <c r="N433" s="402"/>
      <c r="O433" s="403"/>
      <c r="P433" s="404" t="str">
        <f>Data!Q111</f>
        <v>WS-X6824-SFP-2T++=</v>
      </c>
      <c r="Q433" s="405"/>
      <c r="R433" s="405"/>
      <c r="S433" s="406"/>
      <c r="T433" s="137">
        <f t="shared" ca="1" si="29"/>
        <v>0</v>
      </c>
      <c r="U433" s="399">
        <f t="shared" ca="1" si="28"/>
        <v>0</v>
      </c>
      <c r="V433" s="400"/>
      <c r="W433" s="1"/>
      <c r="X433" s="15"/>
      <c r="Y433" s="15"/>
      <c r="Z433" s="15"/>
      <c r="AA433" s="15"/>
      <c r="AB433" s="15"/>
      <c r="AC433" s="16"/>
      <c r="AG433" s="87"/>
      <c r="AH433" s="87"/>
    </row>
    <row r="434" spans="1:34" ht="12.75" hidden="1" customHeight="1">
      <c r="A434" s="1"/>
      <c r="B434" s="12" t="s">
        <v>2398</v>
      </c>
      <c r="C434" s="401" t="str">
        <f>Data!P112</f>
        <v>SWITCH MODULE, CISCO CATALYST 6500 NETWORK MODULE, 48 SFP PORTS, WS-F6K-DFC4-A, WS-X6848-SFP-2T++=, MRN224742</v>
      </c>
      <c r="D434" s="402"/>
      <c r="E434" s="402"/>
      <c r="F434" s="402"/>
      <c r="G434" s="402"/>
      <c r="H434" s="402"/>
      <c r="I434" s="402"/>
      <c r="J434" s="402"/>
      <c r="K434" s="402"/>
      <c r="L434" s="402"/>
      <c r="M434" s="402"/>
      <c r="N434" s="402"/>
      <c r="O434" s="403"/>
      <c r="P434" s="404" t="str">
        <f>Data!Q112</f>
        <v>WS-X6848-SFP-2T++=</v>
      </c>
      <c r="Q434" s="405"/>
      <c r="R434" s="405"/>
      <c r="S434" s="406"/>
      <c r="T434" s="137">
        <f t="shared" ca="1" si="29"/>
        <v>0</v>
      </c>
      <c r="U434" s="399">
        <f t="shared" ca="1" si="28"/>
        <v>0</v>
      </c>
      <c r="V434" s="400"/>
      <c r="W434" s="1"/>
      <c r="X434" s="15"/>
      <c r="Y434" s="15"/>
      <c r="Z434" s="15"/>
      <c r="AA434" s="15"/>
      <c r="AB434" s="15"/>
      <c r="AC434" s="16"/>
      <c r="AG434" s="87"/>
      <c r="AH434" s="87"/>
    </row>
    <row r="435" spans="1:34" ht="12.75" hidden="1" customHeight="1">
      <c r="A435" s="1"/>
      <c r="B435" s="12" t="s">
        <v>2399</v>
      </c>
      <c r="C435" s="401" t="str">
        <f>Data!P113</f>
        <v>SWITCH MODULE, CISCO CATALYST 6500 NETWORK MODULE, 16 10GE PORTS, WS-F6K-DFC4-E, WS-X6816-10G-2T++=, MRN220784</v>
      </c>
      <c r="D435" s="402"/>
      <c r="E435" s="402"/>
      <c r="F435" s="402"/>
      <c r="G435" s="402"/>
      <c r="H435" s="402"/>
      <c r="I435" s="402"/>
      <c r="J435" s="402"/>
      <c r="K435" s="402"/>
      <c r="L435" s="402"/>
      <c r="M435" s="402"/>
      <c r="N435" s="402"/>
      <c r="O435" s="403"/>
      <c r="P435" s="404" t="str">
        <f>Data!Q113</f>
        <v>END-OF-SALE</v>
      </c>
      <c r="Q435" s="405"/>
      <c r="R435" s="405"/>
      <c r="S435" s="406"/>
      <c r="T435" s="137">
        <f t="shared" ca="1" si="29"/>
        <v>0</v>
      </c>
      <c r="U435" s="399">
        <f t="shared" ca="1" si="28"/>
        <v>0</v>
      </c>
      <c r="V435" s="400"/>
      <c r="W435" s="1"/>
      <c r="X435" s="15"/>
      <c r="Y435" s="15"/>
      <c r="Z435" s="15"/>
      <c r="AA435" s="15"/>
      <c r="AB435" s="15"/>
      <c r="AC435" s="16"/>
      <c r="AG435" s="87"/>
      <c r="AH435" s="87"/>
    </row>
    <row r="436" spans="1:34" ht="12.75" hidden="1" customHeight="1">
      <c r="A436" s="1"/>
      <c r="B436" s="12" t="s">
        <v>2400</v>
      </c>
      <c r="C436" s="401" t="str">
        <f>Data!P115</f>
        <v>TRANSCEIVER, ADVANTAGE OPTICS SFP, AOPROVANTAGE 10GE LR, LC CONNECTOR, AO-10G-SFPP-LR, MRN229023</v>
      </c>
      <c r="D436" s="402"/>
      <c r="E436" s="402"/>
      <c r="F436" s="402"/>
      <c r="G436" s="402"/>
      <c r="H436" s="402"/>
      <c r="I436" s="402"/>
      <c r="J436" s="402"/>
      <c r="K436" s="402"/>
      <c r="L436" s="402"/>
      <c r="M436" s="402"/>
      <c r="N436" s="402"/>
      <c r="O436" s="403"/>
      <c r="P436" s="404" t="str">
        <f>Data!Q115</f>
        <v>AO-10G-SFPP-LR</v>
      </c>
      <c r="Q436" s="405"/>
      <c r="R436" s="405"/>
      <c r="S436" s="406"/>
      <c r="T436" s="137">
        <f t="shared" ca="1" si="29"/>
        <v>0</v>
      </c>
      <c r="U436" s="399">
        <f t="shared" ca="1" si="28"/>
        <v>0</v>
      </c>
      <c r="V436" s="400"/>
      <c r="W436" s="1"/>
      <c r="X436" s="15"/>
      <c r="Y436" s="15"/>
      <c r="Z436" s="15"/>
      <c r="AA436" s="15"/>
      <c r="AB436" s="15"/>
      <c r="AC436" s="16"/>
      <c r="AG436" s="87"/>
      <c r="AH436" s="87"/>
    </row>
    <row r="437" spans="1:34" ht="12.75" hidden="1" customHeight="1">
      <c r="A437" s="1"/>
      <c r="B437" s="12" t="s">
        <v>2401</v>
      </c>
      <c r="C437" s="401" t="str">
        <f>Data!P116</f>
        <v>TRANSCEIVER, ADVANTAGE OPTICS SFP, 1000BASE-LX, LC CONNECTOR, AO-E1MG-LX-OM, MRN234291</v>
      </c>
      <c r="D437" s="402"/>
      <c r="E437" s="402"/>
      <c r="F437" s="402"/>
      <c r="G437" s="402"/>
      <c r="H437" s="402"/>
      <c r="I437" s="402"/>
      <c r="J437" s="402"/>
      <c r="K437" s="402"/>
      <c r="L437" s="402"/>
      <c r="M437" s="402"/>
      <c r="N437" s="402"/>
      <c r="O437" s="403"/>
      <c r="P437" s="404" t="str">
        <f>Data!Q116</f>
        <v>AO-E1MG-LX-OM</v>
      </c>
      <c r="Q437" s="405"/>
      <c r="R437" s="405"/>
      <c r="S437" s="406"/>
      <c r="T437" s="137">
        <f t="shared" ca="1" si="29"/>
        <v>0</v>
      </c>
      <c r="U437" s="399">
        <f t="shared" ca="1" si="28"/>
        <v>0</v>
      </c>
      <c r="V437" s="400"/>
      <c r="W437" s="1"/>
      <c r="X437" s="15"/>
      <c r="Y437" s="15"/>
      <c r="Z437" s="15"/>
      <c r="AA437" s="15"/>
      <c r="AB437" s="15"/>
      <c r="AC437" s="16"/>
      <c r="AG437" s="87"/>
      <c r="AH437" s="87"/>
    </row>
    <row r="438" spans="1:34" ht="12.75" hidden="1" customHeight="1">
      <c r="A438" s="1"/>
      <c r="B438" s="12" t="s">
        <v>2402</v>
      </c>
      <c r="C438" s="401" t="str">
        <f>Data!P117</f>
        <v>TRANSCEIVER, BROCADE SFP+, 10GBASE-LR, SMF, LC CONNECTOR, 10G-SFPP-LR-SA, MRN238521</v>
      </c>
      <c r="D438" s="402"/>
      <c r="E438" s="402"/>
      <c r="F438" s="402"/>
      <c r="G438" s="402"/>
      <c r="H438" s="402"/>
      <c r="I438" s="402"/>
      <c r="J438" s="402"/>
      <c r="K438" s="402"/>
      <c r="L438" s="402"/>
      <c r="M438" s="402"/>
      <c r="N438" s="402"/>
      <c r="O438" s="403"/>
      <c r="P438" s="404" t="str">
        <f>Data!Q117</f>
        <v>10G-SFPP-LR-SA</v>
      </c>
      <c r="Q438" s="405"/>
      <c r="R438" s="405"/>
      <c r="S438" s="406"/>
      <c r="T438" s="137">
        <f t="shared" ca="1" si="29"/>
        <v>0</v>
      </c>
      <c r="U438" s="399">
        <f t="shared" ca="1" si="28"/>
        <v>0</v>
      </c>
      <c r="V438" s="400"/>
      <c r="W438" s="1"/>
      <c r="X438" s="15"/>
      <c r="Y438" s="15"/>
      <c r="Z438" s="15"/>
      <c r="AA438" s="15"/>
      <c r="AB438" s="15"/>
      <c r="AC438" s="16"/>
      <c r="AG438" s="87"/>
      <c r="AH438" s="87"/>
    </row>
    <row r="439" spans="1:34" ht="12.75" hidden="1" customHeight="1">
      <c r="A439" s="1"/>
      <c r="B439" s="12" t="s">
        <v>2403</v>
      </c>
      <c r="C439" s="401" t="str">
        <f>Data!P118</f>
        <v>TRANSCEIVER, BROCADE SFP+, 10GBASE-SR, MMF, LC CONNECTOR, 10G-SFPP-SR-SA, MRN239982</v>
      </c>
      <c r="D439" s="402"/>
      <c r="E439" s="402"/>
      <c r="F439" s="402"/>
      <c r="G439" s="402"/>
      <c r="H439" s="402"/>
      <c r="I439" s="402"/>
      <c r="J439" s="402"/>
      <c r="K439" s="402"/>
      <c r="L439" s="402"/>
      <c r="M439" s="402"/>
      <c r="N439" s="402"/>
      <c r="O439" s="403"/>
      <c r="P439" s="404" t="str">
        <f>Data!Q118</f>
        <v>10G-SFPP-SR-SA</v>
      </c>
      <c r="Q439" s="405"/>
      <c r="R439" s="405"/>
      <c r="S439" s="406"/>
      <c r="T439" s="137">
        <f t="shared" ca="1" si="29"/>
        <v>0</v>
      </c>
      <c r="U439" s="399">
        <f t="shared" ref="U439:U441" ca="1" si="30">IF($E$263="Yes", 0, IF(T439&lt;&gt;0,T439*VLOOKUP(C439,BAN_LAN_Price,4,FALSE),0))</f>
        <v>0</v>
      </c>
      <c r="V439" s="400"/>
      <c r="W439" s="1"/>
      <c r="X439" s="15"/>
      <c r="Y439" s="15"/>
      <c r="Z439" s="15"/>
      <c r="AA439" s="15"/>
      <c r="AB439" s="15"/>
      <c r="AC439" s="16"/>
      <c r="AG439" s="87"/>
      <c r="AH439" s="87"/>
    </row>
    <row r="440" spans="1:34" ht="12.75" hidden="1" customHeight="1">
      <c r="A440" s="1"/>
      <c r="B440" s="12" t="s">
        <v>2404</v>
      </c>
      <c r="C440" s="401" t="str">
        <f>Data!P119</f>
        <v>TRANSCEIVER, BROCADE SFP, 100BASE-FX, MMF, LC CONNECTOR, E1MG-100FX-A, MRN238523</v>
      </c>
      <c r="D440" s="402"/>
      <c r="E440" s="402"/>
      <c r="F440" s="402"/>
      <c r="G440" s="402"/>
      <c r="H440" s="402"/>
      <c r="I440" s="402"/>
      <c r="J440" s="402"/>
      <c r="K440" s="402"/>
      <c r="L440" s="402"/>
      <c r="M440" s="402"/>
      <c r="N440" s="402"/>
      <c r="O440" s="403"/>
      <c r="P440" s="404" t="str">
        <f>Data!Q119</f>
        <v>E1MG-100FX-A</v>
      </c>
      <c r="Q440" s="405"/>
      <c r="R440" s="405"/>
      <c r="S440" s="406"/>
      <c r="T440" s="137">
        <f t="shared" ca="1" si="29"/>
        <v>0</v>
      </c>
      <c r="U440" s="399">
        <f t="shared" ca="1" si="30"/>
        <v>0</v>
      </c>
      <c r="V440" s="400"/>
      <c r="W440" s="1"/>
      <c r="X440" s="15"/>
      <c r="Y440" s="15"/>
      <c r="Z440" s="15"/>
      <c r="AA440" s="15"/>
      <c r="AB440" s="15"/>
      <c r="AC440" s="16"/>
      <c r="AG440" s="87"/>
      <c r="AH440" s="87"/>
    </row>
    <row r="441" spans="1:34" ht="12.75" hidden="1" customHeight="1">
      <c r="A441" s="1"/>
      <c r="B441" s="12" t="s">
        <v>2405</v>
      </c>
      <c r="C441" s="401" t="str">
        <f>Data!P120</f>
        <v>TRANSCEIVER, BROCADE SFP, 1000BASE-LX, SMF, LC CONNECTOR, E1MG-LX-A, MRN238522</v>
      </c>
      <c r="D441" s="402"/>
      <c r="E441" s="402"/>
      <c r="F441" s="402"/>
      <c r="G441" s="402"/>
      <c r="H441" s="402"/>
      <c r="I441" s="402"/>
      <c r="J441" s="402"/>
      <c r="K441" s="402"/>
      <c r="L441" s="402"/>
      <c r="M441" s="402"/>
      <c r="N441" s="402"/>
      <c r="O441" s="403"/>
      <c r="P441" s="404" t="str">
        <f>Data!Q120</f>
        <v>E1MG-LX-A</v>
      </c>
      <c r="Q441" s="405"/>
      <c r="R441" s="405"/>
      <c r="S441" s="406"/>
      <c r="T441" s="137">
        <f t="shared" ca="1" si="29"/>
        <v>0</v>
      </c>
      <c r="U441" s="399">
        <f t="shared" ca="1" si="30"/>
        <v>0</v>
      </c>
      <c r="V441" s="400"/>
      <c r="W441" s="1"/>
      <c r="X441" s="15"/>
      <c r="Y441" s="15"/>
      <c r="Z441" s="15"/>
      <c r="AA441" s="15"/>
      <c r="AB441" s="15"/>
      <c r="AC441" s="16"/>
      <c r="AG441" s="87"/>
      <c r="AH441" s="87"/>
    </row>
    <row r="442" spans="1:34" ht="13.75" hidden="1" customHeight="1">
      <c r="A442" s="1"/>
      <c r="B442" s="12" t="s">
        <v>2406</v>
      </c>
      <c r="C442" s="401" t="str">
        <f>Data!P121</f>
        <v>TRANSCEIVER, BROCADE SFP, 1000BASE-SX, MMF, LC CONNECTOR, E1MG-SX-A, MRN221842</v>
      </c>
      <c r="D442" s="402"/>
      <c r="E442" s="402"/>
      <c r="F442" s="402"/>
      <c r="G442" s="402"/>
      <c r="H442" s="402"/>
      <c r="I442" s="402"/>
      <c r="J442" s="402"/>
      <c r="K442" s="402"/>
      <c r="L442" s="402"/>
      <c r="M442" s="402"/>
      <c r="N442" s="402"/>
      <c r="O442" s="403"/>
      <c r="P442" s="404" t="str">
        <f>Data!Q121</f>
        <v>E1MG-SX-A</v>
      </c>
      <c r="Q442" s="405"/>
      <c r="R442" s="405"/>
      <c r="S442" s="406"/>
      <c r="T442" s="137">
        <f ca="1">SUMIF($C$266:$R$295,C442,$T$266:$T$295)</f>
        <v>0</v>
      </c>
      <c r="U442" s="399">
        <f t="shared" ref="U442:U491" ca="1" si="31">IF($E$263="Yes", 0, IF(T442&lt;&gt;0,T442*VLOOKUP(C442,BAN_LAN_Price,4,FALSE),0))</f>
        <v>0</v>
      </c>
      <c r="V442" s="400"/>
      <c r="W442" s="1"/>
      <c r="X442" s="15"/>
      <c r="Y442" s="15"/>
      <c r="Z442" s="15"/>
      <c r="AA442" s="15"/>
      <c r="AB442" s="15"/>
      <c r="AC442" s="16"/>
      <c r="AG442" s="87"/>
      <c r="AH442" s="87"/>
    </row>
    <row r="443" spans="1:34" ht="12.75" hidden="1" customHeight="1">
      <c r="A443" s="1"/>
      <c r="B443" s="12" t="s">
        <v>2407</v>
      </c>
      <c r="C443" s="401" t="str">
        <f>Data!P122</f>
        <v>TRANSCEIVER, BROCADE SFP, 1000BASE-TX, Copper, RJ-45 Connector, E1MG-TX-A, MRN230277</v>
      </c>
      <c r="D443" s="402"/>
      <c r="E443" s="402"/>
      <c r="F443" s="402"/>
      <c r="G443" s="402"/>
      <c r="H443" s="402"/>
      <c r="I443" s="402"/>
      <c r="J443" s="402"/>
      <c r="K443" s="402"/>
      <c r="L443" s="402"/>
      <c r="M443" s="402"/>
      <c r="N443" s="402"/>
      <c r="O443" s="403"/>
      <c r="P443" s="404" t="str">
        <f>Data!Q122</f>
        <v>E1MG-TX-A</v>
      </c>
      <c r="Q443" s="405"/>
      <c r="R443" s="405"/>
      <c r="S443" s="406"/>
      <c r="T443" s="137">
        <f t="shared" ref="T443:T491" ca="1" si="32">SUMIF($C$266:$R$295,C443,$T$266:$T$295)</f>
        <v>0</v>
      </c>
      <c r="U443" s="399">
        <f t="shared" ca="1" si="31"/>
        <v>0</v>
      </c>
      <c r="V443" s="400"/>
      <c r="W443" s="1"/>
      <c r="X443" s="15"/>
      <c r="Y443" s="15"/>
      <c r="Z443" s="15"/>
      <c r="AA443" s="15"/>
      <c r="AB443" s="15"/>
      <c r="AC443" s="16"/>
      <c r="AG443" s="87"/>
      <c r="AH443" s="87"/>
    </row>
    <row r="444" spans="1:34" ht="12.75" hidden="1" customHeight="1">
      <c r="A444" s="1"/>
      <c r="B444" s="12" t="s">
        <v>2408</v>
      </c>
      <c r="C444" s="401" t="str">
        <f>Data!P123</f>
        <v>TRANSCEIVER CONVERTER, CISCO TWINGIG CONVERTER MODULE, CVR-X2-SFP=, MRN221182</v>
      </c>
      <c r="D444" s="402"/>
      <c r="E444" s="402"/>
      <c r="F444" s="402"/>
      <c r="G444" s="402"/>
      <c r="H444" s="402"/>
      <c r="I444" s="402"/>
      <c r="J444" s="402"/>
      <c r="K444" s="402"/>
      <c r="L444" s="402"/>
      <c r="M444" s="402"/>
      <c r="N444" s="402"/>
      <c r="O444" s="403"/>
      <c r="P444" s="404" t="str">
        <f>Data!Q123</f>
        <v>CVR-X2-SFP=</v>
      </c>
      <c r="Q444" s="405"/>
      <c r="R444" s="405"/>
      <c r="S444" s="406"/>
      <c r="T444" s="137">
        <f t="shared" ca="1" si="32"/>
        <v>0</v>
      </c>
      <c r="U444" s="399">
        <f t="shared" ca="1" si="31"/>
        <v>0</v>
      </c>
      <c r="V444" s="400"/>
      <c r="W444" s="1"/>
      <c r="X444" s="15"/>
      <c r="Y444" s="15"/>
      <c r="Z444" s="15"/>
      <c r="AA444" s="15"/>
      <c r="AB444" s="15"/>
      <c r="AC444" s="16"/>
      <c r="AG444" s="87"/>
      <c r="AH444" s="87"/>
    </row>
    <row r="445" spans="1:34" ht="12.75" hidden="1" customHeight="1">
      <c r="A445" s="1"/>
      <c r="B445" s="12" t="s">
        <v>2409</v>
      </c>
      <c r="C445" s="401" t="str">
        <f>Data!P124</f>
        <v>TRANSCEIVER, CISCO SFP, 1000BASE-LX/LH, SMF, LC CONNECTOR, GLC-LH-SMD++=, MRN220968</v>
      </c>
      <c r="D445" s="402"/>
      <c r="E445" s="402"/>
      <c r="F445" s="402"/>
      <c r="G445" s="402"/>
      <c r="H445" s="402"/>
      <c r="I445" s="402"/>
      <c r="J445" s="402"/>
      <c r="K445" s="402"/>
      <c r="L445" s="402"/>
      <c r="M445" s="402"/>
      <c r="N445" s="402"/>
      <c r="O445" s="403"/>
      <c r="P445" s="404" t="str">
        <f>Data!Q124</f>
        <v>GLC-LH-SMD++=</v>
      </c>
      <c r="Q445" s="405"/>
      <c r="R445" s="405"/>
      <c r="S445" s="406"/>
      <c r="T445" s="137">
        <f t="shared" ca="1" si="32"/>
        <v>0</v>
      </c>
      <c r="U445" s="399">
        <f t="shared" ca="1" si="31"/>
        <v>0</v>
      </c>
      <c r="V445" s="400"/>
      <c r="W445" s="1"/>
      <c r="X445" s="15"/>
      <c r="Y445" s="15"/>
      <c r="Z445" s="15"/>
      <c r="AA445" s="15"/>
      <c r="AB445" s="15"/>
      <c r="AC445" s="16"/>
      <c r="AG445" s="87"/>
      <c r="AH445" s="87"/>
    </row>
    <row r="446" spans="1:34" ht="12.75" hidden="1" customHeight="1">
      <c r="A446" s="1"/>
      <c r="B446" s="12" t="s">
        <v>2596</v>
      </c>
      <c r="C446" s="401" t="str">
        <f>Data!P125</f>
        <v>TRANSCEIVER, CISCO SFP, 1000BASE-SX MMF, LC CONNECTOR, GLC-SX-MMD++=, MRN226864</v>
      </c>
      <c r="D446" s="402"/>
      <c r="E446" s="402"/>
      <c r="F446" s="402"/>
      <c r="G446" s="402"/>
      <c r="H446" s="402"/>
      <c r="I446" s="402"/>
      <c r="J446" s="402"/>
      <c r="K446" s="402"/>
      <c r="L446" s="402"/>
      <c r="M446" s="402"/>
      <c r="N446" s="402"/>
      <c r="O446" s="403"/>
      <c r="P446" s="404" t="str">
        <f>Data!Q125</f>
        <v>GLC-SX-MMD++=</v>
      </c>
      <c r="Q446" s="405"/>
      <c r="R446" s="405"/>
      <c r="S446" s="406"/>
      <c r="T446" s="137">
        <f t="shared" ca="1" si="32"/>
        <v>0</v>
      </c>
      <c r="U446" s="399">
        <f t="shared" ca="1" si="31"/>
        <v>0</v>
      </c>
      <c r="V446" s="400"/>
      <c r="W446" s="1"/>
      <c r="X446" s="15"/>
      <c r="Y446" s="15"/>
      <c r="Z446" s="15"/>
      <c r="AA446" s="15"/>
      <c r="AB446" s="15"/>
      <c r="AC446" s="16"/>
      <c r="AG446" s="87"/>
      <c r="AH446" s="87"/>
    </row>
    <row r="447" spans="1:34" ht="12.75" hidden="1" customHeight="1">
      <c r="A447" s="1"/>
      <c r="B447" s="12" t="s">
        <v>2597</v>
      </c>
      <c r="C447" s="401" t="str">
        <f>Data!P126</f>
        <v>TRANSCEIVER, CISCO SFP, 1000BASE-T, RJ-45 CONNECTOR, GLC-T++=, MRN220969</v>
      </c>
      <c r="D447" s="402"/>
      <c r="E447" s="402"/>
      <c r="F447" s="402"/>
      <c r="G447" s="402"/>
      <c r="H447" s="402"/>
      <c r="I447" s="402"/>
      <c r="J447" s="402"/>
      <c r="K447" s="402"/>
      <c r="L447" s="402"/>
      <c r="M447" s="402"/>
      <c r="N447" s="402"/>
      <c r="O447" s="403"/>
      <c r="P447" s="404" t="str">
        <f>Data!Q126</f>
        <v>GLC-T++=</v>
      </c>
      <c r="Q447" s="405"/>
      <c r="R447" s="405"/>
      <c r="S447" s="406"/>
      <c r="T447" s="137">
        <f t="shared" ca="1" si="32"/>
        <v>0</v>
      </c>
      <c r="U447" s="399">
        <f t="shared" ca="1" si="31"/>
        <v>0</v>
      </c>
      <c r="V447" s="400"/>
      <c r="W447" s="1"/>
      <c r="X447" s="15"/>
      <c r="Y447" s="15"/>
      <c r="Z447" s="15"/>
      <c r="AA447" s="15"/>
      <c r="AB447" s="15"/>
      <c r="AC447" s="16"/>
      <c r="AG447" s="87"/>
      <c r="AH447" s="87"/>
    </row>
    <row r="448" spans="1:34" ht="12.75" hidden="1" customHeight="1">
      <c r="A448" s="1"/>
      <c r="B448" s="12" t="s">
        <v>2598</v>
      </c>
      <c r="C448" s="401" t="str">
        <f>Data!P127</f>
        <v>TRANSCEIVER, CISCO SFP, 10GBASE-LR, SMF, LC CONNECTOR, SFP-10G-LR++=, MRN220205</v>
      </c>
      <c r="D448" s="402"/>
      <c r="E448" s="402"/>
      <c r="F448" s="402"/>
      <c r="G448" s="402"/>
      <c r="H448" s="402"/>
      <c r="I448" s="402"/>
      <c r="J448" s="402"/>
      <c r="K448" s="402"/>
      <c r="L448" s="402"/>
      <c r="M448" s="402"/>
      <c r="N448" s="402"/>
      <c r="O448" s="403"/>
      <c r="P448" s="404" t="str">
        <f>Data!Q127</f>
        <v>SFP-10G-LR++=</v>
      </c>
      <c r="Q448" s="405"/>
      <c r="R448" s="405"/>
      <c r="S448" s="406"/>
      <c r="T448" s="137">
        <f t="shared" ca="1" si="32"/>
        <v>0</v>
      </c>
      <c r="U448" s="399">
        <f t="shared" ca="1" si="31"/>
        <v>0</v>
      </c>
      <c r="V448" s="400"/>
      <c r="W448" s="1"/>
      <c r="X448" s="15"/>
      <c r="Y448" s="15"/>
      <c r="Z448" s="15"/>
      <c r="AA448" s="15"/>
      <c r="AB448" s="15"/>
      <c r="AC448" s="16"/>
      <c r="AG448" s="87"/>
      <c r="AH448" s="87"/>
    </row>
    <row r="449" spans="1:34" ht="12.75" hidden="1" customHeight="1">
      <c r="A449" s="1"/>
      <c r="B449" s="12" t="s">
        <v>2599</v>
      </c>
      <c r="C449" s="401" t="str">
        <f>Data!P128</f>
        <v>TRANSCEIVER, CISCO SFP, 10GBASE-SR, MMF, LC CONNECTOR, SFP-10G-SR++=, MRN220206</v>
      </c>
      <c r="D449" s="402"/>
      <c r="E449" s="402"/>
      <c r="F449" s="402"/>
      <c r="G449" s="402"/>
      <c r="H449" s="402"/>
      <c r="I449" s="402"/>
      <c r="J449" s="402"/>
      <c r="K449" s="402"/>
      <c r="L449" s="402"/>
      <c r="M449" s="402"/>
      <c r="N449" s="402"/>
      <c r="O449" s="403"/>
      <c r="P449" s="404" t="str">
        <f>Data!Q128</f>
        <v>SFP-10G-SR++=</v>
      </c>
      <c r="Q449" s="405"/>
      <c r="R449" s="405"/>
      <c r="S449" s="406"/>
      <c r="T449" s="137">
        <f t="shared" ca="1" si="32"/>
        <v>0</v>
      </c>
      <c r="U449" s="399">
        <f t="shared" ca="1" si="31"/>
        <v>0</v>
      </c>
      <c r="V449" s="400"/>
      <c r="W449" s="1"/>
      <c r="X449" s="15"/>
      <c r="Y449" s="15"/>
      <c r="Z449" s="15"/>
      <c r="AA449" s="15"/>
      <c r="AB449" s="15"/>
      <c r="AC449" s="16"/>
      <c r="AG449" s="87"/>
      <c r="AH449" s="87"/>
    </row>
    <row r="450" spans="1:34" ht="12.75" hidden="1" customHeight="1">
      <c r="A450" s="1"/>
      <c r="B450" s="12" t="s">
        <v>2600</v>
      </c>
      <c r="C450" s="401" t="str">
        <f>Data!P129</f>
        <v>TRANSCEIVER, CISCO X2, 10GBASE-LR, SMF, SC CONNECTOR, X2-10GB-LR++=, MRN221237</v>
      </c>
      <c r="D450" s="402"/>
      <c r="E450" s="402"/>
      <c r="F450" s="402"/>
      <c r="G450" s="402"/>
      <c r="H450" s="402"/>
      <c r="I450" s="402"/>
      <c r="J450" s="402"/>
      <c r="K450" s="402"/>
      <c r="L450" s="402"/>
      <c r="M450" s="402"/>
      <c r="N450" s="402"/>
      <c r="O450" s="403"/>
      <c r="P450" s="404" t="str">
        <f>Data!Q129</f>
        <v>X2-10GB-LR++=</v>
      </c>
      <c r="Q450" s="405"/>
      <c r="R450" s="405"/>
      <c r="S450" s="406"/>
      <c r="T450" s="137">
        <f t="shared" ca="1" si="32"/>
        <v>0</v>
      </c>
      <c r="U450" s="399">
        <f t="shared" ca="1" si="31"/>
        <v>0</v>
      </c>
      <c r="V450" s="400"/>
      <c r="W450" s="1"/>
      <c r="X450" s="15"/>
      <c r="Y450" s="15"/>
      <c r="Z450" s="15"/>
      <c r="AA450" s="15"/>
      <c r="AB450" s="15"/>
      <c r="AC450" s="16"/>
      <c r="AG450" s="87"/>
      <c r="AH450" s="87"/>
    </row>
    <row r="451" spans="1:34" ht="12.75" hidden="1" customHeight="1">
      <c r="A451" s="1"/>
      <c r="B451" s="12" t="s">
        <v>2601</v>
      </c>
      <c r="C451" s="401" t="str">
        <f>Data!P130</f>
        <v>TRANSCEIVER, CISCO X2, 10GBASE-SR, MMF, SC CONNECTOR, X2-10GB-SR++=, MRN220207</v>
      </c>
      <c r="D451" s="402"/>
      <c r="E451" s="402"/>
      <c r="F451" s="402"/>
      <c r="G451" s="402"/>
      <c r="H451" s="402"/>
      <c r="I451" s="402"/>
      <c r="J451" s="402"/>
      <c r="K451" s="402"/>
      <c r="L451" s="402"/>
      <c r="M451" s="402"/>
      <c r="N451" s="402"/>
      <c r="O451" s="403"/>
      <c r="P451" s="404" t="str">
        <f>Data!Q130</f>
        <v>X2-10GB-SR++=</v>
      </c>
      <c r="Q451" s="405"/>
      <c r="R451" s="405"/>
      <c r="S451" s="406"/>
      <c r="T451" s="137">
        <f t="shared" ca="1" si="32"/>
        <v>0</v>
      </c>
      <c r="U451" s="399">
        <f t="shared" ca="1" si="31"/>
        <v>0</v>
      </c>
      <c r="V451" s="400"/>
      <c r="W451" s="1"/>
      <c r="X451" s="15"/>
      <c r="Y451" s="15"/>
      <c r="Z451" s="15"/>
      <c r="AA451" s="15"/>
      <c r="AB451" s="15"/>
      <c r="AC451" s="16"/>
      <c r="AG451" s="87"/>
      <c r="AH451" s="87"/>
    </row>
    <row r="452" spans="1:34" ht="12.75" hidden="1" customHeight="1">
      <c r="A452" s="1"/>
      <c r="B452" s="12" t="s">
        <v>2602</v>
      </c>
      <c r="C452" s="401" t="str">
        <f>Data!P131</f>
        <v>TRANSCEIVER, CISCO XFP, 10GBASE-SR , MMF, LC CONNECTOR, XFP-10G-MM-SR=, MRN227350</v>
      </c>
      <c r="D452" s="402"/>
      <c r="E452" s="402"/>
      <c r="F452" s="402"/>
      <c r="G452" s="402"/>
      <c r="H452" s="402"/>
      <c r="I452" s="402"/>
      <c r="J452" s="402"/>
      <c r="K452" s="402"/>
      <c r="L452" s="402"/>
      <c r="M452" s="402"/>
      <c r="N452" s="402"/>
      <c r="O452" s="403"/>
      <c r="P452" s="404" t="str">
        <f>Data!Q131</f>
        <v>XFP-10G-MM-SR=</v>
      </c>
      <c r="Q452" s="405"/>
      <c r="R452" s="405"/>
      <c r="S452" s="406"/>
      <c r="T452" s="137">
        <f t="shared" ca="1" si="32"/>
        <v>0</v>
      </c>
      <c r="U452" s="399">
        <f t="shared" ca="1" si="31"/>
        <v>0</v>
      </c>
      <c r="V452" s="400"/>
      <c r="W452" s="1"/>
      <c r="X452" s="15"/>
      <c r="Y452" s="15"/>
      <c r="Z452" s="15"/>
      <c r="AA452" s="15"/>
      <c r="AB452" s="15"/>
      <c r="AC452" s="16"/>
      <c r="AG452" s="87"/>
      <c r="AH452" s="87"/>
    </row>
    <row r="453" spans="1:34" ht="12.75" hidden="1" customHeight="1">
      <c r="A453" s="1"/>
      <c r="B453" s="12" t="s">
        <v>2603</v>
      </c>
      <c r="C453" s="401" t="str">
        <f>Data!P132</f>
        <v>TRANSCEIVER, JUNIPER SRX SFP, 1000BASE-SX, MMF, LC CONNECTOR, SRX-SFP-1GE-SX, MRN226171</v>
      </c>
      <c r="D453" s="402"/>
      <c r="E453" s="402"/>
      <c r="F453" s="402"/>
      <c r="G453" s="402"/>
      <c r="H453" s="402"/>
      <c r="I453" s="402"/>
      <c r="J453" s="402"/>
      <c r="K453" s="402"/>
      <c r="L453" s="402"/>
      <c r="M453" s="402"/>
      <c r="N453" s="402"/>
      <c r="O453" s="403"/>
      <c r="P453" s="404" t="str">
        <f>Data!Q132</f>
        <v>SRX-SFP-1GE-SX</v>
      </c>
      <c r="Q453" s="405"/>
      <c r="R453" s="405"/>
      <c r="S453" s="406"/>
      <c r="T453" s="137">
        <f t="shared" ca="1" si="32"/>
        <v>0</v>
      </c>
      <c r="U453" s="399">
        <f t="shared" ca="1" si="31"/>
        <v>0</v>
      </c>
      <c r="V453" s="400"/>
      <c r="W453" s="1"/>
      <c r="X453" s="15"/>
      <c r="Y453" s="15"/>
      <c r="Z453" s="15"/>
      <c r="AA453" s="15"/>
      <c r="AB453" s="15"/>
      <c r="AC453" s="16"/>
      <c r="AG453" s="87"/>
      <c r="AH453" s="87"/>
    </row>
    <row r="454" spans="1:34" ht="12.75" hidden="1" customHeight="1">
      <c r="A454" s="1"/>
      <c r="B454" s="12" t="s">
        <v>2604</v>
      </c>
      <c r="C454" s="401" t="str">
        <f>Data!P134</f>
        <v>ROUTER, CISCO 2911/K9 BUNDLE, 3 GE, 4 EHWIC, 2 DSP, 1 SM, 512MB CF, 1GB DRAM, MRN223135</v>
      </c>
      <c r="D454" s="402"/>
      <c r="E454" s="402"/>
      <c r="F454" s="402"/>
      <c r="G454" s="402"/>
      <c r="H454" s="402"/>
      <c r="I454" s="402"/>
      <c r="J454" s="402"/>
      <c r="K454" s="402"/>
      <c r="L454" s="402"/>
      <c r="M454" s="402"/>
      <c r="N454" s="402"/>
      <c r="O454" s="403"/>
      <c r="P454" s="404" t="str">
        <f>Data!Q134</f>
        <v>MRN223135</v>
      </c>
      <c r="Q454" s="405"/>
      <c r="R454" s="405"/>
      <c r="S454" s="406"/>
      <c r="T454" s="137">
        <f t="shared" ca="1" si="32"/>
        <v>0</v>
      </c>
      <c r="U454" s="399">
        <f t="shared" ca="1" si="31"/>
        <v>0</v>
      </c>
      <c r="V454" s="400"/>
      <c r="W454" s="1"/>
      <c r="X454" s="15"/>
      <c r="Y454" s="15"/>
      <c r="Z454" s="15"/>
      <c r="AA454" s="15"/>
      <c r="AB454" s="15"/>
      <c r="AC454" s="16"/>
      <c r="AG454" s="87"/>
      <c r="AH454" s="87"/>
    </row>
    <row r="455" spans="1:34" ht="12.75" hidden="1" customHeight="1">
      <c r="A455" s="1"/>
      <c r="B455" s="12" t="s">
        <v>2605</v>
      </c>
      <c r="C455" s="401" t="str">
        <f>Data!P135</f>
        <v>ROUTER, CISCO 2911/K9 BUNDLE, 3 GE, 4 EHWIC, 2 DSP, 1 SM, 512MB CF, 1.5GB DRAM, APPX LICENSE, MRN226431</v>
      </c>
      <c r="D455" s="402"/>
      <c r="E455" s="402"/>
      <c r="F455" s="402"/>
      <c r="G455" s="402"/>
      <c r="H455" s="402"/>
      <c r="I455" s="402"/>
      <c r="J455" s="402"/>
      <c r="K455" s="402"/>
      <c r="L455" s="402"/>
      <c r="M455" s="402"/>
      <c r="N455" s="402"/>
      <c r="O455" s="403"/>
      <c r="P455" s="404" t="str">
        <f>Data!Q135</f>
        <v>MRN226431</v>
      </c>
      <c r="Q455" s="405"/>
      <c r="R455" s="405"/>
      <c r="S455" s="406"/>
      <c r="T455" s="137">
        <f t="shared" ca="1" si="32"/>
        <v>0</v>
      </c>
      <c r="U455" s="399">
        <f t="shared" ca="1" si="31"/>
        <v>0</v>
      </c>
      <c r="V455" s="400"/>
      <c r="W455" s="1"/>
      <c r="X455" s="15"/>
      <c r="Y455" s="15"/>
      <c r="Z455" s="15"/>
      <c r="AA455" s="15"/>
      <c r="AB455" s="15"/>
      <c r="AC455" s="16"/>
      <c r="AG455" s="87"/>
      <c r="AH455" s="87"/>
    </row>
    <row r="456" spans="1:34" ht="12.75" hidden="1" customHeight="1">
      <c r="A456" s="1"/>
      <c r="B456" s="12" t="s">
        <v>2606</v>
      </c>
      <c r="C456" s="401" t="str">
        <f>Data!P136</f>
        <v>ROUTER, CISCO 2921/K9 BUNDLE, 3 GE, 4 EHWIC, 3 DSP, 1 SM, 512MB CF, 1.5GB DRAM, CISCO2921/K9, MRN223137</v>
      </c>
      <c r="D456" s="402"/>
      <c r="E456" s="402"/>
      <c r="F456" s="402"/>
      <c r="G456" s="402"/>
      <c r="H456" s="402"/>
      <c r="I456" s="402"/>
      <c r="J456" s="402"/>
      <c r="K456" s="402"/>
      <c r="L456" s="402"/>
      <c r="M456" s="402"/>
      <c r="N456" s="402"/>
      <c r="O456" s="403"/>
      <c r="P456" s="404" t="str">
        <f>Data!Q136</f>
        <v>MRN223137</v>
      </c>
      <c r="Q456" s="405"/>
      <c r="R456" s="405"/>
      <c r="S456" s="406"/>
      <c r="T456" s="137">
        <f t="shared" ca="1" si="32"/>
        <v>0</v>
      </c>
      <c r="U456" s="399">
        <f t="shared" ca="1" si="31"/>
        <v>0</v>
      </c>
      <c r="V456" s="400"/>
      <c r="W456" s="1"/>
      <c r="X456" s="15"/>
      <c r="Y456" s="15"/>
      <c r="Z456" s="15"/>
      <c r="AA456" s="15"/>
      <c r="AB456" s="15"/>
      <c r="AC456" s="16"/>
      <c r="AG456" s="87"/>
      <c r="AH456" s="87"/>
    </row>
    <row r="457" spans="1:34" ht="12.75" hidden="1" customHeight="1">
      <c r="A457" s="1"/>
      <c r="B457" s="12" t="s">
        <v>2607</v>
      </c>
      <c r="C457" s="401" t="str">
        <f>Data!P137</f>
        <v>ROUTER, CISCO 2921/K9 BUNDLE, 3 GE, 4 EHWIC, 3 DSP, 1 SM, 512MB CF, 1.5GB DRAM, APPX LICENSE, MRN226430</v>
      </c>
      <c r="D457" s="402"/>
      <c r="E457" s="402"/>
      <c r="F457" s="402"/>
      <c r="G457" s="402"/>
      <c r="H457" s="402"/>
      <c r="I457" s="402"/>
      <c r="J457" s="402"/>
      <c r="K457" s="402"/>
      <c r="L457" s="402"/>
      <c r="M457" s="402"/>
      <c r="N457" s="402"/>
      <c r="O457" s="403"/>
      <c r="P457" s="404" t="str">
        <f>Data!Q137</f>
        <v>MRN226430</v>
      </c>
      <c r="Q457" s="405"/>
      <c r="R457" s="405"/>
      <c r="S457" s="406"/>
      <c r="T457" s="137">
        <f t="shared" ca="1" si="32"/>
        <v>0</v>
      </c>
      <c r="U457" s="399">
        <f t="shared" ca="1" si="31"/>
        <v>0</v>
      </c>
      <c r="V457" s="400"/>
      <c r="W457" s="1"/>
      <c r="X457" s="15"/>
      <c r="Y457" s="15"/>
      <c r="Z457" s="15"/>
      <c r="AA457" s="15"/>
      <c r="AB457" s="15"/>
      <c r="AC457" s="16"/>
      <c r="AG457" s="87"/>
      <c r="AH457" s="87"/>
    </row>
    <row r="458" spans="1:34" ht="12.75" hidden="1" customHeight="1">
      <c r="A458" s="1"/>
      <c r="B458" s="12" t="s">
        <v>2608</v>
      </c>
      <c r="C458" s="401" t="str">
        <f>Data!P138</f>
        <v>ROUTER, CISCO 2921/K9 BUNDLE, 3 GE, 4 EHWIC, 3 DSP, 1 SM, 512MB CF, 1.5GB DRAM, APPX LICENSE, SM-ES2-24, MRN237955</v>
      </c>
      <c r="D458" s="402"/>
      <c r="E458" s="402"/>
      <c r="F458" s="402"/>
      <c r="G458" s="402"/>
      <c r="H458" s="402"/>
      <c r="I458" s="402"/>
      <c r="J458" s="402"/>
      <c r="K458" s="402"/>
      <c r="L458" s="402"/>
      <c r="M458" s="402"/>
      <c r="N458" s="402"/>
      <c r="O458" s="403"/>
      <c r="P458" s="404" t="str">
        <f>Data!Q138</f>
        <v>MRN237955</v>
      </c>
      <c r="Q458" s="405"/>
      <c r="R458" s="405"/>
      <c r="S458" s="406"/>
      <c r="T458" s="137">
        <f t="shared" ca="1" si="32"/>
        <v>0</v>
      </c>
      <c r="U458" s="399">
        <f t="shared" ca="1" si="31"/>
        <v>0</v>
      </c>
      <c r="V458" s="400"/>
      <c r="W458" s="1"/>
      <c r="X458" s="15"/>
      <c r="Y458" s="15"/>
      <c r="Z458" s="15"/>
      <c r="AA458" s="15"/>
      <c r="AB458" s="15"/>
      <c r="AC458" s="16"/>
      <c r="AG458" s="87"/>
      <c r="AH458" s="87"/>
    </row>
    <row r="459" spans="1:34" ht="12.75" hidden="1" customHeight="1">
      <c r="A459" s="1"/>
      <c r="B459" s="12" t="s">
        <v>2609</v>
      </c>
      <c r="C459" s="401" t="str">
        <f>Data!P139</f>
        <v>ROUTER, CISCO 2921/K9 BUNDLE, 3 GE, 4 EHWIC, 3 DSP, 1 SM, 1GB CF, 1GB DRAM, GLC-FE-100FX, RPS-ADPRT, 2 VWIC3-1MFT-T1/E1, EHWIC-1GE-SFP-CU,  MRN221769</v>
      </c>
      <c r="D459" s="402"/>
      <c r="E459" s="402"/>
      <c r="F459" s="402"/>
      <c r="G459" s="402"/>
      <c r="H459" s="402"/>
      <c r="I459" s="402"/>
      <c r="J459" s="402"/>
      <c r="K459" s="402"/>
      <c r="L459" s="402"/>
      <c r="M459" s="402"/>
      <c r="N459" s="402"/>
      <c r="O459" s="403"/>
      <c r="P459" s="404" t="str">
        <f>Data!Q139</f>
        <v>MRN221769</v>
      </c>
      <c r="Q459" s="405"/>
      <c r="R459" s="405"/>
      <c r="S459" s="406"/>
      <c r="T459" s="137">
        <f t="shared" ca="1" si="32"/>
        <v>0</v>
      </c>
      <c r="U459" s="399">
        <f t="shared" ca="1" si="31"/>
        <v>0</v>
      </c>
      <c r="V459" s="400"/>
      <c r="W459" s="1"/>
      <c r="X459" s="15"/>
      <c r="Y459" s="15"/>
      <c r="Z459" s="15"/>
      <c r="AA459" s="15"/>
      <c r="AB459" s="15"/>
      <c r="AC459" s="16"/>
      <c r="AG459" s="87"/>
      <c r="AH459" s="87"/>
    </row>
    <row r="460" spans="1:34" ht="12.75" hidden="1" customHeight="1">
      <c r="A460" s="1"/>
      <c r="B460" s="12" t="s">
        <v>2610</v>
      </c>
      <c r="C460" s="401" t="str">
        <f>Data!P140</f>
        <v>ROUTER, CISCO 2921-SEC BUNDLE, 3 GE, 4 EHWIC, 3 DSP, 1 SM, 1GB CF, 1GB DRAM, CISCO2921-SEC/K9, MRN226868</v>
      </c>
      <c r="D460" s="402"/>
      <c r="E460" s="402"/>
      <c r="F460" s="402"/>
      <c r="G460" s="402"/>
      <c r="H460" s="402"/>
      <c r="I460" s="402"/>
      <c r="J460" s="402"/>
      <c r="K460" s="402"/>
      <c r="L460" s="402"/>
      <c r="M460" s="402"/>
      <c r="N460" s="402"/>
      <c r="O460" s="403"/>
      <c r="P460" s="404" t="str">
        <f>Data!Q140</f>
        <v>MRN226868</v>
      </c>
      <c r="Q460" s="405"/>
      <c r="R460" s="405"/>
      <c r="S460" s="406"/>
      <c r="T460" s="137">
        <f t="shared" ca="1" si="32"/>
        <v>0</v>
      </c>
      <c r="U460" s="399">
        <f t="shared" ca="1" si="31"/>
        <v>0</v>
      </c>
      <c r="V460" s="400"/>
      <c r="W460" s="1"/>
      <c r="X460" s="15"/>
      <c r="Y460" s="15"/>
      <c r="Z460" s="15"/>
      <c r="AA460" s="15"/>
      <c r="AB460" s="15"/>
      <c r="AC460" s="16"/>
      <c r="AG460" s="87"/>
      <c r="AH460" s="87"/>
    </row>
    <row r="461" spans="1:34" ht="12.75" hidden="1" customHeight="1">
      <c r="A461" s="1"/>
      <c r="B461" s="12" t="s">
        <v>2611</v>
      </c>
      <c r="C461" s="401" t="str">
        <f>Data!P141</f>
        <v>ROUTER, CISCO 3925 BUNDLE, 3 GE, 4 EHWIC, 4 DSP, 2 SM, 512MB CF, 2GB DRAM, DUAL PS, CISCO3925/K9, MRN222258</v>
      </c>
      <c r="D461" s="402"/>
      <c r="E461" s="402"/>
      <c r="F461" s="402"/>
      <c r="G461" s="402"/>
      <c r="H461" s="402"/>
      <c r="I461" s="402"/>
      <c r="J461" s="402"/>
      <c r="K461" s="402"/>
      <c r="L461" s="402"/>
      <c r="M461" s="402"/>
      <c r="N461" s="402"/>
      <c r="O461" s="403"/>
      <c r="P461" s="404" t="str">
        <f>Data!Q141</f>
        <v>Cisco3925/K9</v>
      </c>
      <c r="Q461" s="405"/>
      <c r="R461" s="405"/>
      <c r="S461" s="406"/>
      <c r="T461" s="137">
        <f t="shared" ca="1" si="32"/>
        <v>0</v>
      </c>
      <c r="U461" s="399">
        <f t="shared" ca="1" si="31"/>
        <v>0</v>
      </c>
      <c r="V461" s="400"/>
      <c r="W461" s="1"/>
      <c r="X461" s="15"/>
      <c r="Y461" s="15"/>
      <c r="Z461" s="15"/>
      <c r="AA461" s="15"/>
      <c r="AB461" s="15"/>
      <c r="AC461" s="16"/>
      <c r="AG461" s="87"/>
      <c r="AH461" s="87"/>
    </row>
    <row r="462" spans="1:34" ht="12.75" hidden="1" customHeight="1">
      <c r="A462" s="1"/>
      <c r="B462" s="12" t="s">
        <v>2612</v>
      </c>
      <c r="C462" s="401" t="str">
        <f>Data!P142</f>
        <v>ROUTER, CISCO 3925 BUNDLE, 3 GE, 4 EHWIC, 4 DSP, 2 SM, 512MB CF, 2GB DRAM, DUAL PS, APPX LICENSE, CISCO3925/K9, MRN224244</v>
      </c>
      <c r="D462" s="402"/>
      <c r="E462" s="402"/>
      <c r="F462" s="402"/>
      <c r="G462" s="402"/>
      <c r="H462" s="402"/>
      <c r="I462" s="402"/>
      <c r="J462" s="402"/>
      <c r="K462" s="402"/>
      <c r="L462" s="402"/>
      <c r="M462" s="402"/>
      <c r="N462" s="402"/>
      <c r="O462" s="403"/>
      <c r="P462" s="404" t="str">
        <f>Data!Q142</f>
        <v>Cisco3925/K9</v>
      </c>
      <c r="Q462" s="405"/>
      <c r="R462" s="405"/>
      <c r="S462" s="406"/>
      <c r="T462" s="137">
        <f t="shared" ca="1" si="32"/>
        <v>0</v>
      </c>
      <c r="U462" s="399">
        <f t="shared" ca="1" si="31"/>
        <v>0</v>
      </c>
      <c r="V462" s="400"/>
      <c r="W462" s="1"/>
      <c r="X462" s="15"/>
      <c r="Y462" s="15"/>
      <c r="Z462" s="15"/>
      <c r="AA462" s="15"/>
      <c r="AB462" s="15"/>
      <c r="AC462" s="16"/>
      <c r="AG462" s="87"/>
      <c r="AH462" s="87"/>
    </row>
    <row r="463" spans="1:34" ht="12.75" hidden="1" customHeight="1">
      <c r="A463" s="1"/>
      <c r="B463" s="12" t="s">
        <v>2613</v>
      </c>
      <c r="C463" s="401" t="str">
        <f>Data!P143</f>
        <v>ROUTER, CISCO 3945 BUNDLE, 3 GE, 4 EHWIC, 4 DSP, 2 SM, 512MB CF, 2GB DRAM, DUAL PS, CISCO3945/K9, MRN224767</v>
      </c>
      <c r="D463" s="402"/>
      <c r="E463" s="402"/>
      <c r="F463" s="402"/>
      <c r="G463" s="402"/>
      <c r="H463" s="402"/>
      <c r="I463" s="402"/>
      <c r="J463" s="402"/>
      <c r="K463" s="402"/>
      <c r="L463" s="402"/>
      <c r="M463" s="402"/>
      <c r="N463" s="402"/>
      <c r="O463" s="403"/>
      <c r="P463" s="404" t="str">
        <f>Data!Q143</f>
        <v>MRN224767</v>
      </c>
      <c r="Q463" s="405"/>
      <c r="R463" s="405"/>
      <c r="S463" s="406"/>
      <c r="T463" s="137">
        <f t="shared" ca="1" si="32"/>
        <v>0</v>
      </c>
      <c r="U463" s="399">
        <f t="shared" ca="1" si="31"/>
        <v>0</v>
      </c>
      <c r="V463" s="400"/>
      <c r="W463" s="1"/>
      <c r="X463" s="15"/>
      <c r="Y463" s="15"/>
      <c r="Z463" s="15"/>
      <c r="AA463" s="15"/>
      <c r="AB463" s="15"/>
      <c r="AC463" s="16"/>
      <c r="AG463" s="87"/>
      <c r="AH463" s="87"/>
    </row>
    <row r="464" spans="1:34" ht="12.75" hidden="1" customHeight="1">
      <c r="A464" s="1"/>
      <c r="B464" s="12" t="s">
        <v>2614</v>
      </c>
      <c r="C464" s="401" t="str">
        <f>Data!P144</f>
        <v>ROUTER, CISCO 3945 BUNDLE, 3 GE, 4 EHWIC, 4 DSP, 2 SM, 512MB CF, 2GB DRAM, DUAL PS, APPX LICENSE, CISCO3945/K9, MRN226217</v>
      </c>
      <c r="D464" s="402"/>
      <c r="E464" s="402"/>
      <c r="F464" s="402"/>
      <c r="G464" s="402"/>
      <c r="H464" s="402"/>
      <c r="I464" s="402"/>
      <c r="J464" s="402"/>
      <c r="K464" s="402"/>
      <c r="L464" s="402"/>
      <c r="M464" s="402"/>
      <c r="N464" s="402"/>
      <c r="O464" s="403"/>
      <c r="P464" s="404" t="str">
        <f>Data!Q144</f>
        <v>MRN226217</v>
      </c>
      <c r="Q464" s="405"/>
      <c r="R464" s="405"/>
      <c r="S464" s="406"/>
      <c r="T464" s="137">
        <f t="shared" ca="1" si="32"/>
        <v>0</v>
      </c>
      <c r="U464" s="399">
        <f t="shared" ca="1" si="31"/>
        <v>0</v>
      </c>
      <c r="V464" s="400"/>
      <c r="W464" s="1"/>
      <c r="X464" s="15"/>
      <c r="Y464" s="15"/>
      <c r="Z464" s="15"/>
      <c r="AA464" s="15"/>
      <c r="AB464" s="15"/>
      <c r="AC464" s="16"/>
      <c r="AG464" s="87"/>
      <c r="AH464" s="87"/>
    </row>
    <row r="465" spans="1:34" ht="12.75" hidden="1" customHeight="1">
      <c r="A465" s="1"/>
      <c r="B465" s="12" t="s">
        <v>2615</v>
      </c>
      <c r="C465" s="401" t="str">
        <f>Data!P145</f>
        <v>ROUTER, CISCO ASR1001-X BUNDLE, 6 GE, 8GB DRAM, DUAL P/S, ADV IP SERVICES LICENSE, ASR1001-X, MRN226419</v>
      </c>
      <c r="D465" s="402"/>
      <c r="E465" s="402"/>
      <c r="F465" s="402"/>
      <c r="G465" s="402"/>
      <c r="H465" s="402"/>
      <c r="I465" s="402"/>
      <c r="J465" s="402"/>
      <c r="K465" s="402"/>
      <c r="L465" s="402"/>
      <c r="M465" s="402"/>
      <c r="N465" s="402"/>
      <c r="O465" s="403"/>
      <c r="P465" s="404" t="str">
        <f>Data!Q145</f>
        <v>MRN226419</v>
      </c>
      <c r="Q465" s="405"/>
      <c r="R465" s="405"/>
      <c r="S465" s="406"/>
      <c r="T465" s="137">
        <f t="shared" ca="1" si="32"/>
        <v>0</v>
      </c>
      <c r="U465" s="399">
        <f t="shared" ca="1" si="31"/>
        <v>0</v>
      </c>
      <c r="V465" s="400"/>
      <c r="W465" s="1"/>
      <c r="X465" s="15"/>
      <c r="Y465" s="15"/>
      <c r="Z465" s="15"/>
      <c r="AA465" s="15"/>
      <c r="AB465" s="15"/>
      <c r="AC465" s="16"/>
      <c r="AG465" s="87"/>
      <c r="AH465" s="87"/>
    </row>
    <row r="466" spans="1:34" ht="12.75" hidden="1" customHeight="1">
      <c r="A466" s="1"/>
      <c r="B466" s="12" t="s">
        <v>2616</v>
      </c>
      <c r="C466" s="401" t="str">
        <f>Data!P146</f>
        <v>ROUTER, CISCO ASR1002-X BUNDLE, 6 GE, 4GB DRAM, DUAL P/S, ADV IP SERVICES LICENSE, ASR1002-X, MRN223179</v>
      </c>
      <c r="D466" s="402"/>
      <c r="E466" s="402"/>
      <c r="F466" s="402"/>
      <c r="G466" s="402"/>
      <c r="H466" s="402"/>
      <c r="I466" s="402"/>
      <c r="J466" s="402"/>
      <c r="K466" s="402"/>
      <c r="L466" s="402"/>
      <c r="M466" s="402"/>
      <c r="N466" s="402"/>
      <c r="O466" s="403"/>
      <c r="P466" s="404" t="str">
        <f>Data!Q146</f>
        <v>MRN223179</v>
      </c>
      <c r="Q466" s="405"/>
      <c r="R466" s="405"/>
      <c r="S466" s="406"/>
      <c r="T466" s="137">
        <f t="shared" ca="1" si="32"/>
        <v>0</v>
      </c>
      <c r="U466" s="399">
        <f t="shared" ca="1" si="31"/>
        <v>0</v>
      </c>
      <c r="V466" s="400"/>
      <c r="W466" s="1"/>
      <c r="X466" s="15"/>
      <c r="Y466" s="15"/>
      <c r="Z466" s="15"/>
      <c r="AA466" s="15"/>
      <c r="AB466" s="15"/>
      <c r="AC466" s="16"/>
      <c r="AG466" s="87"/>
      <c r="AH466" s="87"/>
    </row>
    <row r="467" spans="1:34" ht="12.75" hidden="1" customHeight="1">
      <c r="A467" s="1"/>
      <c r="B467" s="12" t="s">
        <v>2617</v>
      </c>
      <c r="C467" s="401" t="str">
        <f>Data!P147</f>
        <v>ROUTER MODULE, CISCO NETWORK INTERFACE CARD, 8-PORT, 10/100/1000 ETHERNET SWITCH, EHWIC-D-8ESG=, MRN229177</v>
      </c>
      <c r="D467" s="402"/>
      <c r="E467" s="402"/>
      <c r="F467" s="402"/>
      <c r="G467" s="402"/>
      <c r="H467" s="402"/>
      <c r="I467" s="402"/>
      <c r="J467" s="402"/>
      <c r="K467" s="402"/>
      <c r="L467" s="402"/>
      <c r="M467" s="402"/>
      <c r="N467" s="402"/>
      <c r="O467" s="403"/>
      <c r="P467" s="404" t="str">
        <f>Data!Q147</f>
        <v>EHWIC-D-8ESG=</v>
      </c>
      <c r="Q467" s="405"/>
      <c r="R467" s="405"/>
      <c r="S467" s="406"/>
      <c r="T467" s="137">
        <f t="shared" ca="1" si="32"/>
        <v>0</v>
      </c>
      <c r="U467" s="399">
        <f t="shared" ca="1" si="31"/>
        <v>0</v>
      </c>
      <c r="V467" s="400"/>
      <c r="W467" s="1"/>
      <c r="X467" s="15"/>
      <c r="Y467" s="15"/>
      <c r="Z467" s="15"/>
      <c r="AA467" s="15"/>
      <c r="AB467" s="15"/>
      <c r="AC467" s="16"/>
      <c r="AG467" s="87"/>
      <c r="AH467" s="87"/>
    </row>
    <row r="468" spans="1:34" ht="12.75" hidden="1" customHeight="1">
      <c r="A468" s="1"/>
      <c r="B468" s="12" t="s">
        <v>2618</v>
      </c>
      <c r="C468" s="401" t="str">
        <f>Data!P148</f>
        <v>ROUTER MODULE, CISCO VOICE/WAN MODULE, 2-PORT, 3RD GEN, MULTIFLEX TRUNK MODULE, VWIC3-2MFT-T1/E1=, MRN221891</v>
      </c>
      <c r="D468" s="402"/>
      <c r="E468" s="402"/>
      <c r="F468" s="402"/>
      <c r="G468" s="402"/>
      <c r="H468" s="402"/>
      <c r="I468" s="402"/>
      <c r="J468" s="402"/>
      <c r="K468" s="402"/>
      <c r="L468" s="402"/>
      <c r="M468" s="402"/>
      <c r="N468" s="402"/>
      <c r="O468" s="403"/>
      <c r="P468" s="404" t="str">
        <f>Data!Q148</f>
        <v>VWIC3-2MFT-T1/E1=</v>
      </c>
      <c r="Q468" s="405"/>
      <c r="R468" s="405"/>
      <c r="S468" s="406"/>
      <c r="T468" s="137">
        <f t="shared" ca="1" si="32"/>
        <v>0</v>
      </c>
      <c r="U468" s="399">
        <f t="shared" ca="1" si="31"/>
        <v>0</v>
      </c>
      <c r="V468" s="400"/>
      <c r="W468" s="1"/>
      <c r="X468" s="15"/>
      <c r="Y468" s="15"/>
      <c r="Z468" s="15"/>
      <c r="AA468" s="15"/>
      <c r="AB468" s="15"/>
      <c r="AC468" s="16"/>
      <c r="AG468" s="87"/>
      <c r="AH468" s="87"/>
    </row>
    <row r="469" spans="1:34" ht="12.75" hidden="1" customHeight="1">
      <c r="A469" s="1"/>
      <c r="B469" s="12" t="s">
        <v>2619</v>
      </c>
      <c r="C469" s="401" t="str">
        <f>Data!P149</f>
        <v>ROUTER MODULE, CISCO WAN INTERFACE CARD, 1-PORT, T1/FRACTIONAL T1 DSU/CSU, HWIC-1DSU-T1=, MRN224920</v>
      </c>
      <c r="D469" s="402"/>
      <c r="E469" s="402"/>
      <c r="F469" s="402"/>
      <c r="G469" s="402"/>
      <c r="H469" s="402"/>
      <c r="I469" s="402"/>
      <c r="J469" s="402"/>
      <c r="K469" s="402"/>
      <c r="L469" s="402"/>
      <c r="M469" s="402"/>
      <c r="N469" s="402"/>
      <c r="O469" s="403"/>
      <c r="P469" s="404" t="str">
        <f>Data!Q149</f>
        <v>HWIC-1DSU-T1=</v>
      </c>
      <c r="Q469" s="405"/>
      <c r="R469" s="405"/>
      <c r="S469" s="406"/>
      <c r="T469" s="137">
        <f t="shared" ca="1" si="32"/>
        <v>0</v>
      </c>
      <c r="U469" s="399">
        <f t="shared" ca="1" si="31"/>
        <v>0</v>
      </c>
      <c r="V469" s="400"/>
      <c r="W469" s="1"/>
      <c r="X469" s="15"/>
      <c r="Y469" s="15"/>
      <c r="Z469" s="15"/>
      <c r="AA469" s="15"/>
      <c r="AB469" s="15"/>
      <c r="AC469" s="16"/>
      <c r="AG469" s="87"/>
      <c r="AH469" s="87"/>
    </row>
    <row r="470" spans="1:34" ht="12.75" hidden="1" customHeight="1">
      <c r="A470" s="1"/>
      <c r="B470" s="12" t="s">
        <v>2620</v>
      </c>
      <c r="C470" s="401" t="str">
        <f>Data!P150</f>
        <v>ROUTER MODULE, CISCO WAN MODULE, 1-PORT T3/E3 SERVICE MODULE, SM-X-1T3/E3++=, MRN223270</v>
      </c>
      <c r="D470" s="402"/>
      <c r="E470" s="402"/>
      <c r="F470" s="402"/>
      <c r="G470" s="402"/>
      <c r="H470" s="402"/>
      <c r="I470" s="402"/>
      <c r="J470" s="402"/>
      <c r="K470" s="402"/>
      <c r="L470" s="402"/>
      <c r="M470" s="402"/>
      <c r="N470" s="402"/>
      <c r="O470" s="403"/>
      <c r="P470" s="404" t="str">
        <f>Data!Q150</f>
        <v>SM-X-1T3/E3++=</v>
      </c>
      <c r="Q470" s="405"/>
      <c r="R470" s="405"/>
      <c r="S470" s="406"/>
      <c r="T470" s="137">
        <f t="shared" ca="1" si="32"/>
        <v>0</v>
      </c>
      <c r="U470" s="399">
        <f t="shared" ca="1" si="31"/>
        <v>0</v>
      </c>
      <c r="V470" s="400"/>
      <c r="W470" s="1"/>
      <c r="X470" s="15"/>
      <c r="Y470" s="15"/>
      <c r="Z470" s="15"/>
      <c r="AA470" s="15"/>
      <c r="AB470" s="15"/>
      <c r="AC470" s="16"/>
      <c r="AG470" s="87"/>
      <c r="AH470" s="87"/>
    </row>
    <row r="471" spans="1:34" ht="12.75" hidden="1" customHeight="1">
      <c r="A471" s="1"/>
      <c r="B471" s="12" t="s">
        <v>2621</v>
      </c>
      <c r="C471" s="401" t="str">
        <f>Data!P151</f>
        <v>REDUNDANT POWER SYSTEM, CISCO RPS2300, RPS 2300 CHASSIS, BLOWER, PS BLANK, PWR-RPS2300=, MRN218423</v>
      </c>
      <c r="D471" s="402"/>
      <c r="E471" s="402"/>
      <c r="F471" s="402"/>
      <c r="G471" s="402"/>
      <c r="H471" s="402"/>
      <c r="I471" s="402"/>
      <c r="J471" s="402"/>
      <c r="K471" s="402"/>
      <c r="L471" s="402"/>
      <c r="M471" s="402"/>
      <c r="N471" s="402"/>
      <c r="O471" s="403"/>
      <c r="P471" s="404" t="str">
        <f>Data!Q151</f>
        <v>PWR-RPS2300=</v>
      </c>
      <c r="Q471" s="405"/>
      <c r="R471" s="405"/>
      <c r="S471" s="406"/>
      <c r="T471" s="137">
        <f t="shared" ca="1" si="32"/>
        <v>0</v>
      </c>
      <c r="U471" s="399">
        <f t="shared" ca="1" si="31"/>
        <v>0</v>
      </c>
      <c r="V471" s="400"/>
      <c r="W471" s="1"/>
      <c r="X471" s="15"/>
      <c r="Y471" s="15"/>
      <c r="Z471" s="15"/>
      <c r="AA471" s="15"/>
      <c r="AB471" s="15"/>
      <c r="AC471" s="16"/>
      <c r="AG471" s="87"/>
      <c r="AH471" s="87"/>
    </row>
    <row r="472" spans="1:34" ht="12.75" hidden="1" customHeight="1">
      <c r="A472" s="1"/>
      <c r="B472" s="12" t="s">
        <v>2622</v>
      </c>
      <c r="C472" s="401" t="str">
        <f>Data!P152</f>
        <v>REDUNDANT POWER SYSTEM, CISCO RPS2300 BUNDLE, RPS 2300 CHASSIS, BLOWER, DUAL C3K-PWR-750WAC, CAB-RPS2300-E, PWR-RPS2300, MRN224745</v>
      </c>
      <c r="D472" s="402"/>
      <c r="E472" s="402"/>
      <c r="F472" s="402"/>
      <c r="G472" s="402"/>
      <c r="H472" s="402"/>
      <c r="I472" s="402"/>
      <c r="J472" s="402"/>
      <c r="K472" s="402"/>
      <c r="L472" s="402"/>
      <c r="M472" s="402"/>
      <c r="N472" s="402"/>
      <c r="O472" s="403"/>
      <c r="P472" s="404" t="str">
        <f>Data!Q152</f>
        <v>MRN224745</v>
      </c>
      <c r="Q472" s="405"/>
      <c r="R472" s="405"/>
      <c r="S472" s="406"/>
      <c r="T472" s="137">
        <f t="shared" ca="1" si="32"/>
        <v>0</v>
      </c>
      <c r="U472" s="399">
        <f t="shared" ca="1" si="31"/>
        <v>0</v>
      </c>
      <c r="V472" s="400"/>
      <c r="W472" s="1"/>
      <c r="X472" s="15"/>
      <c r="Y472" s="15"/>
      <c r="Z472" s="15"/>
      <c r="AA472" s="15"/>
      <c r="AB472" s="15"/>
      <c r="AC472" s="16"/>
      <c r="AG472" s="87"/>
      <c r="AH472" s="87"/>
    </row>
    <row r="473" spans="1:34" ht="12.75" hidden="1" customHeight="1">
      <c r="A473" s="1"/>
      <c r="B473" s="12" t="s">
        <v>2623</v>
      </c>
      <c r="C473" s="401" t="str">
        <f>Data!P153</f>
        <v>REDUNDANT POWER SYSTEM, CISCO RPS2300 BUNDLE, RPS 2300 CHASSIS, BLOWER, DUAL C3K-PWR-1150WAC, CAB-RPS2300-E, PWR-RPS2300, MRN226432</v>
      </c>
      <c r="D473" s="402"/>
      <c r="E473" s="402"/>
      <c r="F473" s="402"/>
      <c r="G473" s="402"/>
      <c r="H473" s="402"/>
      <c r="I473" s="402"/>
      <c r="J473" s="402"/>
      <c r="K473" s="402"/>
      <c r="L473" s="402"/>
      <c r="M473" s="402"/>
      <c r="N473" s="402"/>
      <c r="O473" s="403"/>
      <c r="P473" s="404" t="str">
        <f>Data!Q153</f>
        <v>MRN226432</v>
      </c>
      <c r="Q473" s="405"/>
      <c r="R473" s="405"/>
      <c r="S473" s="406"/>
      <c r="T473" s="137">
        <f t="shared" ca="1" si="32"/>
        <v>0</v>
      </c>
      <c r="U473" s="399">
        <f t="shared" ca="1" si="31"/>
        <v>0</v>
      </c>
      <c r="V473" s="400"/>
      <c r="W473" s="1"/>
      <c r="X473" s="15"/>
      <c r="Y473" s="15"/>
      <c r="Z473" s="15"/>
      <c r="AA473" s="15"/>
      <c r="AB473" s="15"/>
      <c r="AC473" s="16"/>
      <c r="AG473" s="87"/>
      <c r="AH473" s="87"/>
    </row>
    <row r="474" spans="1:34" ht="12.75" hidden="1" customHeight="1">
      <c r="A474" s="1"/>
      <c r="B474" s="12" t="s">
        <v>2624</v>
      </c>
      <c r="C474" s="401" t="str">
        <f>Data!P154</f>
        <v>SERVICES GATEWAY, JUNIPER SRX210, 2 GE PORTS, 6 FE PORTS, PIM SLOT,  2GB DRAM, 2GB FLASH, SRX210HE2-TAA, MRN227756</v>
      </c>
      <c r="D474" s="402"/>
      <c r="E474" s="402"/>
      <c r="F474" s="402"/>
      <c r="G474" s="402"/>
      <c r="H474" s="402"/>
      <c r="I474" s="402"/>
      <c r="J474" s="402"/>
      <c r="K474" s="402"/>
      <c r="L474" s="402"/>
      <c r="M474" s="402"/>
      <c r="N474" s="402"/>
      <c r="O474" s="403"/>
      <c r="P474" s="404" t="str">
        <f>Data!Q154</f>
        <v>SRX210HE2-TAA</v>
      </c>
      <c r="Q474" s="405"/>
      <c r="R474" s="405"/>
      <c r="S474" s="406"/>
      <c r="T474" s="137">
        <f t="shared" ca="1" si="32"/>
        <v>0</v>
      </c>
      <c r="U474" s="399">
        <f t="shared" ca="1" si="31"/>
        <v>0</v>
      </c>
      <c r="V474" s="400"/>
      <c r="W474" s="1"/>
      <c r="X474" s="15"/>
      <c r="Y474" s="15"/>
      <c r="Z474" s="15"/>
      <c r="AA474" s="15"/>
      <c r="AB474" s="15"/>
      <c r="AC474" s="16"/>
      <c r="AG474" s="87"/>
      <c r="AH474" s="87"/>
    </row>
    <row r="475" spans="1:34" ht="12.75" hidden="1" customHeight="1">
      <c r="A475" s="1"/>
      <c r="B475" s="12" t="s">
        <v>2625</v>
      </c>
      <c r="C475" s="401" t="str">
        <f>Data!P155</f>
        <v>SERVICES GATEWAY, JUNIPER SRX 550 BUNDLE, 6 10/100/1000 RJ-45 PORTS, 4 SFP PORTS, 645W AC POE PS, RACK MOUNT KIT, SRX550-645AP-TAA, MRN227757</v>
      </c>
      <c r="D475" s="402"/>
      <c r="E475" s="402"/>
      <c r="F475" s="402"/>
      <c r="G475" s="402"/>
      <c r="H475" s="402"/>
      <c r="I475" s="402"/>
      <c r="J475" s="402"/>
      <c r="K475" s="402"/>
      <c r="L475" s="402"/>
      <c r="M475" s="402"/>
      <c r="N475" s="402"/>
      <c r="O475" s="403"/>
      <c r="P475" s="404" t="str">
        <f>Data!Q155</f>
        <v>SRX550-645AP-TAA</v>
      </c>
      <c r="Q475" s="405"/>
      <c r="R475" s="405"/>
      <c r="S475" s="406"/>
      <c r="T475" s="137">
        <f t="shared" ca="1" si="32"/>
        <v>0</v>
      </c>
      <c r="U475" s="399">
        <f t="shared" ca="1" si="31"/>
        <v>0</v>
      </c>
      <c r="V475" s="400"/>
      <c r="W475" s="1"/>
      <c r="X475" s="15"/>
      <c r="Y475" s="15"/>
      <c r="Z475" s="15"/>
      <c r="AA475" s="15"/>
      <c r="AB475" s="15"/>
      <c r="AC475" s="16"/>
      <c r="AG475" s="87"/>
      <c r="AH475" s="87"/>
    </row>
    <row r="476" spans="1:34" ht="12.75" hidden="1" customHeight="1">
      <c r="A476" s="1"/>
      <c r="B476" s="12" t="s">
        <v>2626</v>
      </c>
      <c r="C476" s="401" t="str">
        <f>Data!P156</f>
        <v>SERVICES GATEWAY, JUNIPER SRX 650 BUNDLE, 4 10/100/1000 RJ-45 PORTS, 645W AC POE PS, RACK MOUNT KIT, SRX650B-SRE6-645AP-TAA, MRN227651</v>
      </c>
      <c r="D476" s="402"/>
      <c r="E476" s="402"/>
      <c r="F476" s="402"/>
      <c r="G476" s="402"/>
      <c r="H476" s="402"/>
      <c r="I476" s="402"/>
      <c r="J476" s="402"/>
      <c r="K476" s="402"/>
      <c r="L476" s="402"/>
      <c r="M476" s="402"/>
      <c r="N476" s="402"/>
      <c r="O476" s="403"/>
      <c r="P476" s="404" t="str">
        <f>Data!Q156</f>
        <v>SRX650B-SRE6-645AP-TAA</v>
      </c>
      <c r="Q476" s="405"/>
      <c r="R476" s="405"/>
      <c r="S476" s="406"/>
      <c r="T476" s="137">
        <f t="shared" ca="1" si="32"/>
        <v>0</v>
      </c>
      <c r="U476" s="399">
        <f t="shared" ca="1" si="31"/>
        <v>0</v>
      </c>
      <c r="V476" s="400"/>
      <c r="W476" s="1"/>
      <c r="X476" s="15"/>
      <c r="Y476" s="15"/>
      <c r="Z476" s="15"/>
      <c r="AA476" s="15"/>
      <c r="AB476" s="15"/>
      <c r="AC476" s="16"/>
      <c r="AG476" s="87"/>
      <c r="AH476" s="87"/>
    </row>
    <row r="477" spans="1:34" ht="12.75" hidden="1" customHeight="1">
      <c r="A477" s="1"/>
      <c r="B477" s="12" t="s">
        <v>2627</v>
      </c>
      <c r="C477" s="401" t="str">
        <f>Data!P157</f>
        <v>SERVICES GATEWAY, JUNIPER SRX 3600 CHASSIS, FAN,  ROUTING ENGINE,  SFB-12GE, SRX3600BASE-AC, MRN227758</v>
      </c>
      <c r="D477" s="402"/>
      <c r="E477" s="402"/>
      <c r="F477" s="402"/>
      <c r="G477" s="402"/>
      <c r="H477" s="402"/>
      <c r="I477" s="402"/>
      <c r="J477" s="402"/>
      <c r="K477" s="402"/>
      <c r="L477" s="402"/>
      <c r="M477" s="402"/>
      <c r="N477" s="402"/>
      <c r="O477" s="403"/>
      <c r="P477" s="404" t="str">
        <f>Data!Q157</f>
        <v>SRX3600BASE-AC</v>
      </c>
      <c r="Q477" s="405"/>
      <c r="R477" s="405"/>
      <c r="S477" s="406"/>
      <c r="T477" s="137">
        <f t="shared" ca="1" si="32"/>
        <v>0</v>
      </c>
      <c r="U477" s="399">
        <f t="shared" ca="1" si="31"/>
        <v>0</v>
      </c>
      <c r="V477" s="400"/>
      <c r="W477" s="1"/>
      <c r="X477" s="15"/>
      <c r="Y477" s="15"/>
      <c r="Z477" s="15"/>
      <c r="AA477" s="15"/>
      <c r="AB477" s="15"/>
      <c r="AC477" s="16"/>
      <c r="AG477" s="87"/>
      <c r="AH477" s="87"/>
    </row>
    <row r="478" spans="1:34" ht="12.75" hidden="1" customHeight="1">
      <c r="A478" s="1"/>
      <c r="B478" s="12" t="s">
        <v>2628</v>
      </c>
      <c r="C478" s="401" t="str">
        <f>Data!P158</f>
        <v>CONTROL PROCESSOR, JUNIPER, 2 10GE SFP+ PORTS, INTEGRATED NPC AND IOC, SRX1K3K-NP-2XGE-SFPP, MRN226155</v>
      </c>
      <c r="D478" s="402"/>
      <c r="E478" s="402"/>
      <c r="F478" s="402"/>
      <c r="G478" s="402"/>
      <c r="H478" s="402"/>
      <c r="I478" s="402"/>
      <c r="J478" s="402"/>
      <c r="K478" s="402"/>
      <c r="L478" s="402"/>
      <c r="M478" s="402"/>
      <c r="N478" s="402"/>
      <c r="O478" s="403"/>
      <c r="P478" s="404" t="str">
        <f>Data!Q158</f>
        <v>SRX1K3K-NP-2XGE-SFPP</v>
      </c>
      <c r="Q478" s="405"/>
      <c r="R478" s="405"/>
      <c r="S478" s="406"/>
      <c r="T478" s="137">
        <f t="shared" ca="1" si="32"/>
        <v>0</v>
      </c>
      <c r="U478" s="399">
        <f t="shared" ca="1" si="31"/>
        <v>0</v>
      </c>
      <c r="V478" s="400"/>
      <c r="W478" s="1"/>
      <c r="X478" s="15"/>
      <c r="Y478" s="15"/>
      <c r="Z478" s="15"/>
      <c r="AA478" s="15"/>
      <c r="AB478" s="15"/>
      <c r="AC478" s="16"/>
      <c r="AG478" s="87"/>
      <c r="AH478" s="87"/>
    </row>
    <row r="479" spans="1:34" ht="12.75" hidden="1" customHeight="1">
      <c r="A479" s="1"/>
      <c r="B479" s="12" t="s">
        <v>2629</v>
      </c>
      <c r="C479" s="401" t="str">
        <f>Data!P159</f>
        <v>GATEWAY MODULE, JUNIPER SRX 3600 CLUSTERING MODULE, SRX3K-CRM, MRN231759</v>
      </c>
      <c r="D479" s="402"/>
      <c r="E479" s="402"/>
      <c r="F479" s="402"/>
      <c r="G479" s="402"/>
      <c r="H479" s="402"/>
      <c r="I479" s="402"/>
      <c r="J479" s="402"/>
      <c r="K479" s="402"/>
      <c r="L479" s="402"/>
      <c r="M479" s="402"/>
      <c r="N479" s="402"/>
      <c r="O479" s="403"/>
      <c r="P479" s="404" t="str">
        <f>Data!Q159</f>
        <v>SRX3K-CRM</v>
      </c>
      <c r="Q479" s="405"/>
      <c r="R479" s="405"/>
      <c r="S479" s="406"/>
      <c r="T479" s="137">
        <f t="shared" ca="1" si="32"/>
        <v>0</v>
      </c>
      <c r="U479" s="399">
        <f t="shared" ca="1" si="31"/>
        <v>0</v>
      </c>
      <c r="V479" s="400"/>
      <c r="W479" s="1"/>
      <c r="X479" s="15"/>
      <c r="Y479" s="15"/>
      <c r="Z479" s="15"/>
      <c r="AA479" s="15"/>
      <c r="AB479" s="15"/>
      <c r="AC479" s="16"/>
      <c r="AG479" s="87"/>
      <c r="AH479" s="87"/>
    </row>
    <row r="480" spans="1:34" ht="12.75" hidden="1" customHeight="1">
      <c r="A480" s="1"/>
      <c r="B480" s="12" t="s">
        <v>2630</v>
      </c>
      <c r="C480" s="401" t="str">
        <f>Data!P160</f>
        <v>GATEWAY MODULE, JUNIPER SRX 3600 NETWORK MODULE, 8 10/100/1000 RJ-45 PORTS, 4 SFP PORTS, SRX3K-SFB-12GE, MRN226167</v>
      </c>
      <c r="D480" s="402"/>
      <c r="E480" s="402"/>
      <c r="F480" s="402"/>
      <c r="G480" s="402"/>
      <c r="H480" s="402"/>
      <c r="I480" s="402"/>
      <c r="J480" s="402"/>
      <c r="K480" s="402"/>
      <c r="L480" s="402"/>
      <c r="M480" s="402"/>
      <c r="N480" s="402"/>
      <c r="O480" s="403"/>
      <c r="P480" s="404" t="str">
        <f>Data!Q160</f>
        <v>SRX3K-SFB-12GE</v>
      </c>
      <c r="Q480" s="405"/>
      <c r="R480" s="405"/>
      <c r="S480" s="406"/>
      <c r="T480" s="137">
        <f t="shared" ca="1" si="32"/>
        <v>0</v>
      </c>
      <c r="U480" s="399">
        <f t="shared" ca="1" si="31"/>
        <v>0</v>
      </c>
      <c r="V480" s="400"/>
      <c r="W480" s="1"/>
      <c r="X480" s="15"/>
      <c r="Y480" s="15"/>
      <c r="Z480" s="15"/>
      <c r="AA480" s="15"/>
      <c r="AB480" s="15"/>
      <c r="AC480" s="16"/>
      <c r="AG480" s="87"/>
      <c r="AH480" s="87"/>
    </row>
    <row r="481" spans="1:49" ht="12.75" hidden="1" customHeight="1">
      <c r="A481" s="1"/>
      <c r="B481" s="12" t="s">
        <v>2631</v>
      </c>
      <c r="C481" s="401" t="str">
        <f>Data!P161</f>
        <v>GATEWAY MODULE, JUNIPER SRX 3600 NETWORK PROCESSING CARD, SRX3K-NPC, MRN226161</v>
      </c>
      <c r="D481" s="402"/>
      <c r="E481" s="402"/>
      <c r="F481" s="402"/>
      <c r="G481" s="402"/>
      <c r="H481" s="402"/>
      <c r="I481" s="402"/>
      <c r="J481" s="402"/>
      <c r="K481" s="402"/>
      <c r="L481" s="402"/>
      <c r="M481" s="402"/>
      <c r="N481" s="402"/>
      <c r="O481" s="403"/>
      <c r="P481" s="404" t="str">
        <f>Data!Q161</f>
        <v>SRX3K-NPC</v>
      </c>
      <c r="Q481" s="405"/>
      <c r="R481" s="405"/>
      <c r="S481" s="406"/>
      <c r="T481" s="137">
        <f t="shared" ca="1" si="32"/>
        <v>0</v>
      </c>
      <c r="U481" s="399">
        <f t="shared" ca="1" si="31"/>
        <v>0</v>
      </c>
      <c r="V481" s="400"/>
      <c r="W481" s="1"/>
      <c r="X481" s="15"/>
      <c r="Y481" s="15"/>
      <c r="Z481" s="15"/>
      <c r="AA481" s="15"/>
      <c r="AB481" s="15"/>
      <c r="AC481" s="16"/>
      <c r="AG481" s="87"/>
      <c r="AH481" s="87"/>
    </row>
    <row r="482" spans="1:49" ht="12.75" hidden="1" customHeight="1">
      <c r="A482" s="1"/>
      <c r="B482" s="12" t="s">
        <v>2632</v>
      </c>
      <c r="C482" s="401" t="str">
        <f>Data!P162</f>
        <v>GATEWAY MODULE, JUNIPER SRX 3600 POWER ENTRY MODULE, SRX3K-PWR-AC, MRN226163</v>
      </c>
      <c r="D482" s="402"/>
      <c r="E482" s="402"/>
      <c r="F482" s="402"/>
      <c r="G482" s="402"/>
      <c r="H482" s="402"/>
      <c r="I482" s="402"/>
      <c r="J482" s="402"/>
      <c r="K482" s="402"/>
      <c r="L482" s="402"/>
      <c r="M482" s="402"/>
      <c r="N482" s="402"/>
      <c r="O482" s="403"/>
      <c r="P482" s="404" t="str">
        <f>Data!Q162</f>
        <v>SRX3K-PWR-AC</v>
      </c>
      <c r="Q482" s="405"/>
      <c r="R482" s="405"/>
      <c r="S482" s="406"/>
      <c r="T482" s="137">
        <f t="shared" ca="1" si="32"/>
        <v>0</v>
      </c>
      <c r="U482" s="399">
        <f t="shared" ca="1" si="31"/>
        <v>0</v>
      </c>
      <c r="V482" s="400"/>
      <c r="W482" s="1"/>
      <c r="X482" s="15"/>
      <c r="Y482" s="15"/>
      <c r="Z482" s="15"/>
      <c r="AA482" s="15"/>
      <c r="AB482" s="15"/>
      <c r="AC482" s="16"/>
      <c r="AG482" s="87"/>
      <c r="AH482" s="87"/>
    </row>
    <row r="483" spans="1:49" ht="12.75" hidden="1" customHeight="1">
      <c r="A483" s="1"/>
      <c r="B483" s="12" t="s">
        <v>2633</v>
      </c>
      <c r="C483" s="401" t="str">
        <f>Data!P163</f>
        <v>GATEWAY MODULE, JUNIPER SRX 3600 ROUTING ENGINE, 1200MHZ PROCESSOR, 1GB MEMORY, SRX3K-RE-12-10, MRN226165</v>
      </c>
      <c r="D483" s="402"/>
      <c r="E483" s="402"/>
      <c r="F483" s="402"/>
      <c r="G483" s="402"/>
      <c r="H483" s="402"/>
      <c r="I483" s="402"/>
      <c r="J483" s="402"/>
      <c r="K483" s="402"/>
      <c r="L483" s="402"/>
      <c r="M483" s="402"/>
      <c r="N483" s="402"/>
      <c r="O483" s="403"/>
      <c r="P483" s="404" t="str">
        <f>Data!Q163</f>
        <v>SRX3K-RE-12-10</v>
      </c>
      <c r="Q483" s="405"/>
      <c r="R483" s="405"/>
      <c r="S483" s="406"/>
      <c r="T483" s="137">
        <f t="shared" ca="1" si="32"/>
        <v>0</v>
      </c>
      <c r="U483" s="399">
        <f t="shared" ca="1" si="31"/>
        <v>0</v>
      </c>
      <c r="V483" s="400"/>
      <c r="W483" s="1"/>
      <c r="X483" s="15"/>
      <c r="Y483" s="15"/>
      <c r="Z483" s="15"/>
      <c r="AA483" s="15"/>
      <c r="AB483" s="15"/>
      <c r="AC483" s="16"/>
      <c r="AG483" s="87"/>
      <c r="AH483" s="87"/>
    </row>
    <row r="484" spans="1:49" ht="12.75" hidden="1" customHeight="1">
      <c r="A484" s="1"/>
      <c r="B484" s="12" t="s">
        <v>2634</v>
      </c>
      <c r="C484" s="401" t="str">
        <f>Data!P164</f>
        <v>GATEWAY MODULE, JUNIPER SRX 3600 SERVICES PROCESSING CARD, 1 GHz CPU,  4 GB RAM, SRX3K-SPC-1-10-40, MRN226168</v>
      </c>
      <c r="D484" s="402"/>
      <c r="E484" s="402"/>
      <c r="F484" s="402"/>
      <c r="G484" s="402"/>
      <c r="H484" s="402"/>
      <c r="I484" s="402"/>
      <c r="J484" s="402"/>
      <c r="K484" s="402"/>
      <c r="L484" s="402"/>
      <c r="M484" s="402"/>
      <c r="N484" s="402"/>
      <c r="O484" s="403"/>
      <c r="P484" s="404" t="str">
        <f>Data!Q164</f>
        <v>SRX3K-SPC-1-10-40</v>
      </c>
      <c r="Q484" s="405"/>
      <c r="R484" s="405"/>
      <c r="S484" s="406"/>
      <c r="T484" s="137">
        <f t="shared" ca="1" si="32"/>
        <v>0</v>
      </c>
      <c r="U484" s="399">
        <f t="shared" ca="1" si="31"/>
        <v>0</v>
      </c>
      <c r="V484" s="400"/>
      <c r="W484" s="1"/>
      <c r="X484" s="15"/>
      <c r="Y484" s="15"/>
      <c r="Z484" s="15"/>
      <c r="AA484" s="15"/>
      <c r="AB484" s="15"/>
      <c r="AC484" s="16"/>
      <c r="AG484" s="87"/>
      <c r="AH484" s="87"/>
    </row>
    <row r="485" spans="1:49" ht="12.75" hidden="1" customHeight="1">
      <c r="A485" s="1"/>
      <c r="B485" s="12" t="s">
        <v>2635</v>
      </c>
      <c r="C485" s="401" t="str">
        <f>Data!P165</f>
        <v>POWER SUPPLY, JUNIPER POWER SUPPLY FOR SRX550/SRX650, 645W AC, POE, SRX600-PWR-645AC-POE, MRN222899</v>
      </c>
      <c r="D485" s="402"/>
      <c r="E485" s="402"/>
      <c r="F485" s="402"/>
      <c r="G485" s="402"/>
      <c r="H485" s="402"/>
      <c r="I485" s="402"/>
      <c r="J485" s="402"/>
      <c r="K485" s="402"/>
      <c r="L485" s="402"/>
      <c r="M485" s="402"/>
      <c r="N485" s="402"/>
      <c r="O485" s="403"/>
      <c r="P485" s="404" t="str">
        <f>Data!Q165</f>
        <v>SRX600-PWR-645AC-POE</v>
      </c>
      <c r="Q485" s="405"/>
      <c r="R485" s="405"/>
      <c r="S485" s="406"/>
      <c r="T485" s="137">
        <f t="shared" ca="1" si="32"/>
        <v>0</v>
      </c>
      <c r="U485" s="399">
        <f t="shared" ca="1" si="31"/>
        <v>0</v>
      </c>
      <c r="V485" s="400"/>
      <c r="W485" s="1"/>
      <c r="X485" s="15"/>
      <c r="Y485" s="15"/>
      <c r="Z485" s="15"/>
      <c r="AA485" s="15"/>
      <c r="AB485" s="15"/>
      <c r="AC485" s="16"/>
      <c r="AG485" s="87"/>
      <c r="AH485" s="87"/>
    </row>
    <row r="486" spans="1:49" ht="12.75" hidden="1" customHeight="1">
      <c r="A486" s="1"/>
      <c r="B486" s="12" t="s">
        <v>2636</v>
      </c>
      <c r="C486" s="401" t="str">
        <f>Data!P176</f>
        <v>MEDIA CONVERTER, B+B SMARTWORX, IMCV-S2MM/155, SM1310/LONG-SC, MM1300-SC, 80KM, 850-14550, MRN226546</v>
      </c>
      <c r="D486" s="402"/>
      <c r="E486" s="402"/>
      <c r="F486" s="402"/>
      <c r="G486" s="402"/>
      <c r="H486" s="402"/>
      <c r="I486" s="402"/>
      <c r="J486" s="402"/>
      <c r="K486" s="402"/>
      <c r="L486" s="402"/>
      <c r="M486" s="402"/>
      <c r="N486" s="402"/>
      <c r="O486" s="403"/>
      <c r="P486" s="404" t="str">
        <f>Data!Q176</f>
        <v>850-14550</v>
      </c>
      <c r="Q486" s="405"/>
      <c r="R486" s="405"/>
      <c r="S486" s="406"/>
      <c r="T486" s="137">
        <f t="shared" ca="1" si="32"/>
        <v>0</v>
      </c>
      <c r="U486" s="399">
        <f t="shared" ca="1" si="31"/>
        <v>0</v>
      </c>
      <c r="V486" s="400"/>
      <c r="W486" s="1"/>
      <c r="X486" s="15"/>
      <c r="Y486" s="15"/>
      <c r="Z486" s="15"/>
      <c r="AA486" s="15"/>
      <c r="AB486" s="15"/>
      <c r="AC486" s="16"/>
      <c r="AG486" s="87"/>
      <c r="AH486" s="87"/>
    </row>
    <row r="487" spans="1:49" ht="12.75" hidden="1" customHeight="1">
      <c r="A487" s="1"/>
      <c r="B487" s="12" t="s">
        <v>2637</v>
      </c>
      <c r="C487" s="401" t="str">
        <f>Data!P177</f>
        <v>MEDIA CONVERTER, B+B SMARTWORX, IMCV-S2MM/155, SM1310/PLUS-SC, MM850-SC, 850-14570, MRN226547</v>
      </c>
      <c r="D487" s="402"/>
      <c r="E487" s="402"/>
      <c r="F487" s="402"/>
      <c r="G487" s="402"/>
      <c r="H487" s="402"/>
      <c r="I487" s="402"/>
      <c r="J487" s="402"/>
      <c r="K487" s="402"/>
      <c r="L487" s="402"/>
      <c r="M487" s="402"/>
      <c r="N487" s="402"/>
      <c r="O487" s="403"/>
      <c r="P487" s="404" t="str">
        <f>Data!Q177</f>
        <v>850-14570</v>
      </c>
      <c r="Q487" s="405"/>
      <c r="R487" s="405"/>
      <c r="S487" s="406"/>
      <c r="T487" s="137">
        <f t="shared" ca="1" si="32"/>
        <v>0</v>
      </c>
      <c r="U487" s="399">
        <f t="shared" ca="1" si="31"/>
        <v>0</v>
      </c>
      <c r="V487" s="400"/>
      <c r="W487" s="1"/>
      <c r="X487" s="15"/>
      <c r="Y487" s="15"/>
      <c r="Z487" s="15"/>
      <c r="AA487" s="15"/>
      <c r="AB487" s="15"/>
      <c r="AC487" s="16"/>
      <c r="AG487" s="87"/>
      <c r="AH487" s="87"/>
    </row>
    <row r="488" spans="1:49" ht="12.75" hidden="1" customHeight="1">
      <c r="A488" s="1"/>
      <c r="B488" s="12" t="s">
        <v>2638</v>
      </c>
      <c r="C488" s="401" t="str">
        <f>Data!P178</f>
        <v>MEDIA CONVERTER, B+B SMARTWORX, IMCV-S2MM/155, SM1310/PLUS-SC, MM1300-SC, 850-14530, MRN226545</v>
      </c>
      <c r="D488" s="402"/>
      <c r="E488" s="402"/>
      <c r="F488" s="402"/>
      <c r="G488" s="402"/>
      <c r="H488" s="402"/>
      <c r="I488" s="402"/>
      <c r="J488" s="402"/>
      <c r="K488" s="402"/>
      <c r="L488" s="402"/>
      <c r="M488" s="402"/>
      <c r="N488" s="402"/>
      <c r="O488" s="403"/>
      <c r="P488" s="404" t="str">
        <f>Data!Q178</f>
        <v>850-14530</v>
      </c>
      <c r="Q488" s="405"/>
      <c r="R488" s="405"/>
      <c r="S488" s="406"/>
      <c r="T488" s="137">
        <f t="shared" ca="1" si="32"/>
        <v>0</v>
      </c>
      <c r="U488" s="399">
        <f t="shared" ca="1" si="31"/>
        <v>0</v>
      </c>
      <c r="V488" s="400"/>
      <c r="W488" s="1"/>
      <c r="X488" s="15"/>
      <c r="Y488" s="15"/>
      <c r="Z488" s="15"/>
      <c r="AA488" s="15"/>
      <c r="AB488" s="15"/>
      <c r="AC488" s="16"/>
      <c r="AG488" s="87"/>
      <c r="AH488" s="87"/>
    </row>
    <row r="489" spans="1:49" ht="12.75" hidden="1" customHeight="1">
      <c r="A489" s="1"/>
      <c r="B489" s="12" t="s">
        <v>2639</v>
      </c>
      <c r="C489" s="401" t="str">
        <f>Data!P179</f>
        <v>MEDIA CONVERTER, B+B SMARTWORX, MCBASIC, TX/FX-SM1310/LONG-SC, 855-10934, MRN226543</v>
      </c>
      <c r="D489" s="402"/>
      <c r="E489" s="402"/>
      <c r="F489" s="402"/>
      <c r="G489" s="402"/>
      <c r="H489" s="402"/>
      <c r="I489" s="402"/>
      <c r="J489" s="402"/>
      <c r="K489" s="402"/>
      <c r="L489" s="402"/>
      <c r="M489" s="402"/>
      <c r="N489" s="402"/>
      <c r="O489" s="403"/>
      <c r="P489" s="404" t="str">
        <f>Data!Q179</f>
        <v>855-10934</v>
      </c>
      <c r="Q489" s="405"/>
      <c r="R489" s="405"/>
      <c r="S489" s="406"/>
      <c r="T489" s="137">
        <f t="shared" ca="1" si="32"/>
        <v>0</v>
      </c>
      <c r="U489" s="399">
        <f t="shared" ca="1" si="31"/>
        <v>0</v>
      </c>
      <c r="V489" s="400"/>
      <c r="W489" s="1"/>
      <c r="X489" s="15"/>
      <c r="Y489" s="15"/>
      <c r="Z489" s="15"/>
      <c r="AA489" s="15"/>
      <c r="AB489" s="15"/>
      <c r="AC489" s="16"/>
      <c r="AG489" s="87"/>
      <c r="AH489" s="87"/>
    </row>
    <row r="490" spans="1:49" ht="12.75" hidden="1" customHeight="1">
      <c r="A490" s="1"/>
      <c r="B490" s="12" t="s">
        <v>2640</v>
      </c>
      <c r="C490" s="401" t="str">
        <f>Data!P180</f>
        <v>MEDIA CONVERTER, B+B SMARTWORX, MCBASIC, TX/FX-SM1310/PLUS-SC, 855-10932, MRN226542</v>
      </c>
      <c r="D490" s="402"/>
      <c r="E490" s="402"/>
      <c r="F490" s="402"/>
      <c r="G490" s="402"/>
      <c r="H490" s="402"/>
      <c r="I490" s="402"/>
      <c r="J490" s="402"/>
      <c r="K490" s="402"/>
      <c r="L490" s="402"/>
      <c r="M490" s="402"/>
      <c r="N490" s="402"/>
      <c r="O490" s="403"/>
      <c r="P490" s="404" t="str">
        <f>Data!Q180</f>
        <v>855-10932</v>
      </c>
      <c r="Q490" s="405"/>
      <c r="R490" s="405"/>
      <c r="S490" s="406"/>
      <c r="T490" s="137">
        <f t="shared" ca="1" si="32"/>
        <v>0</v>
      </c>
      <c r="U490" s="399">
        <f t="shared" ca="1" si="31"/>
        <v>0</v>
      </c>
      <c r="V490" s="400"/>
      <c r="W490" s="1"/>
      <c r="X490" s="15"/>
      <c r="Y490" s="15"/>
      <c r="Z490" s="15"/>
      <c r="AA490" s="15"/>
      <c r="AB490" s="15"/>
      <c r="AC490" s="16"/>
      <c r="AG490" s="87"/>
      <c r="AH490" s="87"/>
    </row>
    <row r="491" spans="1:49" ht="12.75" hidden="1" customHeight="1">
      <c r="A491" s="1"/>
      <c r="B491" s="12" t="s">
        <v>2641</v>
      </c>
      <c r="C491" s="401" t="str">
        <f>Data!P181</f>
        <v>CHASSIS, B+B SMARTWORX, MEDIACHASSIS/1, 1-SLOT, 850-13100, MRN226548</v>
      </c>
      <c r="D491" s="402"/>
      <c r="E491" s="402"/>
      <c r="F491" s="402"/>
      <c r="G491" s="402"/>
      <c r="H491" s="402"/>
      <c r="I491" s="402"/>
      <c r="J491" s="402"/>
      <c r="K491" s="402"/>
      <c r="L491" s="402"/>
      <c r="M491" s="402"/>
      <c r="N491" s="402"/>
      <c r="O491" s="403"/>
      <c r="P491" s="404" t="str">
        <f>Data!Q181</f>
        <v>850-13100</v>
      </c>
      <c r="Q491" s="405"/>
      <c r="R491" s="405"/>
      <c r="S491" s="406"/>
      <c r="T491" s="137">
        <f t="shared" ca="1" si="32"/>
        <v>0</v>
      </c>
      <c r="U491" s="399">
        <f t="shared" ca="1" si="31"/>
        <v>0</v>
      </c>
      <c r="V491" s="400"/>
      <c r="W491" s="1"/>
      <c r="X491" s="15"/>
      <c r="Y491" s="15"/>
      <c r="Z491" s="15"/>
      <c r="AA491" s="15"/>
      <c r="AB491" s="15"/>
      <c r="AC491" s="16"/>
      <c r="AG491" s="87"/>
      <c r="AH491" s="87"/>
    </row>
    <row r="492" spans="1:49" ht="20.5" customHeight="1">
      <c r="A492" s="1"/>
      <c r="B492" s="144" t="s">
        <v>762</v>
      </c>
      <c r="C492" s="138"/>
      <c r="D492" s="138"/>
      <c r="E492" s="138"/>
      <c r="F492" s="138"/>
      <c r="G492" s="138"/>
      <c r="H492" s="138"/>
      <c r="I492" s="138"/>
      <c r="J492" s="509" t="s">
        <v>465</v>
      </c>
      <c r="K492" s="509"/>
      <c r="L492" s="509"/>
      <c r="M492" s="509"/>
      <c r="N492" s="88" t="s">
        <v>172</v>
      </c>
      <c r="O492" s="1"/>
      <c r="P492" s="88" t="s">
        <v>171</v>
      </c>
      <c r="Q492" s="147"/>
      <c r="R492" s="139"/>
      <c r="S492" s="139"/>
      <c r="T492" s="139"/>
      <c r="U492" s="140"/>
      <c r="V492" s="141"/>
      <c r="W492" s="1"/>
      <c r="X492" s="15"/>
      <c r="Y492" s="15"/>
      <c r="Z492" s="15"/>
      <c r="AA492" s="15"/>
      <c r="AB492" s="15"/>
      <c r="AC492" s="16"/>
      <c r="AG492" s="87"/>
      <c r="AH492" s="87"/>
    </row>
    <row r="493" spans="1:49" s="105" customFormat="1" ht="17.25" hidden="1" customHeight="1">
      <c r="A493" s="97"/>
      <c r="B493" s="114" t="s">
        <v>675</v>
      </c>
      <c r="C493" s="111"/>
      <c r="D493" s="97"/>
      <c r="E493" s="97"/>
      <c r="F493" s="97"/>
      <c r="G493" s="108"/>
      <c r="H493" s="97"/>
      <c r="I493" s="97"/>
      <c r="J493" s="97"/>
      <c r="K493" s="97"/>
      <c r="L493" s="110"/>
      <c r="M493" s="97"/>
      <c r="N493" s="110"/>
      <c r="O493" s="106"/>
      <c r="P493" s="98" t="s">
        <v>99</v>
      </c>
      <c r="Q493" s="98"/>
      <c r="R493" s="98"/>
      <c r="S493" s="98"/>
      <c r="T493" s="98" t="s">
        <v>127</v>
      </c>
      <c r="U493" s="98" t="s">
        <v>123</v>
      </c>
      <c r="V493" s="98"/>
      <c r="W493" s="97"/>
      <c r="X493" s="103"/>
      <c r="Y493" s="103"/>
      <c r="Z493" s="103"/>
      <c r="AA493" s="103"/>
      <c r="AB493" s="103"/>
      <c r="AC493" s="104"/>
      <c r="AD493" s="306"/>
      <c r="AE493" s="74"/>
      <c r="AF493" s="74"/>
      <c r="AG493" s="87"/>
      <c r="AH493" s="87"/>
      <c r="AI493" s="74"/>
      <c r="AJ493" s="74"/>
      <c r="AK493" s="74"/>
      <c r="AL493" s="74"/>
      <c r="AM493" s="74"/>
      <c r="AN493" s="74"/>
      <c r="AO493" s="74"/>
      <c r="AP493" s="74"/>
      <c r="AQ493" s="74"/>
      <c r="AR493" s="74"/>
      <c r="AS493" s="74"/>
      <c r="AT493" s="74"/>
      <c r="AU493" s="74"/>
      <c r="AV493" s="74"/>
      <c r="AW493" s="74"/>
    </row>
    <row r="494" spans="1:49" ht="13.75" hidden="1" customHeight="1">
      <c r="A494" s="1"/>
      <c r="B494" s="12" t="s">
        <v>727</v>
      </c>
      <c r="C494" s="510" t="str">
        <f t="shared" ref="C494:C513" si="33">IF(C298&gt;"",IF(VLOOKUP(C298,PAHW_Desc_Install_Price,6,FALSE)="NA","",+C298),"")</f>
        <v>&lt;Select HW Description&gt;</v>
      </c>
      <c r="D494" s="511" t="s">
        <v>34</v>
      </c>
      <c r="E494" s="511" t="s">
        <v>34</v>
      </c>
      <c r="F494" s="511" t="s">
        <v>34</v>
      </c>
      <c r="G494" s="511" t="s">
        <v>34</v>
      </c>
      <c r="H494" s="511" t="s">
        <v>34</v>
      </c>
      <c r="I494" s="511" t="s">
        <v>34</v>
      </c>
      <c r="J494" s="511" t="s">
        <v>34</v>
      </c>
      <c r="K494" s="511" t="s">
        <v>34</v>
      </c>
      <c r="L494" s="511" t="s">
        <v>34</v>
      </c>
      <c r="M494" s="511" t="s">
        <v>34</v>
      </c>
      <c r="N494" s="511" t="s">
        <v>34</v>
      </c>
      <c r="O494" s="512" t="s">
        <v>34</v>
      </c>
      <c r="P494" s="513" t="str">
        <f t="shared" ref="P494:P513" si="34">IF(C298&gt;"",IF(VLOOKUP(C298,PAHW_Desc_Install_Price,6,FALSE)="NA","",+J298),"")</f>
        <v>(Model/Part #  Lookup)</v>
      </c>
      <c r="Q494" s="514"/>
      <c r="R494" s="514"/>
      <c r="S494" s="515"/>
      <c r="T494" s="137">
        <f t="shared" ref="T494:T513" si="35">IF(C298&gt;"",IF(VLOOKUP(C298,PAHW_Desc_Install_Price,6,FALSE)="NA",0,+T298),0)</f>
        <v>0</v>
      </c>
      <c r="U494" s="369" t="str">
        <f t="shared" ref="U494" si="36">IF($E$263="Yes", "", IF(T494&lt;&gt;0,T494*VLOOKUP(C494,PAHW_Desc_Install_Price,6,FALSE),""))</f>
        <v/>
      </c>
      <c r="V494" s="370"/>
      <c r="W494" s="1"/>
      <c r="X494" s="15"/>
      <c r="Y494" s="15"/>
      <c r="Z494" s="15"/>
      <c r="AA494" s="15"/>
      <c r="AB494" s="15"/>
      <c r="AC494" s="16"/>
      <c r="AG494" s="87"/>
      <c r="AH494" s="87"/>
    </row>
    <row r="495" spans="1:49" ht="12.75" hidden="1" customHeight="1">
      <c r="A495" s="1"/>
      <c r="B495" s="12" t="s">
        <v>728</v>
      </c>
      <c r="C495" s="501" t="str">
        <f t="shared" si="33"/>
        <v/>
      </c>
      <c r="D495" s="502" t="s">
        <v>34</v>
      </c>
      <c r="E495" s="502" t="s">
        <v>34</v>
      </c>
      <c r="F495" s="502" t="s">
        <v>34</v>
      </c>
      <c r="G495" s="502" t="s">
        <v>34</v>
      </c>
      <c r="H495" s="502" t="s">
        <v>34</v>
      </c>
      <c r="I495" s="502" t="s">
        <v>34</v>
      </c>
      <c r="J495" s="502" t="s">
        <v>34</v>
      </c>
      <c r="K495" s="502" t="s">
        <v>34</v>
      </c>
      <c r="L495" s="502" t="s">
        <v>34</v>
      </c>
      <c r="M495" s="502" t="s">
        <v>34</v>
      </c>
      <c r="N495" s="502" t="s">
        <v>34</v>
      </c>
      <c r="O495" s="503" t="s">
        <v>34</v>
      </c>
      <c r="P495" s="504" t="str">
        <f t="shared" si="34"/>
        <v/>
      </c>
      <c r="Q495" s="505"/>
      <c r="R495" s="505"/>
      <c r="S495" s="506"/>
      <c r="T495" s="137">
        <f t="shared" si="35"/>
        <v>0</v>
      </c>
      <c r="U495" s="369" t="str">
        <f t="shared" ref="U495:U513" si="37">IF($E$263="Yes", "", IF(T495&lt;&gt;0,T495*VLOOKUP(C495,PAHW_Desc_Install_Price,6,FALSE),""))</f>
        <v/>
      </c>
      <c r="V495" s="370"/>
      <c r="W495" s="1"/>
      <c r="X495" s="15"/>
      <c r="Y495" s="15"/>
      <c r="Z495" s="15"/>
      <c r="AA495" s="15"/>
      <c r="AB495" s="15"/>
      <c r="AC495" s="16"/>
      <c r="AG495" s="87"/>
      <c r="AH495" s="87"/>
    </row>
    <row r="496" spans="1:49" ht="12.75" hidden="1" customHeight="1">
      <c r="A496" s="1"/>
      <c r="B496" s="12" t="s">
        <v>729</v>
      </c>
      <c r="C496" s="501" t="str">
        <f t="shared" si="33"/>
        <v/>
      </c>
      <c r="D496" s="502" t="s">
        <v>34</v>
      </c>
      <c r="E496" s="502" t="s">
        <v>34</v>
      </c>
      <c r="F496" s="502" t="s">
        <v>34</v>
      </c>
      <c r="G496" s="502" t="s">
        <v>34</v>
      </c>
      <c r="H496" s="502" t="s">
        <v>34</v>
      </c>
      <c r="I496" s="502" t="s">
        <v>34</v>
      </c>
      <c r="J496" s="502" t="s">
        <v>34</v>
      </c>
      <c r="K496" s="502" t="s">
        <v>34</v>
      </c>
      <c r="L496" s="502" t="s">
        <v>34</v>
      </c>
      <c r="M496" s="502" t="s">
        <v>34</v>
      </c>
      <c r="N496" s="502" t="s">
        <v>34</v>
      </c>
      <c r="O496" s="503" t="s">
        <v>34</v>
      </c>
      <c r="P496" s="504" t="str">
        <f t="shared" si="34"/>
        <v/>
      </c>
      <c r="Q496" s="505"/>
      <c r="R496" s="505"/>
      <c r="S496" s="506"/>
      <c r="T496" s="137">
        <f t="shared" si="35"/>
        <v>0</v>
      </c>
      <c r="U496" s="369" t="str">
        <f t="shared" si="37"/>
        <v/>
      </c>
      <c r="V496" s="370"/>
      <c r="W496" s="1"/>
      <c r="X496" s="15"/>
      <c r="Y496" s="15"/>
      <c r="Z496" s="15"/>
      <c r="AA496" s="15"/>
      <c r="AB496" s="15"/>
      <c r="AC496" s="16"/>
      <c r="AG496" s="87"/>
      <c r="AH496" s="87"/>
    </row>
    <row r="497" spans="1:34" ht="12.75" hidden="1" customHeight="1">
      <c r="A497" s="1"/>
      <c r="B497" s="12" t="s">
        <v>730</v>
      </c>
      <c r="C497" s="501" t="str">
        <f t="shared" si="33"/>
        <v/>
      </c>
      <c r="D497" s="502" t="s">
        <v>34</v>
      </c>
      <c r="E497" s="502" t="s">
        <v>34</v>
      </c>
      <c r="F497" s="502" t="s">
        <v>34</v>
      </c>
      <c r="G497" s="502" t="s">
        <v>34</v>
      </c>
      <c r="H497" s="502" t="s">
        <v>34</v>
      </c>
      <c r="I497" s="502" t="s">
        <v>34</v>
      </c>
      <c r="J497" s="502" t="s">
        <v>34</v>
      </c>
      <c r="K497" s="502" t="s">
        <v>34</v>
      </c>
      <c r="L497" s="502" t="s">
        <v>34</v>
      </c>
      <c r="M497" s="502" t="s">
        <v>34</v>
      </c>
      <c r="N497" s="502" t="s">
        <v>34</v>
      </c>
      <c r="O497" s="503" t="s">
        <v>34</v>
      </c>
      <c r="P497" s="504" t="str">
        <f t="shared" si="34"/>
        <v/>
      </c>
      <c r="Q497" s="505"/>
      <c r="R497" s="505"/>
      <c r="S497" s="506"/>
      <c r="T497" s="137">
        <f t="shared" si="35"/>
        <v>0</v>
      </c>
      <c r="U497" s="369" t="str">
        <f t="shared" si="37"/>
        <v/>
      </c>
      <c r="V497" s="370"/>
      <c r="W497" s="1"/>
      <c r="X497" s="15"/>
      <c r="Y497" s="15"/>
      <c r="Z497" s="15"/>
      <c r="AA497" s="15"/>
      <c r="AB497" s="15"/>
      <c r="AC497" s="16"/>
      <c r="AG497" s="87"/>
      <c r="AH497" s="87"/>
    </row>
    <row r="498" spans="1:34" ht="12.75" hidden="1" customHeight="1">
      <c r="A498" s="1"/>
      <c r="B498" s="12" t="s">
        <v>731</v>
      </c>
      <c r="C498" s="501" t="str">
        <f t="shared" si="33"/>
        <v/>
      </c>
      <c r="D498" s="502" t="s">
        <v>34</v>
      </c>
      <c r="E498" s="502" t="s">
        <v>34</v>
      </c>
      <c r="F498" s="502" t="s">
        <v>34</v>
      </c>
      <c r="G498" s="502" t="s">
        <v>34</v>
      </c>
      <c r="H498" s="502" t="s">
        <v>34</v>
      </c>
      <c r="I498" s="502" t="s">
        <v>34</v>
      </c>
      <c r="J498" s="502" t="s">
        <v>34</v>
      </c>
      <c r="K498" s="502" t="s">
        <v>34</v>
      </c>
      <c r="L498" s="502" t="s">
        <v>34</v>
      </c>
      <c r="M498" s="502" t="s">
        <v>34</v>
      </c>
      <c r="N498" s="502" t="s">
        <v>34</v>
      </c>
      <c r="O498" s="503" t="s">
        <v>34</v>
      </c>
      <c r="P498" s="504" t="str">
        <f t="shared" si="34"/>
        <v/>
      </c>
      <c r="Q498" s="505"/>
      <c r="R498" s="505"/>
      <c r="S498" s="506"/>
      <c r="T498" s="137">
        <f t="shared" si="35"/>
        <v>0</v>
      </c>
      <c r="U498" s="369" t="str">
        <f t="shared" si="37"/>
        <v/>
      </c>
      <c r="V498" s="370"/>
      <c r="W498" s="1"/>
      <c r="X498" s="15"/>
      <c r="Y498" s="15"/>
      <c r="Z498" s="15"/>
      <c r="AA498" s="15"/>
      <c r="AB498" s="15"/>
      <c r="AC498" s="16"/>
      <c r="AG498" s="87"/>
      <c r="AH498" s="87"/>
    </row>
    <row r="499" spans="1:34" ht="12.75" hidden="1" customHeight="1">
      <c r="A499" s="1"/>
      <c r="B499" s="12" t="s">
        <v>732</v>
      </c>
      <c r="C499" s="501" t="str">
        <f t="shared" si="33"/>
        <v/>
      </c>
      <c r="D499" s="502" t="s">
        <v>34</v>
      </c>
      <c r="E499" s="502" t="s">
        <v>34</v>
      </c>
      <c r="F499" s="502" t="s">
        <v>34</v>
      </c>
      <c r="G499" s="502" t="s">
        <v>34</v>
      </c>
      <c r="H499" s="502" t="s">
        <v>34</v>
      </c>
      <c r="I499" s="502" t="s">
        <v>34</v>
      </c>
      <c r="J499" s="502" t="s">
        <v>34</v>
      </c>
      <c r="K499" s="502" t="s">
        <v>34</v>
      </c>
      <c r="L499" s="502" t="s">
        <v>34</v>
      </c>
      <c r="M499" s="502" t="s">
        <v>34</v>
      </c>
      <c r="N499" s="502" t="s">
        <v>34</v>
      </c>
      <c r="O499" s="503" t="s">
        <v>34</v>
      </c>
      <c r="P499" s="504" t="str">
        <f t="shared" si="34"/>
        <v/>
      </c>
      <c r="Q499" s="505"/>
      <c r="R499" s="505"/>
      <c r="S499" s="506"/>
      <c r="T499" s="137">
        <f t="shared" si="35"/>
        <v>0</v>
      </c>
      <c r="U499" s="369" t="str">
        <f t="shared" si="37"/>
        <v/>
      </c>
      <c r="V499" s="370"/>
      <c r="W499" s="1"/>
      <c r="X499" s="15"/>
      <c r="Y499" s="15"/>
      <c r="Z499" s="15"/>
      <c r="AA499" s="15"/>
      <c r="AB499" s="15"/>
      <c r="AC499" s="16"/>
      <c r="AG499" s="87"/>
      <c r="AH499" s="87"/>
    </row>
    <row r="500" spans="1:34" ht="12.75" hidden="1" customHeight="1">
      <c r="A500" s="1"/>
      <c r="B500" s="12" t="s">
        <v>733</v>
      </c>
      <c r="C500" s="501" t="str">
        <f t="shared" si="33"/>
        <v/>
      </c>
      <c r="D500" s="502" t="s">
        <v>34</v>
      </c>
      <c r="E500" s="502" t="s">
        <v>34</v>
      </c>
      <c r="F500" s="502" t="s">
        <v>34</v>
      </c>
      <c r="G500" s="502" t="s">
        <v>34</v>
      </c>
      <c r="H500" s="502" t="s">
        <v>34</v>
      </c>
      <c r="I500" s="502" t="s">
        <v>34</v>
      </c>
      <c r="J500" s="502" t="s">
        <v>34</v>
      </c>
      <c r="K500" s="502" t="s">
        <v>34</v>
      </c>
      <c r="L500" s="502" t="s">
        <v>34</v>
      </c>
      <c r="M500" s="502" t="s">
        <v>34</v>
      </c>
      <c r="N500" s="502" t="s">
        <v>34</v>
      </c>
      <c r="O500" s="503" t="s">
        <v>34</v>
      </c>
      <c r="P500" s="504" t="str">
        <f t="shared" si="34"/>
        <v/>
      </c>
      <c r="Q500" s="505"/>
      <c r="R500" s="505"/>
      <c r="S500" s="506"/>
      <c r="T500" s="137">
        <f t="shared" si="35"/>
        <v>0</v>
      </c>
      <c r="U500" s="369" t="str">
        <f t="shared" si="37"/>
        <v/>
      </c>
      <c r="V500" s="370"/>
      <c r="W500" s="1"/>
      <c r="X500" s="15"/>
      <c r="Y500" s="15"/>
      <c r="Z500" s="15"/>
      <c r="AA500" s="15"/>
      <c r="AB500" s="15"/>
      <c r="AC500" s="16"/>
      <c r="AG500" s="87"/>
      <c r="AH500" s="87"/>
    </row>
    <row r="501" spans="1:34" ht="12.75" hidden="1" customHeight="1">
      <c r="A501" s="1"/>
      <c r="B501" s="12" t="s">
        <v>734</v>
      </c>
      <c r="C501" s="501" t="str">
        <f t="shared" si="33"/>
        <v/>
      </c>
      <c r="D501" s="502" t="s">
        <v>34</v>
      </c>
      <c r="E501" s="502" t="s">
        <v>34</v>
      </c>
      <c r="F501" s="502" t="s">
        <v>34</v>
      </c>
      <c r="G501" s="502" t="s">
        <v>34</v>
      </c>
      <c r="H501" s="502" t="s">
        <v>34</v>
      </c>
      <c r="I501" s="502" t="s">
        <v>34</v>
      </c>
      <c r="J501" s="502" t="s">
        <v>34</v>
      </c>
      <c r="K501" s="502" t="s">
        <v>34</v>
      </c>
      <c r="L501" s="502" t="s">
        <v>34</v>
      </c>
      <c r="M501" s="502" t="s">
        <v>34</v>
      </c>
      <c r="N501" s="502" t="s">
        <v>34</v>
      </c>
      <c r="O501" s="503" t="s">
        <v>34</v>
      </c>
      <c r="P501" s="504" t="str">
        <f t="shared" si="34"/>
        <v/>
      </c>
      <c r="Q501" s="505"/>
      <c r="R501" s="505"/>
      <c r="S501" s="506"/>
      <c r="T501" s="137">
        <f t="shared" si="35"/>
        <v>0</v>
      </c>
      <c r="U501" s="369" t="str">
        <f t="shared" si="37"/>
        <v/>
      </c>
      <c r="V501" s="370"/>
      <c r="W501" s="1"/>
      <c r="X501" s="15"/>
      <c r="Y501" s="15"/>
      <c r="Z501" s="15"/>
      <c r="AA501" s="15"/>
      <c r="AB501" s="15"/>
      <c r="AC501" s="16"/>
      <c r="AG501" s="87"/>
      <c r="AH501" s="87"/>
    </row>
    <row r="502" spans="1:34" ht="12.75" hidden="1" customHeight="1">
      <c r="A502" s="1"/>
      <c r="B502" s="12" t="s">
        <v>735</v>
      </c>
      <c r="C502" s="501" t="str">
        <f t="shared" si="33"/>
        <v/>
      </c>
      <c r="D502" s="502" t="s">
        <v>34</v>
      </c>
      <c r="E502" s="502" t="s">
        <v>34</v>
      </c>
      <c r="F502" s="502" t="s">
        <v>34</v>
      </c>
      <c r="G502" s="502" t="s">
        <v>34</v>
      </c>
      <c r="H502" s="502" t="s">
        <v>34</v>
      </c>
      <c r="I502" s="502" t="s">
        <v>34</v>
      </c>
      <c r="J502" s="502" t="s">
        <v>34</v>
      </c>
      <c r="K502" s="502" t="s">
        <v>34</v>
      </c>
      <c r="L502" s="502" t="s">
        <v>34</v>
      </c>
      <c r="M502" s="502" t="s">
        <v>34</v>
      </c>
      <c r="N502" s="502" t="s">
        <v>34</v>
      </c>
      <c r="O502" s="503" t="s">
        <v>34</v>
      </c>
      <c r="P502" s="504" t="str">
        <f t="shared" si="34"/>
        <v/>
      </c>
      <c r="Q502" s="505"/>
      <c r="R502" s="505"/>
      <c r="S502" s="506"/>
      <c r="T502" s="137">
        <f t="shared" si="35"/>
        <v>0</v>
      </c>
      <c r="U502" s="369" t="str">
        <f t="shared" si="37"/>
        <v/>
      </c>
      <c r="V502" s="370"/>
      <c r="W502" s="1"/>
      <c r="X502" s="15"/>
      <c r="Y502" s="15"/>
      <c r="Z502" s="15"/>
      <c r="AA502" s="15"/>
      <c r="AB502" s="15"/>
      <c r="AC502" s="16"/>
      <c r="AG502" s="87"/>
      <c r="AH502" s="87"/>
    </row>
    <row r="503" spans="1:34" ht="12.75" hidden="1" customHeight="1">
      <c r="A503" s="1"/>
      <c r="B503" s="12" t="s">
        <v>736</v>
      </c>
      <c r="C503" s="501" t="str">
        <f t="shared" si="33"/>
        <v/>
      </c>
      <c r="D503" s="502" t="s">
        <v>34</v>
      </c>
      <c r="E503" s="502" t="s">
        <v>34</v>
      </c>
      <c r="F503" s="502" t="s">
        <v>34</v>
      </c>
      <c r="G503" s="502" t="s">
        <v>34</v>
      </c>
      <c r="H503" s="502" t="s">
        <v>34</v>
      </c>
      <c r="I503" s="502" t="s">
        <v>34</v>
      </c>
      <c r="J503" s="502" t="s">
        <v>34</v>
      </c>
      <c r="K503" s="502" t="s">
        <v>34</v>
      </c>
      <c r="L503" s="502" t="s">
        <v>34</v>
      </c>
      <c r="M503" s="502" t="s">
        <v>34</v>
      </c>
      <c r="N503" s="502" t="s">
        <v>34</v>
      </c>
      <c r="O503" s="503" t="s">
        <v>34</v>
      </c>
      <c r="P503" s="504" t="str">
        <f t="shared" si="34"/>
        <v/>
      </c>
      <c r="Q503" s="505"/>
      <c r="R503" s="505"/>
      <c r="S503" s="506"/>
      <c r="T503" s="137">
        <f t="shared" si="35"/>
        <v>0</v>
      </c>
      <c r="U503" s="369" t="str">
        <f t="shared" si="37"/>
        <v/>
      </c>
      <c r="V503" s="370"/>
      <c r="W503" s="1"/>
      <c r="X503" s="15"/>
      <c r="Y503" s="15"/>
      <c r="Z503" s="15"/>
      <c r="AA503" s="15"/>
      <c r="AB503" s="15"/>
      <c r="AC503" s="16"/>
      <c r="AG503" s="87"/>
      <c r="AH503" s="87"/>
    </row>
    <row r="504" spans="1:34" ht="12.75" hidden="1" customHeight="1">
      <c r="A504" s="1"/>
      <c r="B504" s="12" t="s">
        <v>737</v>
      </c>
      <c r="C504" s="501" t="str">
        <f t="shared" si="33"/>
        <v/>
      </c>
      <c r="D504" s="502" t="s">
        <v>34</v>
      </c>
      <c r="E504" s="502" t="s">
        <v>34</v>
      </c>
      <c r="F504" s="502" t="s">
        <v>34</v>
      </c>
      <c r="G504" s="502" t="s">
        <v>34</v>
      </c>
      <c r="H504" s="502" t="s">
        <v>34</v>
      </c>
      <c r="I504" s="502" t="s">
        <v>34</v>
      </c>
      <c r="J504" s="502" t="s">
        <v>34</v>
      </c>
      <c r="K504" s="502" t="s">
        <v>34</v>
      </c>
      <c r="L504" s="502" t="s">
        <v>34</v>
      </c>
      <c r="M504" s="502" t="s">
        <v>34</v>
      </c>
      <c r="N504" s="502" t="s">
        <v>34</v>
      </c>
      <c r="O504" s="503" t="s">
        <v>34</v>
      </c>
      <c r="P504" s="504" t="str">
        <f t="shared" si="34"/>
        <v/>
      </c>
      <c r="Q504" s="505"/>
      <c r="R504" s="505"/>
      <c r="S504" s="506"/>
      <c r="T504" s="137">
        <f t="shared" si="35"/>
        <v>0</v>
      </c>
      <c r="U504" s="369" t="str">
        <f t="shared" si="37"/>
        <v/>
      </c>
      <c r="V504" s="370"/>
      <c r="W504" s="1"/>
      <c r="X504" s="15"/>
      <c r="Y504" s="15"/>
      <c r="Z504" s="15"/>
      <c r="AA504" s="15"/>
      <c r="AB504" s="15"/>
      <c r="AC504" s="16"/>
      <c r="AG504" s="87"/>
      <c r="AH504" s="87"/>
    </row>
    <row r="505" spans="1:34" ht="12.75" hidden="1" customHeight="1">
      <c r="A505" s="1"/>
      <c r="B505" s="12" t="s">
        <v>738</v>
      </c>
      <c r="C505" s="501" t="str">
        <f t="shared" si="33"/>
        <v/>
      </c>
      <c r="D505" s="502" t="s">
        <v>34</v>
      </c>
      <c r="E505" s="502" t="s">
        <v>34</v>
      </c>
      <c r="F505" s="502" t="s">
        <v>34</v>
      </c>
      <c r="G505" s="502" t="s">
        <v>34</v>
      </c>
      <c r="H505" s="502" t="s">
        <v>34</v>
      </c>
      <c r="I505" s="502" t="s">
        <v>34</v>
      </c>
      <c r="J505" s="502" t="s">
        <v>34</v>
      </c>
      <c r="K505" s="502" t="s">
        <v>34</v>
      </c>
      <c r="L505" s="502" t="s">
        <v>34</v>
      </c>
      <c r="M505" s="502" t="s">
        <v>34</v>
      </c>
      <c r="N505" s="502" t="s">
        <v>34</v>
      </c>
      <c r="O505" s="503" t="s">
        <v>34</v>
      </c>
      <c r="P505" s="504" t="str">
        <f t="shared" si="34"/>
        <v/>
      </c>
      <c r="Q505" s="505"/>
      <c r="R505" s="505"/>
      <c r="S505" s="506"/>
      <c r="T505" s="137">
        <f t="shared" si="35"/>
        <v>0</v>
      </c>
      <c r="U505" s="369" t="str">
        <f t="shared" si="37"/>
        <v/>
      </c>
      <c r="V505" s="370"/>
      <c r="W505" s="1"/>
      <c r="X505" s="15"/>
      <c r="Y505" s="15"/>
      <c r="Z505" s="15"/>
      <c r="AA505" s="15"/>
      <c r="AB505" s="15"/>
      <c r="AC505" s="16"/>
      <c r="AG505" s="87"/>
      <c r="AH505" s="87"/>
    </row>
    <row r="506" spans="1:34" ht="12.75" hidden="1" customHeight="1">
      <c r="A506" s="1"/>
      <c r="B506" s="12" t="s">
        <v>739</v>
      </c>
      <c r="C506" s="501" t="str">
        <f t="shared" si="33"/>
        <v/>
      </c>
      <c r="D506" s="502" t="s">
        <v>34</v>
      </c>
      <c r="E506" s="502" t="s">
        <v>34</v>
      </c>
      <c r="F506" s="502" t="s">
        <v>34</v>
      </c>
      <c r="G506" s="502" t="s">
        <v>34</v>
      </c>
      <c r="H506" s="502" t="s">
        <v>34</v>
      </c>
      <c r="I506" s="502" t="s">
        <v>34</v>
      </c>
      <c r="J506" s="502" t="s">
        <v>34</v>
      </c>
      <c r="K506" s="502" t="s">
        <v>34</v>
      </c>
      <c r="L506" s="502" t="s">
        <v>34</v>
      </c>
      <c r="M506" s="502" t="s">
        <v>34</v>
      </c>
      <c r="N506" s="502" t="s">
        <v>34</v>
      </c>
      <c r="O506" s="503" t="s">
        <v>34</v>
      </c>
      <c r="P506" s="504" t="str">
        <f t="shared" si="34"/>
        <v/>
      </c>
      <c r="Q506" s="505"/>
      <c r="R506" s="505"/>
      <c r="S506" s="506"/>
      <c r="T506" s="137">
        <f t="shared" si="35"/>
        <v>0</v>
      </c>
      <c r="U506" s="369" t="str">
        <f t="shared" si="37"/>
        <v/>
      </c>
      <c r="V506" s="370"/>
      <c r="W506" s="1"/>
      <c r="X506" s="15"/>
      <c r="Y506" s="15"/>
      <c r="Z506" s="15"/>
      <c r="AA506" s="15"/>
      <c r="AB506" s="15"/>
      <c r="AC506" s="16"/>
      <c r="AG506" s="87"/>
      <c r="AH506" s="87"/>
    </row>
    <row r="507" spans="1:34" ht="12.75" hidden="1" customHeight="1">
      <c r="A507" s="1"/>
      <c r="B507" s="12" t="s">
        <v>740</v>
      </c>
      <c r="C507" s="501" t="str">
        <f t="shared" si="33"/>
        <v/>
      </c>
      <c r="D507" s="502" t="s">
        <v>34</v>
      </c>
      <c r="E507" s="502" t="s">
        <v>34</v>
      </c>
      <c r="F507" s="502" t="s">
        <v>34</v>
      </c>
      <c r="G507" s="502" t="s">
        <v>34</v>
      </c>
      <c r="H507" s="502" t="s">
        <v>34</v>
      </c>
      <c r="I507" s="502" t="s">
        <v>34</v>
      </c>
      <c r="J507" s="502" t="s">
        <v>34</v>
      </c>
      <c r="K507" s="502" t="s">
        <v>34</v>
      </c>
      <c r="L507" s="502" t="s">
        <v>34</v>
      </c>
      <c r="M507" s="502" t="s">
        <v>34</v>
      </c>
      <c r="N507" s="502" t="s">
        <v>34</v>
      </c>
      <c r="O507" s="503" t="s">
        <v>34</v>
      </c>
      <c r="P507" s="504" t="str">
        <f t="shared" si="34"/>
        <v/>
      </c>
      <c r="Q507" s="505"/>
      <c r="R507" s="505"/>
      <c r="S507" s="506"/>
      <c r="T507" s="137">
        <f t="shared" si="35"/>
        <v>0</v>
      </c>
      <c r="U507" s="369" t="str">
        <f t="shared" si="37"/>
        <v/>
      </c>
      <c r="V507" s="370"/>
      <c r="W507" s="1"/>
      <c r="X507" s="15"/>
      <c r="Y507" s="15"/>
      <c r="Z507" s="15"/>
      <c r="AA507" s="15"/>
      <c r="AB507" s="15"/>
      <c r="AC507" s="16"/>
      <c r="AG507" s="87"/>
      <c r="AH507" s="87"/>
    </row>
    <row r="508" spans="1:34" ht="12.75" hidden="1" customHeight="1">
      <c r="A508" s="1"/>
      <c r="B508" s="12" t="s">
        <v>741</v>
      </c>
      <c r="C508" s="501" t="str">
        <f t="shared" si="33"/>
        <v/>
      </c>
      <c r="D508" s="502" t="s">
        <v>34</v>
      </c>
      <c r="E508" s="502" t="s">
        <v>34</v>
      </c>
      <c r="F508" s="502" t="s">
        <v>34</v>
      </c>
      <c r="G508" s="502" t="s">
        <v>34</v>
      </c>
      <c r="H508" s="502" t="s">
        <v>34</v>
      </c>
      <c r="I508" s="502" t="s">
        <v>34</v>
      </c>
      <c r="J508" s="502" t="s">
        <v>34</v>
      </c>
      <c r="K508" s="502" t="s">
        <v>34</v>
      </c>
      <c r="L508" s="502" t="s">
        <v>34</v>
      </c>
      <c r="M508" s="502" t="s">
        <v>34</v>
      </c>
      <c r="N508" s="502" t="s">
        <v>34</v>
      </c>
      <c r="O508" s="503" t="s">
        <v>34</v>
      </c>
      <c r="P508" s="504" t="str">
        <f t="shared" si="34"/>
        <v/>
      </c>
      <c r="Q508" s="505"/>
      <c r="R508" s="505"/>
      <c r="S508" s="506"/>
      <c r="T508" s="137">
        <f t="shared" si="35"/>
        <v>0</v>
      </c>
      <c r="U508" s="369" t="str">
        <f t="shared" si="37"/>
        <v/>
      </c>
      <c r="V508" s="370"/>
      <c r="W508" s="1"/>
      <c r="X508" s="15"/>
      <c r="Y508" s="15"/>
      <c r="Z508" s="15"/>
      <c r="AA508" s="15"/>
      <c r="AB508" s="15"/>
      <c r="AC508" s="16"/>
      <c r="AG508" s="87"/>
      <c r="AH508" s="87"/>
    </row>
    <row r="509" spans="1:34" ht="12.75" hidden="1" customHeight="1">
      <c r="A509" s="1"/>
      <c r="B509" s="12" t="s">
        <v>742</v>
      </c>
      <c r="C509" s="501" t="str">
        <f t="shared" si="33"/>
        <v/>
      </c>
      <c r="D509" s="502" t="s">
        <v>34</v>
      </c>
      <c r="E509" s="502" t="s">
        <v>34</v>
      </c>
      <c r="F509" s="502" t="s">
        <v>34</v>
      </c>
      <c r="G509" s="502" t="s">
        <v>34</v>
      </c>
      <c r="H509" s="502" t="s">
        <v>34</v>
      </c>
      <c r="I509" s="502" t="s">
        <v>34</v>
      </c>
      <c r="J509" s="502" t="s">
        <v>34</v>
      </c>
      <c r="K509" s="502" t="s">
        <v>34</v>
      </c>
      <c r="L509" s="502" t="s">
        <v>34</v>
      </c>
      <c r="M509" s="502" t="s">
        <v>34</v>
      </c>
      <c r="N509" s="502" t="s">
        <v>34</v>
      </c>
      <c r="O509" s="503" t="s">
        <v>34</v>
      </c>
      <c r="P509" s="504" t="str">
        <f t="shared" si="34"/>
        <v/>
      </c>
      <c r="Q509" s="505"/>
      <c r="R509" s="505"/>
      <c r="S509" s="506"/>
      <c r="T509" s="137">
        <f t="shared" si="35"/>
        <v>0</v>
      </c>
      <c r="U509" s="369" t="str">
        <f t="shared" si="37"/>
        <v/>
      </c>
      <c r="V509" s="370"/>
      <c r="W509" s="1"/>
      <c r="X509" s="15"/>
      <c r="Y509" s="15"/>
      <c r="Z509" s="15"/>
      <c r="AA509" s="15"/>
      <c r="AB509" s="15"/>
      <c r="AC509" s="16"/>
      <c r="AG509" s="87"/>
      <c r="AH509" s="87"/>
    </row>
    <row r="510" spans="1:34" ht="12.75" hidden="1" customHeight="1">
      <c r="A510" s="1"/>
      <c r="B510" s="12" t="s">
        <v>743</v>
      </c>
      <c r="C510" s="501" t="str">
        <f t="shared" si="33"/>
        <v/>
      </c>
      <c r="D510" s="502" t="s">
        <v>34</v>
      </c>
      <c r="E510" s="502" t="s">
        <v>34</v>
      </c>
      <c r="F510" s="502" t="s">
        <v>34</v>
      </c>
      <c r="G510" s="502" t="s">
        <v>34</v>
      </c>
      <c r="H510" s="502" t="s">
        <v>34</v>
      </c>
      <c r="I510" s="502" t="s">
        <v>34</v>
      </c>
      <c r="J510" s="502" t="s">
        <v>34</v>
      </c>
      <c r="K510" s="502" t="s">
        <v>34</v>
      </c>
      <c r="L510" s="502" t="s">
        <v>34</v>
      </c>
      <c r="M510" s="502" t="s">
        <v>34</v>
      </c>
      <c r="N510" s="502" t="s">
        <v>34</v>
      </c>
      <c r="O510" s="503" t="s">
        <v>34</v>
      </c>
      <c r="P510" s="504" t="str">
        <f t="shared" si="34"/>
        <v/>
      </c>
      <c r="Q510" s="505"/>
      <c r="R510" s="505"/>
      <c r="S510" s="506"/>
      <c r="T510" s="137">
        <f t="shared" si="35"/>
        <v>0</v>
      </c>
      <c r="U510" s="369" t="str">
        <f t="shared" si="37"/>
        <v/>
      </c>
      <c r="V510" s="370"/>
      <c r="W510" s="1"/>
      <c r="X510" s="15"/>
      <c r="Y510" s="15"/>
      <c r="Z510" s="15"/>
      <c r="AA510" s="15"/>
      <c r="AB510" s="15"/>
      <c r="AC510" s="16"/>
      <c r="AG510" s="87"/>
      <c r="AH510" s="87"/>
    </row>
    <row r="511" spans="1:34" ht="12.75" hidden="1" customHeight="1">
      <c r="A511" s="1"/>
      <c r="B511" s="12" t="s">
        <v>744</v>
      </c>
      <c r="C511" s="501" t="str">
        <f t="shared" si="33"/>
        <v/>
      </c>
      <c r="D511" s="502" t="s">
        <v>34</v>
      </c>
      <c r="E511" s="502" t="s">
        <v>34</v>
      </c>
      <c r="F511" s="502" t="s">
        <v>34</v>
      </c>
      <c r="G511" s="502" t="s">
        <v>34</v>
      </c>
      <c r="H511" s="502" t="s">
        <v>34</v>
      </c>
      <c r="I511" s="502" t="s">
        <v>34</v>
      </c>
      <c r="J511" s="502" t="s">
        <v>34</v>
      </c>
      <c r="K511" s="502" t="s">
        <v>34</v>
      </c>
      <c r="L511" s="502" t="s">
        <v>34</v>
      </c>
      <c r="M511" s="502" t="s">
        <v>34</v>
      </c>
      <c r="N511" s="502" t="s">
        <v>34</v>
      </c>
      <c r="O511" s="503" t="s">
        <v>34</v>
      </c>
      <c r="P511" s="504" t="str">
        <f t="shared" si="34"/>
        <v/>
      </c>
      <c r="Q511" s="505"/>
      <c r="R511" s="505"/>
      <c r="S511" s="506"/>
      <c r="T511" s="137">
        <f t="shared" si="35"/>
        <v>0</v>
      </c>
      <c r="U511" s="369" t="str">
        <f t="shared" si="37"/>
        <v/>
      </c>
      <c r="V511" s="370"/>
      <c r="W511" s="1"/>
      <c r="X511" s="15"/>
      <c r="Y511" s="15"/>
      <c r="Z511" s="15"/>
      <c r="AA511" s="15"/>
      <c r="AB511" s="15"/>
      <c r="AC511" s="16"/>
      <c r="AG511" s="87"/>
      <c r="AH511" s="87"/>
    </row>
    <row r="512" spans="1:34" ht="12.75" hidden="1" customHeight="1">
      <c r="A512" s="1"/>
      <c r="B512" s="12" t="s">
        <v>745</v>
      </c>
      <c r="C512" s="501" t="str">
        <f t="shared" si="33"/>
        <v/>
      </c>
      <c r="D512" s="502" t="s">
        <v>34</v>
      </c>
      <c r="E512" s="502" t="s">
        <v>34</v>
      </c>
      <c r="F512" s="502" t="s">
        <v>34</v>
      </c>
      <c r="G512" s="502" t="s">
        <v>34</v>
      </c>
      <c r="H512" s="502" t="s">
        <v>34</v>
      </c>
      <c r="I512" s="502" t="s">
        <v>34</v>
      </c>
      <c r="J512" s="502" t="s">
        <v>34</v>
      </c>
      <c r="K512" s="502" t="s">
        <v>34</v>
      </c>
      <c r="L512" s="502" t="s">
        <v>34</v>
      </c>
      <c r="M512" s="502" t="s">
        <v>34</v>
      </c>
      <c r="N512" s="502" t="s">
        <v>34</v>
      </c>
      <c r="O512" s="503" t="s">
        <v>34</v>
      </c>
      <c r="P512" s="504" t="str">
        <f t="shared" si="34"/>
        <v/>
      </c>
      <c r="Q512" s="505"/>
      <c r="R512" s="505"/>
      <c r="S512" s="506"/>
      <c r="T512" s="137">
        <f t="shared" si="35"/>
        <v>0</v>
      </c>
      <c r="U512" s="369" t="str">
        <f t="shared" si="37"/>
        <v/>
      </c>
      <c r="V512" s="370"/>
      <c r="W512" s="1"/>
      <c r="X512" s="15"/>
      <c r="Y512" s="15"/>
      <c r="Z512" s="15"/>
      <c r="AA512" s="15"/>
      <c r="AB512" s="15"/>
      <c r="AC512" s="16"/>
      <c r="AG512" s="87"/>
      <c r="AH512" s="87"/>
    </row>
    <row r="513" spans="1:49" ht="12.75" hidden="1" customHeight="1">
      <c r="A513" s="1"/>
      <c r="B513" s="12" t="s">
        <v>746</v>
      </c>
      <c r="C513" s="510" t="str">
        <f t="shared" si="33"/>
        <v/>
      </c>
      <c r="D513" s="511" t="s">
        <v>34</v>
      </c>
      <c r="E513" s="511" t="s">
        <v>34</v>
      </c>
      <c r="F513" s="511" t="s">
        <v>34</v>
      </c>
      <c r="G513" s="511" t="s">
        <v>34</v>
      </c>
      <c r="H513" s="511" t="s">
        <v>34</v>
      </c>
      <c r="I513" s="511" t="s">
        <v>34</v>
      </c>
      <c r="J513" s="511" t="s">
        <v>34</v>
      </c>
      <c r="K513" s="511" t="s">
        <v>34</v>
      </c>
      <c r="L513" s="511" t="s">
        <v>34</v>
      </c>
      <c r="M513" s="511" t="s">
        <v>34</v>
      </c>
      <c r="N513" s="511" t="s">
        <v>34</v>
      </c>
      <c r="O513" s="512" t="s">
        <v>34</v>
      </c>
      <c r="P513" s="513" t="str">
        <f t="shared" si="34"/>
        <v/>
      </c>
      <c r="Q513" s="514"/>
      <c r="R513" s="514"/>
      <c r="S513" s="515"/>
      <c r="T513" s="137">
        <f t="shared" si="35"/>
        <v>0</v>
      </c>
      <c r="U513" s="369" t="str">
        <f t="shared" si="37"/>
        <v/>
      </c>
      <c r="V513" s="370"/>
      <c r="W513" s="1"/>
      <c r="X513" s="15"/>
      <c r="Y513" s="15"/>
      <c r="Z513" s="15"/>
      <c r="AA513" s="15"/>
      <c r="AB513" s="15"/>
      <c r="AC513" s="16"/>
      <c r="AG513" s="87"/>
      <c r="AH513" s="87"/>
    </row>
    <row r="514" spans="1:49" ht="20.5" customHeight="1">
      <c r="A514" s="1"/>
      <c r="B514" s="90" t="s">
        <v>763</v>
      </c>
      <c r="C514" s="142"/>
      <c r="D514" s="142"/>
      <c r="E514" s="142"/>
      <c r="F514" s="142"/>
      <c r="G514" s="142"/>
      <c r="H514" s="142"/>
      <c r="I514" s="142"/>
      <c r="J514" s="42" t="s">
        <v>191</v>
      </c>
      <c r="K514" s="41"/>
      <c r="L514" s="1"/>
      <c r="M514" s="21"/>
      <c r="N514" s="44" t="s">
        <v>172</v>
      </c>
      <c r="O514" s="1"/>
      <c r="P514" s="44" t="s">
        <v>171</v>
      </c>
      <c r="Q514" s="147"/>
      <c r="R514" s="143"/>
      <c r="S514" s="143"/>
      <c r="T514" s="143"/>
      <c r="U514" s="140"/>
      <c r="V514" s="141"/>
      <c r="W514" s="1"/>
      <c r="X514" s="15"/>
      <c r="Y514" s="15"/>
      <c r="Z514" s="15"/>
      <c r="AA514" s="15"/>
      <c r="AB514" s="15"/>
      <c r="AC514" s="16"/>
      <c r="AG514" s="87"/>
      <c r="AH514" s="87"/>
    </row>
    <row r="515" spans="1:49" s="105" customFormat="1" ht="16" hidden="1" customHeight="1">
      <c r="A515" s="97"/>
      <c r="B515" s="146" t="s">
        <v>676</v>
      </c>
      <c r="C515" s="145"/>
      <c r="D515" s="97"/>
      <c r="E515" s="97"/>
      <c r="F515" s="97"/>
      <c r="G515" s="97"/>
      <c r="H515" s="97"/>
      <c r="I515" s="97"/>
      <c r="J515" s="97"/>
      <c r="K515" s="97"/>
      <c r="L515" s="97"/>
      <c r="M515" s="108"/>
      <c r="N515" s="98"/>
      <c r="O515" s="106"/>
      <c r="P515" s="98" t="s">
        <v>192</v>
      </c>
      <c r="Q515" s="98"/>
      <c r="R515" s="109"/>
      <c r="S515" s="98"/>
      <c r="T515" s="98" t="s">
        <v>127</v>
      </c>
      <c r="U515" s="98" t="s">
        <v>123</v>
      </c>
      <c r="V515" s="98"/>
      <c r="W515" s="97"/>
      <c r="X515" s="103"/>
      <c r="Y515" s="103"/>
      <c r="Z515" s="103"/>
      <c r="AA515" s="103"/>
      <c r="AB515" s="103"/>
      <c r="AC515" s="104"/>
      <c r="AD515" s="306"/>
      <c r="AE515" s="74"/>
      <c r="AF515" s="74"/>
      <c r="AG515" s="87"/>
      <c r="AH515" s="87"/>
      <c r="AI515" s="74"/>
      <c r="AJ515" s="74"/>
      <c r="AK515" s="74"/>
      <c r="AL515" s="74"/>
      <c r="AM515" s="74"/>
      <c r="AN515" s="74"/>
      <c r="AO515" s="74"/>
      <c r="AP515" s="74"/>
      <c r="AQ515" s="74"/>
      <c r="AR515" s="74"/>
      <c r="AS515" s="74"/>
      <c r="AT515" s="74"/>
      <c r="AU515" s="74"/>
      <c r="AV515" s="74"/>
      <c r="AW515" s="74"/>
    </row>
    <row r="516" spans="1:49" hidden="1">
      <c r="A516" s="1"/>
      <c r="B516" s="12" t="s">
        <v>747</v>
      </c>
      <c r="C516" s="416"/>
      <c r="D516" s="417"/>
      <c r="E516" s="417"/>
      <c r="F516" s="417"/>
      <c r="G516" s="417"/>
      <c r="H516" s="417"/>
      <c r="I516" s="417"/>
      <c r="J516" s="417"/>
      <c r="K516" s="417"/>
      <c r="L516" s="417"/>
      <c r="M516" s="417"/>
      <c r="N516" s="417"/>
      <c r="O516" s="418"/>
      <c r="P516" s="417"/>
      <c r="Q516" s="417"/>
      <c r="R516" s="417"/>
      <c r="S516" s="418"/>
      <c r="T516" s="23"/>
      <c r="U516" s="373" t="str">
        <f t="shared" ref="U516" si="38">IF(T516="","","TBD")</f>
        <v/>
      </c>
      <c r="V516" s="370"/>
      <c r="W516" s="1"/>
      <c r="X516" s="15"/>
      <c r="Y516" s="15"/>
      <c r="Z516" s="15"/>
      <c r="AA516" s="15"/>
      <c r="AB516" s="15"/>
      <c r="AC516" s="16"/>
      <c r="AD516" s="307">
        <f>IF(U516="TBD",1,0)</f>
        <v>0</v>
      </c>
      <c r="AG516" s="87"/>
      <c r="AH516" s="87"/>
    </row>
    <row r="517" spans="1:49" hidden="1">
      <c r="A517" s="1"/>
      <c r="B517" s="12" t="s">
        <v>748</v>
      </c>
      <c r="C517" s="416"/>
      <c r="D517" s="417"/>
      <c r="E517" s="417"/>
      <c r="F517" s="417"/>
      <c r="G517" s="417"/>
      <c r="H517" s="417"/>
      <c r="I517" s="417"/>
      <c r="J517" s="417"/>
      <c r="K517" s="417"/>
      <c r="L517" s="417"/>
      <c r="M517" s="417"/>
      <c r="N517" s="417"/>
      <c r="O517" s="418"/>
      <c r="P517" s="417"/>
      <c r="Q517" s="417"/>
      <c r="R517" s="417"/>
      <c r="S517" s="418"/>
      <c r="T517" s="23"/>
      <c r="U517" s="373" t="str">
        <f t="shared" ref="U517:U550" si="39">IF(T517="","","TBD")</f>
        <v/>
      </c>
      <c r="V517" s="370"/>
      <c r="W517" s="1"/>
      <c r="X517" s="15"/>
      <c r="Y517" s="15"/>
      <c r="Z517" s="15"/>
      <c r="AA517" s="15"/>
      <c r="AB517" s="15"/>
      <c r="AC517" s="16"/>
      <c r="AD517" s="307">
        <f t="shared" ref="AD517:AD550" si="40">IF(U517="TBD",1,0)</f>
        <v>0</v>
      </c>
      <c r="AG517" s="87"/>
      <c r="AH517" s="87"/>
    </row>
    <row r="518" spans="1:49" hidden="1">
      <c r="A518" s="1"/>
      <c r="B518" s="12" t="s">
        <v>749</v>
      </c>
      <c r="C518" s="416"/>
      <c r="D518" s="417"/>
      <c r="E518" s="417"/>
      <c r="F518" s="417"/>
      <c r="G518" s="417"/>
      <c r="H518" s="417"/>
      <c r="I518" s="417"/>
      <c r="J518" s="417"/>
      <c r="K518" s="417"/>
      <c r="L518" s="417"/>
      <c r="M518" s="417"/>
      <c r="N518" s="417"/>
      <c r="O518" s="418"/>
      <c r="P518" s="417"/>
      <c r="Q518" s="417"/>
      <c r="R518" s="417"/>
      <c r="S518" s="418"/>
      <c r="T518" s="23"/>
      <c r="U518" s="373" t="str">
        <f t="shared" si="39"/>
        <v/>
      </c>
      <c r="V518" s="370"/>
      <c r="W518" s="1"/>
      <c r="X518" s="15"/>
      <c r="Y518" s="15"/>
      <c r="Z518" s="15"/>
      <c r="AA518" s="15"/>
      <c r="AB518" s="15"/>
      <c r="AC518" s="16"/>
      <c r="AD518" s="307">
        <f t="shared" si="40"/>
        <v>0</v>
      </c>
      <c r="AG518" s="87"/>
      <c r="AH518" s="87"/>
    </row>
    <row r="519" spans="1:49" hidden="1">
      <c r="A519" s="1"/>
      <c r="B519" s="12" t="s">
        <v>750</v>
      </c>
      <c r="C519" s="416"/>
      <c r="D519" s="417"/>
      <c r="E519" s="417"/>
      <c r="F519" s="417"/>
      <c r="G519" s="417"/>
      <c r="H519" s="417"/>
      <c r="I519" s="417"/>
      <c r="J519" s="417"/>
      <c r="K519" s="417"/>
      <c r="L519" s="417"/>
      <c r="M519" s="417"/>
      <c r="N519" s="417"/>
      <c r="O519" s="418"/>
      <c r="P519" s="417"/>
      <c r="Q519" s="417"/>
      <c r="R519" s="417"/>
      <c r="S519" s="418"/>
      <c r="T519" s="23"/>
      <c r="U519" s="373" t="str">
        <f t="shared" si="39"/>
        <v/>
      </c>
      <c r="V519" s="370"/>
      <c r="W519" s="1"/>
      <c r="X519" s="15"/>
      <c r="Y519" s="15"/>
      <c r="Z519" s="15"/>
      <c r="AA519" s="15"/>
      <c r="AB519" s="15"/>
      <c r="AC519" s="16"/>
      <c r="AD519" s="307">
        <f t="shared" si="40"/>
        <v>0</v>
      </c>
      <c r="AG519" s="87"/>
      <c r="AH519" s="87"/>
    </row>
    <row r="520" spans="1:49" hidden="1">
      <c r="A520" s="1"/>
      <c r="B520" s="12" t="s">
        <v>751</v>
      </c>
      <c r="C520" s="416"/>
      <c r="D520" s="417"/>
      <c r="E520" s="417"/>
      <c r="F520" s="417"/>
      <c r="G520" s="417"/>
      <c r="H520" s="417"/>
      <c r="I520" s="417"/>
      <c r="J520" s="417"/>
      <c r="K520" s="417"/>
      <c r="L520" s="417"/>
      <c r="M520" s="417"/>
      <c r="N520" s="417"/>
      <c r="O520" s="418"/>
      <c r="P520" s="417"/>
      <c r="Q520" s="417"/>
      <c r="R520" s="417"/>
      <c r="S520" s="418"/>
      <c r="T520" s="23"/>
      <c r="U520" s="373" t="str">
        <f t="shared" si="39"/>
        <v/>
      </c>
      <c r="V520" s="370"/>
      <c r="W520" s="1"/>
      <c r="X520" s="15"/>
      <c r="Y520" s="15"/>
      <c r="Z520" s="15"/>
      <c r="AA520" s="15"/>
      <c r="AB520" s="15"/>
      <c r="AC520" s="16"/>
      <c r="AD520" s="307">
        <f t="shared" si="40"/>
        <v>0</v>
      </c>
      <c r="AG520" s="87"/>
      <c r="AH520" s="87"/>
    </row>
    <row r="521" spans="1:49" hidden="1">
      <c r="A521" s="1"/>
      <c r="B521" s="12" t="s">
        <v>752</v>
      </c>
      <c r="C521" s="416"/>
      <c r="D521" s="417"/>
      <c r="E521" s="417"/>
      <c r="F521" s="417"/>
      <c r="G521" s="417"/>
      <c r="H521" s="417"/>
      <c r="I521" s="417"/>
      <c r="J521" s="417"/>
      <c r="K521" s="417"/>
      <c r="L521" s="417"/>
      <c r="M521" s="417"/>
      <c r="N521" s="417"/>
      <c r="O521" s="418"/>
      <c r="P521" s="417"/>
      <c r="Q521" s="417"/>
      <c r="R521" s="417"/>
      <c r="S521" s="418"/>
      <c r="T521" s="23"/>
      <c r="U521" s="373" t="str">
        <f t="shared" si="39"/>
        <v/>
      </c>
      <c r="V521" s="370"/>
      <c r="W521" s="1"/>
      <c r="X521" s="15"/>
      <c r="Y521" s="15"/>
      <c r="Z521" s="15"/>
      <c r="AA521" s="15"/>
      <c r="AB521" s="15"/>
      <c r="AC521" s="16"/>
      <c r="AD521" s="307">
        <f t="shared" si="40"/>
        <v>0</v>
      </c>
      <c r="AG521" s="87"/>
      <c r="AH521" s="87"/>
    </row>
    <row r="522" spans="1:49" hidden="1">
      <c r="A522" s="1"/>
      <c r="B522" s="12" t="s">
        <v>753</v>
      </c>
      <c r="C522" s="416"/>
      <c r="D522" s="417"/>
      <c r="E522" s="417"/>
      <c r="F522" s="417"/>
      <c r="G522" s="417"/>
      <c r="H522" s="417"/>
      <c r="I522" s="417"/>
      <c r="J522" s="417"/>
      <c r="K522" s="417"/>
      <c r="L522" s="417"/>
      <c r="M522" s="417"/>
      <c r="N522" s="417"/>
      <c r="O522" s="418"/>
      <c r="P522" s="417"/>
      <c r="Q522" s="417"/>
      <c r="R522" s="417"/>
      <c r="S522" s="418"/>
      <c r="T522" s="23"/>
      <c r="U522" s="373" t="str">
        <f t="shared" si="39"/>
        <v/>
      </c>
      <c r="V522" s="370"/>
      <c r="W522" s="1"/>
      <c r="X522" s="15"/>
      <c r="Y522" s="15"/>
      <c r="Z522" s="15"/>
      <c r="AA522" s="15"/>
      <c r="AB522" s="15"/>
      <c r="AC522" s="16"/>
      <c r="AD522" s="307">
        <f t="shared" si="40"/>
        <v>0</v>
      </c>
      <c r="AG522" s="87"/>
      <c r="AH522" s="87"/>
    </row>
    <row r="523" spans="1:49" hidden="1">
      <c r="A523" s="1"/>
      <c r="B523" s="12" t="s">
        <v>754</v>
      </c>
      <c r="C523" s="416"/>
      <c r="D523" s="417"/>
      <c r="E523" s="417"/>
      <c r="F523" s="417"/>
      <c r="G523" s="417"/>
      <c r="H523" s="417"/>
      <c r="I523" s="417"/>
      <c r="J523" s="417"/>
      <c r="K523" s="417"/>
      <c r="L523" s="417"/>
      <c r="M523" s="417"/>
      <c r="N523" s="417"/>
      <c r="O523" s="418"/>
      <c r="P523" s="417"/>
      <c r="Q523" s="417"/>
      <c r="R523" s="417"/>
      <c r="S523" s="418"/>
      <c r="T523" s="23"/>
      <c r="U523" s="373" t="str">
        <f t="shared" si="39"/>
        <v/>
      </c>
      <c r="V523" s="370"/>
      <c r="W523" s="1"/>
      <c r="X523" s="15"/>
      <c r="Y523" s="15"/>
      <c r="Z523" s="15"/>
      <c r="AA523" s="15"/>
      <c r="AB523" s="15"/>
      <c r="AC523" s="16"/>
      <c r="AD523" s="307">
        <f t="shared" si="40"/>
        <v>0</v>
      </c>
      <c r="AG523" s="87"/>
      <c r="AH523" s="87"/>
    </row>
    <row r="524" spans="1:49" hidden="1">
      <c r="A524" s="1"/>
      <c r="B524" s="12" t="s">
        <v>755</v>
      </c>
      <c r="C524" s="416"/>
      <c r="D524" s="417"/>
      <c r="E524" s="417"/>
      <c r="F524" s="417"/>
      <c r="G524" s="417"/>
      <c r="H524" s="417"/>
      <c r="I524" s="417"/>
      <c r="J524" s="417"/>
      <c r="K524" s="417"/>
      <c r="L524" s="417"/>
      <c r="M524" s="417"/>
      <c r="N524" s="417"/>
      <c r="O524" s="418"/>
      <c r="P524" s="417"/>
      <c r="Q524" s="417"/>
      <c r="R524" s="417"/>
      <c r="S524" s="418"/>
      <c r="T524" s="23"/>
      <c r="U524" s="373" t="str">
        <f t="shared" si="39"/>
        <v/>
      </c>
      <c r="V524" s="370"/>
      <c r="W524" s="1"/>
      <c r="X524" s="15"/>
      <c r="Y524" s="15"/>
      <c r="Z524" s="15"/>
      <c r="AA524" s="15"/>
      <c r="AB524" s="15"/>
      <c r="AC524" s="16"/>
      <c r="AD524" s="307">
        <f t="shared" si="40"/>
        <v>0</v>
      </c>
      <c r="AG524" s="87"/>
      <c r="AH524" s="87"/>
    </row>
    <row r="525" spans="1:49" hidden="1">
      <c r="A525" s="1"/>
      <c r="B525" s="12" t="s">
        <v>756</v>
      </c>
      <c r="C525" s="416"/>
      <c r="D525" s="417"/>
      <c r="E525" s="417"/>
      <c r="F525" s="417"/>
      <c r="G525" s="417"/>
      <c r="H525" s="417"/>
      <c r="I525" s="417"/>
      <c r="J525" s="417"/>
      <c r="K525" s="417"/>
      <c r="L525" s="417"/>
      <c r="M525" s="417"/>
      <c r="N525" s="417"/>
      <c r="O525" s="418"/>
      <c r="P525" s="417"/>
      <c r="Q525" s="417"/>
      <c r="R525" s="417"/>
      <c r="S525" s="418"/>
      <c r="T525" s="23"/>
      <c r="U525" s="373" t="str">
        <f t="shared" si="39"/>
        <v/>
      </c>
      <c r="V525" s="370"/>
      <c r="W525" s="1"/>
      <c r="X525" s="15"/>
      <c r="Y525" s="15"/>
      <c r="Z525" s="15"/>
      <c r="AA525" s="15"/>
      <c r="AB525" s="15"/>
      <c r="AC525" s="16"/>
      <c r="AD525" s="307">
        <f t="shared" si="40"/>
        <v>0</v>
      </c>
      <c r="AG525" s="87"/>
      <c r="AH525" s="87"/>
    </row>
    <row r="526" spans="1:49" hidden="1">
      <c r="A526" s="1"/>
      <c r="B526" s="12" t="s">
        <v>757</v>
      </c>
      <c r="C526" s="416"/>
      <c r="D526" s="417"/>
      <c r="E526" s="417"/>
      <c r="F526" s="417"/>
      <c r="G526" s="417"/>
      <c r="H526" s="417"/>
      <c r="I526" s="417"/>
      <c r="J526" s="417"/>
      <c r="K526" s="417"/>
      <c r="L526" s="417"/>
      <c r="M526" s="417"/>
      <c r="N526" s="417"/>
      <c r="O526" s="418"/>
      <c r="P526" s="417"/>
      <c r="Q526" s="417"/>
      <c r="R526" s="417"/>
      <c r="S526" s="418"/>
      <c r="T526" s="23"/>
      <c r="U526" s="373" t="str">
        <f t="shared" si="39"/>
        <v/>
      </c>
      <c r="V526" s="370"/>
      <c r="W526" s="1"/>
      <c r="X526" s="15"/>
      <c r="Y526" s="15"/>
      <c r="Z526" s="15"/>
      <c r="AA526" s="15"/>
      <c r="AB526" s="15"/>
      <c r="AC526" s="16"/>
      <c r="AD526" s="307">
        <f t="shared" si="40"/>
        <v>0</v>
      </c>
      <c r="AG526" s="87"/>
      <c r="AH526" s="87"/>
    </row>
    <row r="527" spans="1:49" hidden="1">
      <c r="A527" s="1"/>
      <c r="B527" s="12" t="s">
        <v>758</v>
      </c>
      <c r="C527" s="416"/>
      <c r="D527" s="417"/>
      <c r="E527" s="417"/>
      <c r="F527" s="417"/>
      <c r="G527" s="417"/>
      <c r="H527" s="417"/>
      <c r="I527" s="417"/>
      <c r="J527" s="417"/>
      <c r="K527" s="417"/>
      <c r="L527" s="417"/>
      <c r="M527" s="417"/>
      <c r="N527" s="417"/>
      <c r="O527" s="418"/>
      <c r="P527" s="417"/>
      <c r="Q527" s="417"/>
      <c r="R527" s="417"/>
      <c r="S527" s="418"/>
      <c r="T527" s="23"/>
      <c r="U527" s="373" t="str">
        <f t="shared" si="39"/>
        <v/>
      </c>
      <c r="V527" s="370"/>
      <c r="W527" s="1"/>
      <c r="X527" s="15"/>
      <c r="Y527" s="15"/>
      <c r="Z527" s="15"/>
      <c r="AA527" s="15"/>
      <c r="AB527" s="15"/>
      <c r="AC527" s="16"/>
      <c r="AD527" s="307">
        <f t="shared" si="40"/>
        <v>0</v>
      </c>
      <c r="AG527" s="87"/>
      <c r="AH527" s="87"/>
    </row>
    <row r="528" spans="1:49" hidden="1">
      <c r="A528" s="1"/>
      <c r="B528" s="12" t="s">
        <v>759</v>
      </c>
      <c r="C528" s="416"/>
      <c r="D528" s="417"/>
      <c r="E528" s="417"/>
      <c r="F528" s="417"/>
      <c r="G528" s="417"/>
      <c r="H528" s="417"/>
      <c r="I528" s="417"/>
      <c r="J528" s="417"/>
      <c r="K528" s="417"/>
      <c r="L528" s="417"/>
      <c r="M528" s="417"/>
      <c r="N528" s="417"/>
      <c r="O528" s="418"/>
      <c r="P528" s="417"/>
      <c r="Q528" s="417"/>
      <c r="R528" s="417"/>
      <c r="S528" s="418"/>
      <c r="T528" s="23"/>
      <c r="U528" s="373" t="str">
        <f t="shared" si="39"/>
        <v/>
      </c>
      <c r="V528" s="370"/>
      <c r="W528" s="1"/>
      <c r="X528" s="15"/>
      <c r="Y528" s="15"/>
      <c r="Z528" s="15"/>
      <c r="AA528" s="15"/>
      <c r="AB528" s="15"/>
      <c r="AC528" s="16"/>
      <c r="AD528" s="307">
        <f t="shared" si="40"/>
        <v>0</v>
      </c>
      <c r="AG528" s="87"/>
      <c r="AH528" s="87"/>
    </row>
    <row r="529" spans="1:34" hidden="1">
      <c r="A529" s="1"/>
      <c r="B529" s="12" t="s">
        <v>760</v>
      </c>
      <c r="C529" s="416"/>
      <c r="D529" s="417"/>
      <c r="E529" s="417"/>
      <c r="F529" s="417"/>
      <c r="G529" s="417"/>
      <c r="H529" s="417"/>
      <c r="I529" s="417"/>
      <c r="J529" s="417"/>
      <c r="K529" s="417"/>
      <c r="L529" s="417"/>
      <c r="M529" s="417"/>
      <c r="N529" s="417"/>
      <c r="O529" s="418"/>
      <c r="P529" s="417"/>
      <c r="Q529" s="417"/>
      <c r="R529" s="417"/>
      <c r="S529" s="418"/>
      <c r="T529" s="23"/>
      <c r="U529" s="373" t="str">
        <f t="shared" si="39"/>
        <v/>
      </c>
      <c r="V529" s="370"/>
      <c r="W529" s="1"/>
      <c r="X529" s="15"/>
      <c r="Y529" s="15"/>
      <c r="Z529" s="15"/>
      <c r="AA529" s="15"/>
      <c r="AB529" s="15"/>
      <c r="AC529" s="16"/>
      <c r="AD529" s="307">
        <f t="shared" si="40"/>
        <v>0</v>
      </c>
      <c r="AG529" s="87"/>
      <c r="AH529" s="87"/>
    </row>
    <row r="530" spans="1:34" hidden="1">
      <c r="A530" s="1"/>
      <c r="B530" s="12" t="s">
        <v>761</v>
      </c>
      <c r="C530" s="416"/>
      <c r="D530" s="417"/>
      <c r="E530" s="417"/>
      <c r="F530" s="417"/>
      <c r="G530" s="417"/>
      <c r="H530" s="417"/>
      <c r="I530" s="417"/>
      <c r="J530" s="417"/>
      <c r="K530" s="417"/>
      <c r="L530" s="417"/>
      <c r="M530" s="417"/>
      <c r="N530" s="417"/>
      <c r="O530" s="418"/>
      <c r="P530" s="417"/>
      <c r="Q530" s="417"/>
      <c r="R530" s="417"/>
      <c r="S530" s="418"/>
      <c r="T530" s="23"/>
      <c r="U530" s="373" t="str">
        <f t="shared" si="39"/>
        <v/>
      </c>
      <c r="V530" s="370"/>
      <c r="W530" s="1"/>
      <c r="X530" s="15"/>
      <c r="Y530" s="15"/>
      <c r="Z530" s="15"/>
      <c r="AA530" s="15"/>
      <c r="AB530" s="15"/>
      <c r="AC530" s="16"/>
      <c r="AD530" s="307">
        <f t="shared" si="40"/>
        <v>0</v>
      </c>
      <c r="AG530" s="87"/>
      <c r="AH530" s="87"/>
    </row>
    <row r="531" spans="1:34" hidden="1">
      <c r="A531" s="1"/>
      <c r="B531" s="12" t="s">
        <v>830</v>
      </c>
      <c r="C531" s="416"/>
      <c r="D531" s="417"/>
      <c r="E531" s="417"/>
      <c r="F531" s="417"/>
      <c r="G531" s="417"/>
      <c r="H531" s="417"/>
      <c r="I531" s="417"/>
      <c r="J531" s="417"/>
      <c r="K531" s="417"/>
      <c r="L531" s="417"/>
      <c r="M531" s="417"/>
      <c r="N531" s="417"/>
      <c r="O531" s="418"/>
      <c r="P531" s="417"/>
      <c r="Q531" s="417"/>
      <c r="R531" s="417"/>
      <c r="S531" s="418"/>
      <c r="T531" s="23"/>
      <c r="U531" s="373" t="str">
        <f t="shared" si="39"/>
        <v/>
      </c>
      <c r="V531" s="370"/>
      <c r="W531" s="1"/>
      <c r="X531" s="15"/>
      <c r="Y531" s="15"/>
      <c r="Z531" s="15"/>
      <c r="AA531" s="15"/>
      <c r="AB531" s="15"/>
      <c r="AC531" s="16"/>
      <c r="AD531" s="307">
        <f t="shared" si="40"/>
        <v>0</v>
      </c>
      <c r="AG531" s="87"/>
      <c r="AH531" s="87"/>
    </row>
    <row r="532" spans="1:34" hidden="1">
      <c r="A532" s="1"/>
      <c r="B532" s="12" t="s">
        <v>831</v>
      </c>
      <c r="C532" s="416"/>
      <c r="D532" s="417"/>
      <c r="E532" s="417"/>
      <c r="F532" s="417"/>
      <c r="G532" s="417"/>
      <c r="H532" s="417"/>
      <c r="I532" s="417"/>
      <c r="J532" s="417"/>
      <c r="K532" s="417"/>
      <c r="L532" s="417"/>
      <c r="M532" s="417"/>
      <c r="N532" s="417"/>
      <c r="O532" s="418"/>
      <c r="P532" s="417"/>
      <c r="Q532" s="417"/>
      <c r="R532" s="417"/>
      <c r="S532" s="418"/>
      <c r="T532" s="23"/>
      <c r="U532" s="373" t="str">
        <f t="shared" si="39"/>
        <v/>
      </c>
      <c r="V532" s="370"/>
      <c r="W532" s="1"/>
      <c r="X532" s="15"/>
      <c r="Y532" s="15"/>
      <c r="Z532" s="15"/>
      <c r="AA532" s="15"/>
      <c r="AB532" s="15"/>
      <c r="AC532" s="16"/>
      <c r="AD532" s="307">
        <f t="shared" si="40"/>
        <v>0</v>
      </c>
      <c r="AG532" s="87"/>
      <c r="AH532" s="87"/>
    </row>
    <row r="533" spans="1:34" hidden="1">
      <c r="A533" s="1"/>
      <c r="B533" s="12" t="s">
        <v>832</v>
      </c>
      <c r="C533" s="416"/>
      <c r="D533" s="417"/>
      <c r="E533" s="417"/>
      <c r="F533" s="417"/>
      <c r="G533" s="417"/>
      <c r="H533" s="417"/>
      <c r="I533" s="417"/>
      <c r="J533" s="417"/>
      <c r="K533" s="417"/>
      <c r="L533" s="417"/>
      <c r="M533" s="417"/>
      <c r="N533" s="417"/>
      <c r="O533" s="418"/>
      <c r="P533" s="417"/>
      <c r="Q533" s="417"/>
      <c r="R533" s="417"/>
      <c r="S533" s="418"/>
      <c r="T533" s="23"/>
      <c r="U533" s="373" t="str">
        <f t="shared" si="39"/>
        <v/>
      </c>
      <c r="V533" s="370"/>
      <c r="W533" s="1"/>
      <c r="X533" s="15"/>
      <c r="Y533" s="15"/>
      <c r="Z533" s="15"/>
      <c r="AA533" s="15"/>
      <c r="AB533" s="15"/>
      <c r="AC533" s="16"/>
      <c r="AD533" s="307">
        <f t="shared" si="40"/>
        <v>0</v>
      </c>
      <c r="AG533" s="87"/>
      <c r="AH533" s="87"/>
    </row>
    <row r="534" spans="1:34" hidden="1">
      <c r="A534" s="1"/>
      <c r="B534" s="12" t="s">
        <v>833</v>
      </c>
      <c r="C534" s="416"/>
      <c r="D534" s="417"/>
      <c r="E534" s="417"/>
      <c r="F534" s="417"/>
      <c r="G534" s="417"/>
      <c r="H534" s="417"/>
      <c r="I534" s="417"/>
      <c r="J534" s="417"/>
      <c r="K534" s="417"/>
      <c r="L534" s="417"/>
      <c r="M534" s="417"/>
      <c r="N534" s="417"/>
      <c r="O534" s="418"/>
      <c r="P534" s="417"/>
      <c r="Q534" s="417"/>
      <c r="R534" s="417"/>
      <c r="S534" s="418"/>
      <c r="T534" s="23"/>
      <c r="U534" s="373" t="str">
        <f t="shared" si="39"/>
        <v/>
      </c>
      <c r="V534" s="370"/>
      <c r="W534" s="1"/>
      <c r="X534" s="15"/>
      <c r="Y534" s="15"/>
      <c r="Z534" s="15"/>
      <c r="AA534" s="15"/>
      <c r="AB534" s="15"/>
      <c r="AC534" s="16"/>
      <c r="AD534" s="307">
        <f t="shared" si="40"/>
        <v>0</v>
      </c>
      <c r="AG534" s="87"/>
      <c r="AH534" s="87"/>
    </row>
    <row r="535" spans="1:34" hidden="1">
      <c r="A535" s="1"/>
      <c r="B535" s="12" t="s">
        <v>834</v>
      </c>
      <c r="C535" s="416"/>
      <c r="D535" s="417"/>
      <c r="E535" s="417"/>
      <c r="F535" s="417"/>
      <c r="G535" s="417"/>
      <c r="H535" s="417"/>
      <c r="I535" s="417"/>
      <c r="J535" s="417"/>
      <c r="K535" s="417"/>
      <c r="L535" s="417"/>
      <c r="M535" s="417"/>
      <c r="N535" s="417"/>
      <c r="O535" s="418"/>
      <c r="P535" s="417"/>
      <c r="Q535" s="417"/>
      <c r="R535" s="417"/>
      <c r="S535" s="418"/>
      <c r="T535" s="23"/>
      <c r="U535" s="373" t="str">
        <f t="shared" si="39"/>
        <v/>
      </c>
      <c r="V535" s="370"/>
      <c r="W535" s="1"/>
      <c r="X535" s="15"/>
      <c r="Y535" s="15"/>
      <c r="Z535" s="15"/>
      <c r="AA535" s="15"/>
      <c r="AB535" s="15"/>
      <c r="AC535" s="16"/>
      <c r="AD535" s="307">
        <f t="shared" si="40"/>
        <v>0</v>
      </c>
      <c r="AG535" s="87"/>
      <c r="AH535" s="87"/>
    </row>
    <row r="536" spans="1:34" hidden="1">
      <c r="A536" s="1"/>
      <c r="B536" s="12" t="s">
        <v>835</v>
      </c>
      <c r="C536" s="416"/>
      <c r="D536" s="417"/>
      <c r="E536" s="417"/>
      <c r="F536" s="417"/>
      <c r="G536" s="417"/>
      <c r="H536" s="417"/>
      <c r="I536" s="417"/>
      <c r="J536" s="417"/>
      <c r="K536" s="417"/>
      <c r="L536" s="417"/>
      <c r="M536" s="417"/>
      <c r="N536" s="417"/>
      <c r="O536" s="418"/>
      <c r="P536" s="417"/>
      <c r="Q536" s="417"/>
      <c r="R536" s="417"/>
      <c r="S536" s="418"/>
      <c r="T536" s="23"/>
      <c r="U536" s="373" t="str">
        <f t="shared" si="39"/>
        <v/>
      </c>
      <c r="V536" s="370"/>
      <c r="W536" s="1"/>
      <c r="X536" s="15"/>
      <c r="Y536" s="15"/>
      <c r="Z536" s="15"/>
      <c r="AA536" s="15"/>
      <c r="AB536" s="15"/>
      <c r="AC536" s="16"/>
      <c r="AD536" s="307">
        <f t="shared" si="40"/>
        <v>0</v>
      </c>
      <c r="AG536" s="87"/>
      <c r="AH536" s="87"/>
    </row>
    <row r="537" spans="1:34" hidden="1">
      <c r="A537" s="1"/>
      <c r="B537" s="12" t="s">
        <v>836</v>
      </c>
      <c r="C537" s="416"/>
      <c r="D537" s="417"/>
      <c r="E537" s="417"/>
      <c r="F537" s="417"/>
      <c r="G537" s="417"/>
      <c r="H537" s="417"/>
      <c r="I537" s="417"/>
      <c r="J537" s="417"/>
      <c r="K537" s="417"/>
      <c r="L537" s="417"/>
      <c r="M537" s="417"/>
      <c r="N537" s="417"/>
      <c r="O537" s="418"/>
      <c r="P537" s="417"/>
      <c r="Q537" s="417"/>
      <c r="R537" s="417"/>
      <c r="S537" s="418"/>
      <c r="T537" s="23"/>
      <c r="U537" s="373" t="str">
        <f t="shared" si="39"/>
        <v/>
      </c>
      <c r="V537" s="370"/>
      <c r="W537" s="1"/>
      <c r="X537" s="15"/>
      <c r="Y537" s="15"/>
      <c r="Z537" s="15"/>
      <c r="AA537" s="15"/>
      <c r="AB537" s="15"/>
      <c r="AC537" s="16"/>
      <c r="AD537" s="307">
        <f t="shared" si="40"/>
        <v>0</v>
      </c>
      <c r="AG537" s="87"/>
      <c r="AH537" s="87"/>
    </row>
    <row r="538" spans="1:34" hidden="1">
      <c r="A538" s="1"/>
      <c r="B538" s="12" t="s">
        <v>837</v>
      </c>
      <c r="C538" s="416"/>
      <c r="D538" s="417"/>
      <c r="E538" s="417"/>
      <c r="F538" s="417"/>
      <c r="G538" s="417"/>
      <c r="H538" s="417"/>
      <c r="I538" s="417"/>
      <c r="J538" s="417"/>
      <c r="K538" s="417"/>
      <c r="L538" s="417"/>
      <c r="M538" s="417"/>
      <c r="N538" s="417"/>
      <c r="O538" s="418"/>
      <c r="P538" s="417"/>
      <c r="Q538" s="417"/>
      <c r="R538" s="417"/>
      <c r="S538" s="418"/>
      <c r="T538" s="23"/>
      <c r="U538" s="373" t="str">
        <f t="shared" si="39"/>
        <v/>
      </c>
      <c r="V538" s="370"/>
      <c r="W538" s="1"/>
      <c r="X538" s="15"/>
      <c r="Y538" s="15"/>
      <c r="Z538" s="15"/>
      <c r="AA538" s="15"/>
      <c r="AB538" s="15"/>
      <c r="AC538" s="16"/>
      <c r="AD538" s="307">
        <f t="shared" si="40"/>
        <v>0</v>
      </c>
      <c r="AG538" s="87"/>
      <c r="AH538" s="87"/>
    </row>
    <row r="539" spans="1:34" hidden="1">
      <c r="A539" s="1"/>
      <c r="B539" s="12" t="s">
        <v>838</v>
      </c>
      <c r="C539" s="416"/>
      <c r="D539" s="417"/>
      <c r="E539" s="417"/>
      <c r="F539" s="417"/>
      <c r="G539" s="417"/>
      <c r="H539" s="417"/>
      <c r="I539" s="417"/>
      <c r="J539" s="417"/>
      <c r="K539" s="417"/>
      <c r="L539" s="417"/>
      <c r="M539" s="417"/>
      <c r="N539" s="417"/>
      <c r="O539" s="418"/>
      <c r="P539" s="417"/>
      <c r="Q539" s="417"/>
      <c r="R539" s="417"/>
      <c r="S539" s="418"/>
      <c r="T539" s="23"/>
      <c r="U539" s="373" t="str">
        <f t="shared" si="39"/>
        <v/>
      </c>
      <c r="V539" s="370"/>
      <c r="W539" s="1"/>
      <c r="X539" s="15"/>
      <c r="Y539" s="15"/>
      <c r="Z539" s="15"/>
      <c r="AA539" s="15"/>
      <c r="AB539" s="15"/>
      <c r="AC539" s="16"/>
      <c r="AD539" s="307">
        <f t="shared" si="40"/>
        <v>0</v>
      </c>
      <c r="AG539" s="87"/>
      <c r="AH539" s="87"/>
    </row>
    <row r="540" spans="1:34" hidden="1">
      <c r="A540" s="1"/>
      <c r="B540" s="12" t="s">
        <v>839</v>
      </c>
      <c r="C540" s="416"/>
      <c r="D540" s="417"/>
      <c r="E540" s="417"/>
      <c r="F540" s="417"/>
      <c r="G540" s="417"/>
      <c r="H540" s="417"/>
      <c r="I540" s="417"/>
      <c r="J540" s="417"/>
      <c r="K540" s="417"/>
      <c r="L540" s="417"/>
      <c r="M540" s="417"/>
      <c r="N540" s="417"/>
      <c r="O540" s="418"/>
      <c r="P540" s="417"/>
      <c r="Q540" s="417"/>
      <c r="R540" s="417"/>
      <c r="S540" s="418"/>
      <c r="T540" s="23"/>
      <c r="U540" s="373" t="str">
        <f t="shared" si="39"/>
        <v/>
      </c>
      <c r="V540" s="370"/>
      <c r="W540" s="1"/>
      <c r="X540" s="15"/>
      <c r="Y540" s="15"/>
      <c r="Z540" s="15"/>
      <c r="AA540" s="15"/>
      <c r="AB540" s="15"/>
      <c r="AC540" s="16"/>
      <c r="AD540" s="307">
        <f t="shared" si="40"/>
        <v>0</v>
      </c>
      <c r="AG540" s="87"/>
      <c r="AH540" s="87"/>
    </row>
    <row r="541" spans="1:34" hidden="1">
      <c r="A541" s="1"/>
      <c r="B541" s="12" t="s">
        <v>840</v>
      </c>
      <c r="C541" s="416"/>
      <c r="D541" s="417"/>
      <c r="E541" s="417"/>
      <c r="F541" s="417"/>
      <c r="G541" s="417"/>
      <c r="H541" s="417"/>
      <c r="I541" s="417"/>
      <c r="J541" s="417"/>
      <c r="K541" s="417"/>
      <c r="L541" s="417"/>
      <c r="M541" s="417"/>
      <c r="N541" s="417"/>
      <c r="O541" s="418"/>
      <c r="P541" s="417"/>
      <c r="Q541" s="417"/>
      <c r="R541" s="417"/>
      <c r="S541" s="418"/>
      <c r="T541" s="23"/>
      <c r="U541" s="373" t="str">
        <f t="shared" si="39"/>
        <v/>
      </c>
      <c r="V541" s="370"/>
      <c r="W541" s="1"/>
      <c r="X541" s="15"/>
      <c r="Y541" s="15"/>
      <c r="Z541" s="15"/>
      <c r="AA541" s="15"/>
      <c r="AB541" s="15"/>
      <c r="AC541" s="16"/>
      <c r="AD541" s="307">
        <f t="shared" si="40"/>
        <v>0</v>
      </c>
      <c r="AG541" s="87"/>
      <c r="AH541" s="87"/>
    </row>
    <row r="542" spans="1:34" hidden="1">
      <c r="A542" s="1"/>
      <c r="B542" s="12" t="s">
        <v>841</v>
      </c>
      <c r="C542" s="416"/>
      <c r="D542" s="417"/>
      <c r="E542" s="417"/>
      <c r="F542" s="417"/>
      <c r="G542" s="417"/>
      <c r="H542" s="417"/>
      <c r="I542" s="417"/>
      <c r="J542" s="417"/>
      <c r="K542" s="417"/>
      <c r="L542" s="417"/>
      <c r="M542" s="417"/>
      <c r="N542" s="417"/>
      <c r="O542" s="418"/>
      <c r="P542" s="417"/>
      <c r="Q542" s="417"/>
      <c r="R542" s="417"/>
      <c r="S542" s="418"/>
      <c r="T542" s="23"/>
      <c r="U542" s="373" t="str">
        <f t="shared" si="39"/>
        <v/>
      </c>
      <c r="V542" s="370"/>
      <c r="W542" s="1"/>
      <c r="X542" s="15"/>
      <c r="Y542" s="15"/>
      <c r="Z542" s="15"/>
      <c r="AA542" s="15"/>
      <c r="AB542" s="15"/>
      <c r="AC542" s="16"/>
      <c r="AD542" s="307">
        <f t="shared" si="40"/>
        <v>0</v>
      </c>
      <c r="AG542" s="87"/>
      <c r="AH542" s="87"/>
    </row>
    <row r="543" spans="1:34" hidden="1">
      <c r="A543" s="1"/>
      <c r="B543" s="12" t="s">
        <v>842</v>
      </c>
      <c r="C543" s="416"/>
      <c r="D543" s="417"/>
      <c r="E543" s="417"/>
      <c r="F543" s="417"/>
      <c r="G543" s="417"/>
      <c r="H543" s="417"/>
      <c r="I543" s="417"/>
      <c r="J543" s="417"/>
      <c r="K543" s="417"/>
      <c r="L543" s="417"/>
      <c r="M543" s="417"/>
      <c r="N543" s="417"/>
      <c r="O543" s="418"/>
      <c r="P543" s="417"/>
      <c r="Q543" s="417"/>
      <c r="R543" s="417"/>
      <c r="S543" s="418"/>
      <c r="T543" s="23"/>
      <c r="U543" s="373" t="str">
        <f t="shared" si="39"/>
        <v/>
      </c>
      <c r="V543" s="370"/>
      <c r="W543" s="1"/>
      <c r="X543" s="15"/>
      <c r="Y543" s="15"/>
      <c r="Z543" s="15"/>
      <c r="AA543" s="15"/>
      <c r="AB543" s="15"/>
      <c r="AC543" s="16"/>
      <c r="AD543" s="307">
        <f t="shared" si="40"/>
        <v>0</v>
      </c>
      <c r="AG543" s="87"/>
      <c r="AH543" s="87"/>
    </row>
    <row r="544" spans="1:34" hidden="1">
      <c r="A544" s="1"/>
      <c r="B544" s="12" t="s">
        <v>843</v>
      </c>
      <c r="C544" s="416"/>
      <c r="D544" s="417"/>
      <c r="E544" s="417"/>
      <c r="F544" s="417"/>
      <c r="G544" s="417"/>
      <c r="H544" s="417"/>
      <c r="I544" s="417"/>
      <c r="J544" s="417"/>
      <c r="K544" s="417"/>
      <c r="L544" s="417"/>
      <c r="M544" s="417"/>
      <c r="N544" s="417"/>
      <c r="O544" s="418"/>
      <c r="P544" s="417"/>
      <c r="Q544" s="417"/>
      <c r="R544" s="417"/>
      <c r="S544" s="418"/>
      <c r="T544" s="23"/>
      <c r="U544" s="373" t="str">
        <f t="shared" si="39"/>
        <v/>
      </c>
      <c r="V544" s="370"/>
      <c r="W544" s="1"/>
      <c r="X544" s="15"/>
      <c r="Y544" s="15"/>
      <c r="Z544" s="15"/>
      <c r="AA544" s="15"/>
      <c r="AB544" s="15"/>
      <c r="AC544" s="16"/>
      <c r="AD544" s="307">
        <f t="shared" si="40"/>
        <v>0</v>
      </c>
      <c r="AG544" s="87"/>
      <c r="AH544" s="87"/>
    </row>
    <row r="545" spans="1:34" hidden="1">
      <c r="A545" s="1"/>
      <c r="B545" s="12" t="s">
        <v>844</v>
      </c>
      <c r="C545" s="416"/>
      <c r="D545" s="417"/>
      <c r="E545" s="417"/>
      <c r="F545" s="417"/>
      <c r="G545" s="417"/>
      <c r="H545" s="417"/>
      <c r="I545" s="417"/>
      <c r="J545" s="417"/>
      <c r="K545" s="417"/>
      <c r="L545" s="417"/>
      <c r="M545" s="417"/>
      <c r="N545" s="417"/>
      <c r="O545" s="418"/>
      <c r="P545" s="417"/>
      <c r="Q545" s="417"/>
      <c r="R545" s="417"/>
      <c r="S545" s="418"/>
      <c r="T545" s="23"/>
      <c r="U545" s="373" t="str">
        <f t="shared" si="39"/>
        <v/>
      </c>
      <c r="V545" s="370"/>
      <c r="W545" s="1"/>
      <c r="X545" s="15"/>
      <c r="Y545" s="15"/>
      <c r="Z545" s="15"/>
      <c r="AA545" s="15"/>
      <c r="AB545" s="15"/>
      <c r="AC545" s="16"/>
      <c r="AD545" s="307">
        <f t="shared" si="40"/>
        <v>0</v>
      </c>
      <c r="AG545" s="87"/>
      <c r="AH545" s="87"/>
    </row>
    <row r="546" spans="1:34" hidden="1">
      <c r="A546" s="1"/>
      <c r="B546" s="12" t="s">
        <v>845</v>
      </c>
      <c r="C546" s="416"/>
      <c r="D546" s="417"/>
      <c r="E546" s="417"/>
      <c r="F546" s="417"/>
      <c r="G546" s="417"/>
      <c r="H546" s="417"/>
      <c r="I546" s="417"/>
      <c r="J546" s="417"/>
      <c r="K546" s="417"/>
      <c r="L546" s="417"/>
      <c r="M546" s="417"/>
      <c r="N546" s="417"/>
      <c r="O546" s="418"/>
      <c r="P546" s="417"/>
      <c r="Q546" s="417"/>
      <c r="R546" s="417"/>
      <c r="S546" s="418"/>
      <c r="T546" s="23"/>
      <c r="U546" s="373" t="str">
        <f t="shared" si="39"/>
        <v/>
      </c>
      <c r="V546" s="370"/>
      <c r="W546" s="1"/>
      <c r="X546" s="15"/>
      <c r="Y546" s="15"/>
      <c r="Z546" s="15"/>
      <c r="AA546" s="15"/>
      <c r="AB546" s="15"/>
      <c r="AC546" s="16"/>
      <c r="AD546" s="307">
        <f t="shared" si="40"/>
        <v>0</v>
      </c>
      <c r="AG546" s="87"/>
      <c r="AH546" s="87"/>
    </row>
    <row r="547" spans="1:34" hidden="1">
      <c r="A547" s="1"/>
      <c r="B547" s="12" t="s">
        <v>846</v>
      </c>
      <c r="C547" s="416"/>
      <c r="D547" s="417"/>
      <c r="E547" s="417"/>
      <c r="F547" s="417"/>
      <c r="G547" s="417"/>
      <c r="H547" s="417"/>
      <c r="I547" s="417"/>
      <c r="J547" s="417"/>
      <c r="K547" s="417"/>
      <c r="L547" s="417"/>
      <c r="M547" s="417"/>
      <c r="N547" s="417"/>
      <c r="O547" s="418"/>
      <c r="P547" s="417"/>
      <c r="Q547" s="417"/>
      <c r="R547" s="417"/>
      <c r="S547" s="418"/>
      <c r="T547" s="23"/>
      <c r="U547" s="373" t="str">
        <f t="shared" si="39"/>
        <v/>
      </c>
      <c r="V547" s="370"/>
      <c r="W547" s="1"/>
      <c r="X547" s="15"/>
      <c r="Y547" s="15"/>
      <c r="Z547" s="15"/>
      <c r="AA547" s="15"/>
      <c r="AB547" s="15"/>
      <c r="AC547" s="16"/>
      <c r="AD547" s="307">
        <f t="shared" si="40"/>
        <v>0</v>
      </c>
      <c r="AG547" s="87"/>
      <c r="AH547" s="87"/>
    </row>
    <row r="548" spans="1:34" hidden="1">
      <c r="A548" s="1"/>
      <c r="B548" s="12" t="s">
        <v>847</v>
      </c>
      <c r="C548" s="416"/>
      <c r="D548" s="417"/>
      <c r="E548" s="417"/>
      <c r="F548" s="417"/>
      <c r="G548" s="417"/>
      <c r="H548" s="417"/>
      <c r="I548" s="417"/>
      <c r="J548" s="417"/>
      <c r="K548" s="417"/>
      <c r="L548" s="417"/>
      <c r="M548" s="417"/>
      <c r="N548" s="417"/>
      <c r="O548" s="418"/>
      <c r="P548" s="417"/>
      <c r="Q548" s="417"/>
      <c r="R548" s="417"/>
      <c r="S548" s="418"/>
      <c r="T548" s="23"/>
      <c r="U548" s="373" t="str">
        <f t="shared" si="39"/>
        <v/>
      </c>
      <c r="V548" s="370"/>
      <c r="W548" s="1"/>
      <c r="X548" s="15"/>
      <c r="Y548" s="15"/>
      <c r="Z548" s="15"/>
      <c r="AA548" s="15"/>
      <c r="AB548" s="15"/>
      <c r="AC548" s="16"/>
      <c r="AD548" s="307">
        <f t="shared" si="40"/>
        <v>0</v>
      </c>
      <c r="AG548" s="87"/>
      <c r="AH548" s="87"/>
    </row>
    <row r="549" spans="1:34" hidden="1">
      <c r="A549" s="1"/>
      <c r="B549" s="12" t="s">
        <v>848</v>
      </c>
      <c r="C549" s="416"/>
      <c r="D549" s="417"/>
      <c r="E549" s="417"/>
      <c r="F549" s="417"/>
      <c r="G549" s="417"/>
      <c r="H549" s="417"/>
      <c r="I549" s="417"/>
      <c r="J549" s="417"/>
      <c r="K549" s="417"/>
      <c r="L549" s="417"/>
      <c r="M549" s="417"/>
      <c r="N549" s="417"/>
      <c r="O549" s="418"/>
      <c r="P549" s="417"/>
      <c r="Q549" s="417"/>
      <c r="R549" s="417"/>
      <c r="S549" s="418"/>
      <c r="T549" s="23"/>
      <c r="U549" s="373" t="str">
        <f t="shared" si="39"/>
        <v/>
      </c>
      <c r="V549" s="370"/>
      <c r="W549" s="1"/>
      <c r="X549" s="15"/>
      <c r="Y549" s="15"/>
      <c r="Z549" s="15"/>
      <c r="AA549" s="15"/>
      <c r="AB549" s="15"/>
      <c r="AC549" s="16"/>
      <c r="AD549" s="307">
        <f t="shared" si="40"/>
        <v>0</v>
      </c>
      <c r="AG549" s="87"/>
      <c r="AH549" s="87"/>
    </row>
    <row r="550" spans="1:34" hidden="1">
      <c r="A550" s="1"/>
      <c r="B550" s="12" t="s">
        <v>849</v>
      </c>
      <c r="C550" s="416"/>
      <c r="D550" s="417"/>
      <c r="E550" s="417"/>
      <c r="F550" s="417"/>
      <c r="G550" s="417"/>
      <c r="H550" s="417"/>
      <c r="I550" s="417"/>
      <c r="J550" s="417"/>
      <c r="K550" s="417"/>
      <c r="L550" s="417"/>
      <c r="M550" s="417"/>
      <c r="N550" s="417"/>
      <c r="O550" s="418"/>
      <c r="P550" s="417"/>
      <c r="Q550" s="417"/>
      <c r="R550" s="417"/>
      <c r="S550" s="418"/>
      <c r="T550" s="23"/>
      <c r="U550" s="373" t="str">
        <f t="shared" si="39"/>
        <v/>
      </c>
      <c r="V550" s="370"/>
      <c r="W550" s="1"/>
      <c r="X550" s="15"/>
      <c r="Y550" s="15"/>
      <c r="Z550" s="15"/>
      <c r="AA550" s="15"/>
      <c r="AB550" s="15"/>
      <c r="AC550" s="16"/>
      <c r="AD550" s="307">
        <f t="shared" si="40"/>
        <v>0</v>
      </c>
      <c r="AG550" s="87"/>
      <c r="AH550" s="87"/>
    </row>
    <row r="551" spans="1:34" ht="4.5" customHeight="1" thickBot="1">
      <c r="A551" s="1"/>
      <c r="B551" s="4"/>
      <c r="C551" s="4"/>
      <c r="D551" s="4"/>
      <c r="E551" s="4"/>
      <c r="F551" s="4"/>
      <c r="G551" s="4"/>
      <c r="H551" s="4"/>
      <c r="I551" s="4"/>
      <c r="J551" s="4"/>
      <c r="K551" s="4"/>
      <c r="L551" s="4"/>
      <c r="M551" s="4"/>
      <c r="N551" s="4"/>
      <c r="O551" s="4"/>
      <c r="P551" s="4"/>
      <c r="Q551" s="4"/>
      <c r="R551" s="4"/>
      <c r="S551" s="4"/>
      <c r="T551" s="4"/>
      <c r="U551" s="4"/>
      <c r="V551" s="4"/>
      <c r="W551" s="1"/>
      <c r="X551" s="15"/>
      <c r="Y551" s="15"/>
      <c r="Z551" s="15"/>
      <c r="AA551" s="15"/>
      <c r="AB551" s="15"/>
      <c r="AC551" s="16"/>
    </row>
    <row r="552" spans="1:34" ht="18" customHeight="1">
      <c r="A552" s="1"/>
      <c r="B552" s="5" t="s">
        <v>2040</v>
      </c>
      <c r="C552" s="1"/>
      <c r="D552" s="1"/>
      <c r="E552" s="1"/>
      <c r="F552" s="1"/>
      <c r="G552" s="1"/>
      <c r="H552" s="1"/>
      <c r="I552" s="17"/>
      <c r="J552" s="479" t="s">
        <v>2041</v>
      </c>
      <c r="K552" s="479"/>
      <c r="L552" s="479"/>
      <c r="M552" s="479"/>
      <c r="N552" s="43" t="s">
        <v>172</v>
      </c>
      <c r="O552" s="24"/>
      <c r="P552" s="43" t="s">
        <v>171</v>
      </c>
      <c r="Q552" s="9"/>
      <c r="R552" s="17"/>
      <c r="S552" s="71" t="str">
        <f>IF(AD552&gt;0,"INC","")</f>
        <v/>
      </c>
      <c r="T552" s="49" t="s">
        <v>170</v>
      </c>
      <c r="U552" s="412">
        <f>ROUND(SUM(U554:U573),2)</f>
        <v>0</v>
      </c>
      <c r="V552" s="414"/>
      <c r="W552" s="1"/>
      <c r="X552" s="15"/>
      <c r="Y552" s="15"/>
      <c r="Z552" s="15"/>
      <c r="AA552" s="15"/>
      <c r="AB552" s="15"/>
      <c r="AC552" s="16"/>
      <c r="AD552" s="307"/>
      <c r="AG552" s="87"/>
      <c r="AH552" s="87"/>
    </row>
    <row r="553" spans="1:34" ht="21.75" hidden="1" customHeight="1">
      <c r="A553" s="1"/>
      <c r="B553" s="98"/>
      <c r="C553" s="99" t="s">
        <v>2047</v>
      </c>
      <c r="D553" s="97"/>
      <c r="E553" s="97"/>
      <c r="F553" s="97"/>
      <c r="G553" s="98" t="s">
        <v>2048</v>
      </c>
      <c r="H553" s="98"/>
      <c r="I553" s="98"/>
      <c r="J553" s="98"/>
      <c r="K553" s="98"/>
      <c r="L553" s="386" t="str">
        <f ca="1">IF(SUM($T$363:$T$491)&gt;0,"BAN/LAN Installation Task(s) added","")</f>
        <v/>
      </c>
      <c r="M553" s="112"/>
      <c r="N553" s="98"/>
      <c r="O553" s="106"/>
      <c r="P553" s="98"/>
      <c r="Q553" s="98" t="s">
        <v>2049</v>
      </c>
      <c r="R553" s="98"/>
      <c r="S553" s="385"/>
      <c r="T553" s="98" t="s">
        <v>127</v>
      </c>
      <c r="U553" s="98" t="s">
        <v>123</v>
      </c>
      <c r="V553" s="98"/>
      <c r="W553" s="1"/>
      <c r="X553" s="15"/>
      <c r="Y553" s="15"/>
      <c r="Z553" s="15"/>
      <c r="AA553" s="15"/>
      <c r="AB553" s="15"/>
      <c r="AC553" s="16"/>
      <c r="AD553" s="307"/>
      <c r="AG553" s="87"/>
      <c r="AH553" s="87"/>
    </row>
    <row r="554" spans="1:34" ht="12.75" hidden="1" customHeight="1">
      <c r="A554" s="1"/>
      <c r="B554" s="12" t="s">
        <v>2042</v>
      </c>
      <c r="C554" s="518" t="s">
        <v>1819</v>
      </c>
      <c r="D554" s="519"/>
      <c r="E554" s="519"/>
      <c r="F554" s="520"/>
      <c r="G554" s="518"/>
      <c r="H554" s="519"/>
      <c r="I554" s="519"/>
      <c r="J554" s="519"/>
      <c r="K554" s="519"/>
      <c r="L554" s="519"/>
      <c r="M554" s="519"/>
      <c r="N554" s="519"/>
      <c r="O554" s="519"/>
      <c r="P554" s="520"/>
      <c r="Q554" s="516" t="s">
        <v>2044</v>
      </c>
      <c r="R554" s="517"/>
      <c r="S554" s="561"/>
      <c r="T554" s="23"/>
      <c r="U554" s="374">
        <f t="shared" ref="U554:U573" si="41">IF(OR(C554="",C554="&lt;Select HW Category&gt;"),0,IF(OR(Q554="&lt;Select Scenario&gt;",Q554=""),0,T554*VLOOKUP(C554,Uninstall_Pricing,VLOOKUP(Q554,Uninstall_Scenario_Table,2,FALSE),FALSE)))</f>
        <v>0</v>
      </c>
      <c r="V554" s="370"/>
      <c r="W554" s="1"/>
      <c r="X554" s="15"/>
      <c r="Y554" s="15"/>
      <c r="Z554" s="15"/>
      <c r="AA554" s="15"/>
      <c r="AB554" s="15"/>
      <c r="AC554" s="16"/>
      <c r="AD554" s="307"/>
      <c r="AG554" s="87"/>
      <c r="AH554" s="87"/>
    </row>
    <row r="555" spans="1:34" hidden="1">
      <c r="A555" s="1"/>
      <c r="B555" s="12" t="s">
        <v>2043</v>
      </c>
      <c r="C555" s="518"/>
      <c r="D555" s="519"/>
      <c r="E555" s="519"/>
      <c r="F555" s="520"/>
      <c r="G555" s="518"/>
      <c r="H555" s="519"/>
      <c r="I555" s="519"/>
      <c r="J555" s="519"/>
      <c r="K555" s="519"/>
      <c r="L555" s="519"/>
      <c r="M555" s="519"/>
      <c r="N555" s="519"/>
      <c r="O555" s="519"/>
      <c r="P555" s="520"/>
      <c r="Q555" s="516"/>
      <c r="R555" s="517"/>
      <c r="S555" s="561"/>
      <c r="T555" s="23"/>
      <c r="U555" s="374">
        <f t="shared" si="41"/>
        <v>0</v>
      </c>
      <c r="V555" s="370"/>
      <c r="W555" s="1"/>
      <c r="X555" s="15"/>
      <c r="Y555" s="15"/>
      <c r="Z555" s="15"/>
      <c r="AA555" s="15"/>
      <c r="AB555" s="15"/>
      <c r="AC555" s="16"/>
      <c r="AD555" s="307"/>
      <c r="AG555" s="87"/>
      <c r="AH555" s="87"/>
    </row>
    <row r="556" spans="1:34" hidden="1">
      <c r="A556" s="1"/>
      <c r="B556" s="12" t="s">
        <v>2050</v>
      </c>
      <c r="C556" s="518"/>
      <c r="D556" s="519"/>
      <c r="E556" s="519"/>
      <c r="F556" s="520"/>
      <c r="G556" s="518"/>
      <c r="H556" s="519"/>
      <c r="I556" s="519"/>
      <c r="J556" s="519"/>
      <c r="K556" s="519"/>
      <c r="L556" s="519"/>
      <c r="M556" s="519"/>
      <c r="N556" s="519"/>
      <c r="O556" s="519"/>
      <c r="P556" s="520"/>
      <c r="Q556" s="516"/>
      <c r="R556" s="517"/>
      <c r="S556" s="561"/>
      <c r="T556" s="23"/>
      <c r="U556" s="374">
        <f t="shared" si="41"/>
        <v>0</v>
      </c>
      <c r="V556" s="370"/>
      <c r="W556" s="1"/>
      <c r="X556" s="15"/>
      <c r="Y556" s="15"/>
      <c r="Z556" s="15"/>
      <c r="AA556" s="15"/>
      <c r="AB556" s="15"/>
      <c r="AC556" s="16"/>
      <c r="AD556" s="307"/>
      <c r="AG556" s="87"/>
      <c r="AH556" s="87"/>
    </row>
    <row r="557" spans="1:34" hidden="1">
      <c r="A557" s="1"/>
      <c r="B557" s="12" t="s">
        <v>2051</v>
      </c>
      <c r="C557" s="518"/>
      <c r="D557" s="519"/>
      <c r="E557" s="519"/>
      <c r="F557" s="520"/>
      <c r="G557" s="518"/>
      <c r="H557" s="519"/>
      <c r="I557" s="519"/>
      <c r="J557" s="519"/>
      <c r="K557" s="519"/>
      <c r="L557" s="519"/>
      <c r="M557" s="519"/>
      <c r="N557" s="519"/>
      <c r="O557" s="519"/>
      <c r="P557" s="520"/>
      <c r="Q557" s="516"/>
      <c r="R557" s="517"/>
      <c r="S557" s="561"/>
      <c r="T557" s="23"/>
      <c r="U557" s="374">
        <f t="shared" si="41"/>
        <v>0</v>
      </c>
      <c r="V557" s="370"/>
      <c r="W557" s="1"/>
      <c r="X557" s="15"/>
      <c r="Y557" s="15"/>
      <c r="Z557" s="15"/>
      <c r="AA557" s="15"/>
      <c r="AB557" s="15"/>
      <c r="AC557" s="16"/>
      <c r="AD557" s="307"/>
      <c r="AG557" s="87"/>
      <c r="AH557" s="87"/>
    </row>
    <row r="558" spans="1:34" hidden="1">
      <c r="A558" s="1"/>
      <c r="B558" s="12" t="s">
        <v>2052</v>
      </c>
      <c r="C558" s="518"/>
      <c r="D558" s="519"/>
      <c r="E558" s="519"/>
      <c r="F558" s="520"/>
      <c r="G558" s="518"/>
      <c r="H558" s="519"/>
      <c r="I558" s="519"/>
      <c r="J558" s="519"/>
      <c r="K558" s="519"/>
      <c r="L558" s="519"/>
      <c r="M558" s="519"/>
      <c r="N558" s="519"/>
      <c r="O558" s="519"/>
      <c r="P558" s="520"/>
      <c r="Q558" s="516"/>
      <c r="R558" s="517"/>
      <c r="S558" s="561"/>
      <c r="T558" s="23"/>
      <c r="U558" s="374">
        <f t="shared" si="41"/>
        <v>0</v>
      </c>
      <c r="V558" s="370"/>
      <c r="W558" s="1"/>
      <c r="X558" s="15"/>
      <c r="Y558" s="15"/>
      <c r="Z558" s="15"/>
      <c r="AA558" s="15"/>
      <c r="AB558" s="15"/>
      <c r="AC558" s="16"/>
      <c r="AD558" s="307"/>
      <c r="AG558" s="87"/>
      <c r="AH558" s="87"/>
    </row>
    <row r="559" spans="1:34" hidden="1">
      <c r="A559" s="1"/>
      <c r="B559" s="12" t="s">
        <v>2053</v>
      </c>
      <c r="C559" s="518"/>
      <c r="D559" s="519"/>
      <c r="E559" s="519"/>
      <c r="F559" s="520"/>
      <c r="G559" s="518"/>
      <c r="H559" s="519"/>
      <c r="I559" s="519"/>
      <c r="J559" s="519"/>
      <c r="K559" s="519"/>
      <c r="L559" s="519"/>
      <c r="M559" s="519"/>
      <c r="N559" s="519"/>
      <c r="O559" s="519"/>
      <c r="P559" s="520"/>
      <c r="Q559" s="516"/>
      <c r="R559" s="517"/>
      <c r="S559" s="561"/>
      <c r="T559" s="23"/>
      <c r="U559" s="374">
        <f t="shared" si="41"/>
        <v>0</v>
      </c>
      <c r="V559" s="370"/>
      <c r="W559" s="1"/>
      <c r="X559" s="15"/>
      <c r="Y559" s="15"/>
      <c r="Z559" s="15"/>
      <c r="AA559" s="15"/>
      <c r="AB559" s="15"/>
      <c r="AC559" s="16"/>
      <c r="AD559" s="307"/>
      <c r="AG559" s="87"/>
      <c r="AH559" s="87"/>
    </row>
    <row r="560" spans="1:34" hidden="1">
      <c r="A560" s="1"/>
      <c r="B560" s="12" t="s">
        <v>2054</v>
      </c>
      <c r="C560" s="518"/>
      <c r="D560" s="519"/>
      <c r="E560" s="519"/>
      <c r="F560" s="520"/>
      <c r="G560" s="518"/>
      <c r="H560" s="519"/>
      <c r="I560" s="519"/>
      <c r="J560" s="519"/>
      <c r="K560" s="519"/>
      <c r="L560" s="519"/>
      <c r="M560" s="519"/>
      <c r="N560" s="519"/>
      <c r="O560" s="519"/>
      <c r="P560" s="520"/>
      <c r="Q560" s="516"/>
      <c r="R560" s="517"/>
      <c r="S560" s="561"/>
      <c r="T560" s="23"/>
      <c r="U560" s="374">
        <f t="shared" si="41"/>
        <v>0</v>
      </c>
      <c r="V560" s="370"/>
      <c r="W560" s="1"/>
      <c r="X560" s="15"/>
      <c r="Y560" s="15"/>
      <c r="Z560" s="15"/>
      <c r="AA560" s="15"/>
      <c r="AB560" s="15"/>
      <c r="AC560" s="16"/>
      <c r="AD560" s="307"/>
      <c r="AG560" s="87"/>
      <c r="AH560" s="87"/>
    </row>
    <row r="561" spans="1:49" hidden="1">
      <c r="A561" s="1"/>
      <c r="B561" s="12" t="s">
        <v>2055</v>
      </c>
      <c r="C561" s="518"/>
      <c r="D561" s="519"/>
      <c r="E561" s="519"/>
      <c r="F561" s="520"/>
      <c r="G561" s="518"/>
      <c r="H561" s="519"/>
      <c r="I561" s="519"/>
      <c r="J561" s="519"/>
      <c r="K561" s="519"/>
      <c r="L561" s="519"/>
      <c r="M561" s="519"/>
      <c r="N561" s="519"/>
      <c r="O561" s="519"/>
      <c r="P561" s="520"/>
      <c r="Q561" s="516"/>
      <c r="R561" s="517"/>
      <c r="S561" s="561"/>
      <c r="T561" s="23"/>
      <c r="U561" s="374">
        <f t="shared" si="41"/>
        <v>0</v>
      </c>
      <c r="V561" s="370"/>
      <c r="W561" s="1"/>
      <c r="X561" s="15"/>
      <c r="Y561" s="15"/>
      <c r="Z561" s="15"/>
      <c r="AA561" s="15"/>
      <c r="AB561" s="15"/>
      <c r="AC561" s="16"/>
      <c r="AD561" s="307"/>
      <c r="AG561" s="87"/>
      <c r="AH561" s="87"/>
    </row>
    <row r="562" spans="1:49" hidden="1">
      <c r="A562" s="1"/>
      <c r="B562" s="12" t="s">
        <v>2056</v>
      </c>
      <c r="C562" s="518"/>
      <c r="D562" s="519"/>
      <c r="E562" s="519"/>
      <c r="F562" s="520"/>
      <c r="G562" s="518"/>
      <c r="H562" s="519"/>
      <c r="I562" s="519"/>
      <c r="J562" s="519"/>
      <c r="K562" s="519"/>
      <c r="L562" s="519"/>
      <c r="M562" s="519"/>
      <c r="N562" s="519"/>
      <c r="O562" s="519"/>
      <c r="P562" s="520"/>
      <c r="Q562" s="516"/>
      <c r="R562" s="517"/>
      <c r="S562" s="561"/>
      <c r="T562" s="23"/>
      <c r="U562" s="374">
        <f t="shared" si="41"/>
        <v>0</v>
      </c>
      <c r="V562" s="370"/>
      <c r="W562" s="1"/>
      <c r="X562" s="15"/>
      <c r="Y562" s="15"/>
      <c r="Z562" s="15"/>
      <c r="AA562" s="15"/>
      <c r="AB562" s="15"/>
      <c r="AC562" s="16"/>
      <c r="AD562" s="307"/>
      <c r="AG562" s="87"/>
      <c r="AH562" s="87"/>
    </row>
    <row r="563" spans="1:49" hidden="1">
      <c r="A563" s="1"/>
      <c r="B563" s="12" t="s">
        <v>2057</v>
      </c>
      <c r="C563" s="518"/>
      <c r="D563" s="519"/>
      <c r="E563" s="519"/>
      <c r="F563" s="520"/>
      <c r="G563" s="518"/>
      <c r="H563" s="519"/>
      <c r="I563" s="519"/>
      <c r="J563" s="519"/>
      <c r="K563" s="519"/>
      <c r="L563" s="519"/>
      <c r="M563" s="519"/>
      <c r="N563" s="519"/>
      <c r="O563" s="519"/>
      <c r="P563" s="520"/>
      <c r="Q563" s="516"/>
      <c r="R563" s="517"/>
      <c r="S563" s="561"/>
      <c r="T563" s="23"/>
      <c r="U563" s="374">
        <f t="shared" si="41"/>
        <v>0</v>
      </c>
      <c r="V563" s="370"/>
      <c r="W563" s="1"/>
      <c r="X563" s="15"/>
      <c r="Y563" s="15"/>
      <c r="Z563" s="15"/>
      <c r="AA563" s="15"/>
      <c r="AB563" s="15"/>
      <c r="AC563" s="16"/>
      <c r="AD563" s="307"/>
      <c r="AG563" s="87"/>
      <c r="AH563" s="87"/>
    </row>
    <row r="564" spans="1:49" hidden="1">
      <c r="A564" s="1"/>
      <c r="B564" s="12" t="s">
        <v>2058</v>
      </c>
      <c r="C564" s="518"/>
      <c r="D564" s="519"/>
      <c r="E564" s="519"/>
      <c r="F564" s="520"/>
      <c r="G564" s="518"/>
      <c r="H564" s="519"/>
      <c r="I564" s="519"/>
      <c r="J564" s="519"/>
      <c r="K564" s="519"/>
      <c r="L564" s="519"/>
      <c r="M564" s="519"/>
      <c r="N564" s="519"/>
      <c r="O564" s="519"/>
      <c r="P564" s="520"/>
      <c r="Q564" s="516"/>
      <c r="R564" s="517"/>
      <c r="S564" s="561"/>
      <c r="T564" s="23"/>
      <c r="U564" s="374">
        <f t="shared" si="41"/>
        <v>0</v>
      </c>
      <c r="V564" s="370"/>
      <c r="W564" s="1"/>
      <c r="X564" s="15"/>
      <c r="Y564" s="15"/>
      <c r="Z564" s="15"/>
      <c r="AA564" s="15"/>
      <c r="AB564" s="15"/>
      <c r="AC564" s="16"/>
      <c r="AD564" s="307"/>
      <c r="AG564" s="87"/>
      <c r="AH564" s="87"/>
    </row>
    <row r="565" spans="1:49" hidden="1">
      <c r="A565" s="1"/>
      <c r="B565" s="12" t="s">
        <v>2059</v>
      </c>
      <c r="C565" s="518"/>
      <c r="D565" s="519"/>
      <c r="E565" s="519"/>
      <c r="F565" s="520"/>
      <c r="G565" s="518"/>
      <c r="H565" s="519"/>
      <c r="I565" s="519"/>
      <c r="J565" s="519"/>
      <c r="K565" s="519"/>
      <c r="L565" s="519"/>
      <c r="M565" s="519"/>
      <c r="N565" s="519"/>
      <c r="O565" s="519"/>
      <c r="P565" s="520"/>
      <c r="Q565" s="516"/>
      <c r="R565" s="517"/>
      <c r="S565" s="561"/>
      <c r="T565" s="23"/>
      <c r="U565" s="374">
        <f t="shared" si="41"/>
        <v>0</v>
      </c>
      <c r="V565" s="370"/>
      <c r="W565" s="1"/>
      <c r="X565" s="15"/>
      <c r="Y565" s="15"/>
      <c r="Z565" s="15"/>
      <c r="AA565" s="15"/>
      <c r="AB565" s="15"/>
      <c r="AC565" s="16"/>
      <c r="AD565" s="307"/>
      <c r="AG565" s="87"/>
      <c r="AH565" s="87"/>
    </row>
    <row r="566" spans="1:49" hidden="1">
      <c r="A566" s="1"/>
      <c r="B566" s="12" t="s">
        <v>2060</v>
      </c>
      <c r="C566" s="518"/>
      <c r="D566" s="519"/>
      <c r="E566" s="519"/>
      <c r="F566" s="520"/>
      <c r="G566" s="518"/>
      <c r="H566" s="519"/>
      <c r="I566" s="519"/>
      <c r="J566" s="519"/>
      <c r="K566" s="519"/>
      <c r="L566" s="519"/>
      <c r="M566" s="519"/>
      <c r="N566" s="519"/>
      <c r="O566" s="519"/>
      <c r="P566" s="520"/>
      <c r="Q566" s="516"/>
      <c r="R566" s="517"/>
      <c r="S566" s="561"/>
      <c r="T566" s="23"/>
      <c r="U566" s="374">
        <f t="shared" si="41"/>
        <v>0</v>
      </c>
      <c r="V566" s="370"/>
      <c r="W566" s="1"/>
      <c r="X566" s="15"/>
      <c r="Y566" s="15"/>
      <c r="Z566" s="15"/>
      <c r="AA566" s="15"/>
      <c r="AB566" s="15"/>
      <c r="AC566" s="16"/>
      <c r="AD566" s="307"/>
      <c r="AG566" s="87"/>
      <c r="AH566" s="87"/>
    </row>
    <row r="567" spans="1:49" hidden="1">
      <c r="A567" s="1"/>
      <c r="B567" s="12" t="s">
        <v>2061</v>
      </c>
      <c r="C567" s="518"/>
      <c r="D567" s="519"/>
      <c r="E567" s="519"/>
      <c r="F567" s="520"/>
      <c r="G567" s="518"/>
      <c r="H567" s="519"/>
      <c r="I567" s="519"/>
      <c r="J567" s="519"/>
      <c r="K567" s="519"/>
      <c r="L567" s="519"/>
      <c r="M567" s="519"/>
      <c r="N567" s="519"/>
      <c r="O567" s="519"/>
      <c r="P567" s="520"/>
      <c r="Q567" s="516"/>
      <c r="R567" s="517"/>
      <c r="S567" s="561"/>
      <c r="T567" s="23"/>
      <c r="U567" s="374">
        <f t="shared" si="41"/>
        <v>0</v>
      </c>
      <c r="V567" s="370"/>
      <c r="W567" s="1"/>
      <c r="X567" s="15"/>
      <c r="Y567" s="15"/>
      <c r="Z567" s="15"/>
      <c r="AA567" s="15"/>
      <c r="AB567" s="15"/>
      <c r="AC567" s="16"/>
      <c r="AD567" s="307"/>
      <c r="AG567" s="87"/>
      <c r="AH567" s="87"/>
    </row>
    <row r="568" spans="1:49" hidden="1">
      <c r="A568" s="1"/>
      <c r="B568" s="12" t="s">
        <v>2062</v>
      </c>
      <c r="C568" s="518"/>
      <c r="D568" s="519"/>
      <c r="E568" s="519"/>
      <c r="F568" s="520"/>
      <c r="G568" s="518"/>
      <c r="H568" s="519"/>
      <c r="I568" s="519"/>
      <c r="J568" s="519"/>
      <c r="K568" s="519"/>
      <c r="L568" s="519"/>
      <c r="M568" s="519"/>
      <c r="N568" s="519"/>
      <c r="O568" s="519"/>
      <c r="P568" s="520"/>
      <c r="Q568" s="516"/>
      <c r="R568" s="517"/>
      <c r="S568" s="561"/>
      <c r="T568" s="23"/>
      <c r="U568" s="374">
        <f t="shared" si="41"/>
        <v>0</v>
      </c>
      <c r="V568" s="370"/>
      <c r="W568" s="1"/>
      <c r="X568" s="15"/>
      <c r="Y568" s="15"/>
      <c r="Z568" s="15"/>
      <c r="AA568" s="15"/>
      <c r="AB568" s="15"/>
      <c r="AC568" s="16"/>
      <c r="AD568" s="307"/>
      <c r="AG568" s="87"/>
      <c r="AH568" s="87"/>
    </row>
    <row r="569" spans="1:49" hidden="1">
      <c r="A569" s="1"/>
      <c r="B569" s="12" t="s">
        <v>2063</v>
      </c>
      <c r="C569" s="518"/>
      <c r="D569" s="519"/>
      <c r="E569" s="519"/>
      <c r="F569" s="520"/>
      <c r="G569" s="518"/>
      <c r="H569" s="519"/>
      <c r="I569" s="519"/>
      <c r="J569" s="519"/>
      <c r="K569" s="519"/>
      <c r="L569" s="519"/>
      <c r="M569" s="519"/>
      <c r="N569" s="519"/>
      <c r="O569" s="519"/>
      <c r="P569" s="520"/>
      <c r="Q569" s="516"/>
      <c r="R569" s="517"/>
      <c r="S569" s="561"/>
      <c r="T569" s="23"/>
      <c r="U569" s="374">
        <f t="shared" si="41"/>
        <v>0</v>
      </c>
      <c r="V569" s="370"/>
      <c r="W569" s="1"/>
      <c r="X569" s="15"/>
      <c r="Y569" s="15"/>
      <c r="Z569" s="15"/>
      <c r="AA569" s="15"/>
      <c r="AB569" s="15"/>
      <c r="AC569" s="16"/>
      <c r="AD569" s="307"/>
      <c r="AG569" s="87"/>
      <c r="AH569" s="87"/>
    </row>
    <row r="570" spans="1:49" hidden="1">
      <c r="A570" s="1"/>
      <c r="B570" s="12" t="s">
        <v>2064</v>
      </c>
      <c r="C570" s="518"/>
      <c r="D570" s="519"/>
      <c r="E570" s="519"/>
      <c r="F570" s="520"/>
      <c r="G570" s="518"/>
      <c r="H570" s="519"/>
      <c r="I570" s="519"/>
      <c r="J570" s="519"/>
      <c r="K570" s="519"/>
      <c r="L570" s="519"/>
      <c r="M570" s="519"/>
      <c r="N570" s="519"/>
      <c r="O570" s="519"/>
      <c r="P570" s="520"/>
      <c r="Q570" s="516"/>
      <c r="R570" s="517"/>
      <c r="S570" s="561"/>
      <c r="T570" s="23"/>
      <c r="U570" s="374">
        <f t="shared" si="41"/>
        <v>0</v>
      </c>
      <c r="V570" s="370"/>
      <c r="W570" s="1"/>
      <c r="X570" s="15"/>
      <c r="Y570" s="15"/>
      <c r="Z570" s="15"/>
      <c r="AA570" s="15"/>
      <c r="AB570" s="15"/>
      <c r="AC570" s="16"/>
      <c r="AD570" s="307"/>
      <c r="AG570" s="87"/>
      <c r="AH570" s="87"/>
    </row>
    <row r="571" spans="1:49" hidden="1">
      <c r="A571" s="1"/>
      <c r="B571" s="12" t="s">
        <v>2065</v>
      </c>
      <c r="C571" s="518"/>
      <c r="D571" s="519"/>
      <c r="E571" s="519"/>
      <c r="F571" s="520"/>
      <c r="G571" s="518"/>
      <c r="H571" s="519"/>
      <c r="I571" s="519"/>
      <c r="J571" s="519"/>
      <c r="K571" s="519"/>
      <c r="L571" s="519"/>
      <c r="M571" s="519"/>
      <c r="N571" s="519"/>
      <c r="O571" s="519"/>
      <c r="P571" s="520"/>
      <c r="Q571" s="516"/>
      <c r="R571" s="517"/>
      <c r="S571" s="561"/>
      <c r="T571" s="23"/>
      <c r="U571" s="374">
        <f t="shared" si="41"/>
        <v>0</v>
      </c>
      <c r="V571" s="370"/>
      <c r="W571" s="1"/>
      <c r="X571" s="15"/>
      <c r="Y571" s="15"/>
      <c r="Z571" s="15"/>
      <c r="AA571" s="15"/>
      <c r="AB571" s="15"/>
      <c r="AC571" s="16"/>
      <c r="AD571" s="307"/>
      <c r="AG571" s="87"/>
      <c r="AH571" s="87"/>
    </row>
    <row r="572" spans="1:49" hidden="1">
      <c r="A572" s="1"/>
      <c r="B572" s="12" t="s">
        <v>2066</v>
      </c>
      <c r="C572" s="518"/>
      <c r="D572" s="519"/>
      <c r="E572" s="519"/>
      <c r="F572" s="520"/>
      <c r="G572" s="518"/>
      <c r="H572" s="519"/>
      <c r="I572" s="519"/>
      <c r="J572" s="519"/>
      <c r="K572" s="519"/>
      <c r="L572" s="519"/>
      <c r="M572" s="519"/>
      <c r="N572" s="519"/>
      <c r="O572" s="519"/>
      <c r="P572" s="520"/>
      <c r="Q572" s="516"/>
      <c r="R572" s="517"/>
      <c r="S572" s="561"/>
      <c r="T572" s="23"/>
      <c r="U572" s="374">
        <f t="shared" si="41"/>
        <v>0</v>
      </c>
      <c r="V572" s="370"/>
      <c r="W572" s="1"/>
      <c r="X572" s="15"/>
      <c r="Y572" s="15"/>
      <c r="Z572" s="15"/>
      <c r="AA572" s="15"/>
      <c r="AB572" s="15"/>
      <c r="AC572" s="16"/>
      <c r="AD572" s="307"/>
      <c r="AG572" s="87"/>
      <c r="AH572" s="87"/>
    </row>
    <row r="573" spans="1:49" hidden="1">
      <c r="A573" s="1"/>
      <c r="B573" s="12" t="s">
        <v>2067</v>
      </c>
      <c r="C573" s="518"/>
      <c r="D573" s="519"/>
      <c r="E573" s="519"/>
      <c r="F573" s="520"/>
      <c r="G573" s="518"/>
      <c r="H573" s="519"/>
      <c r="I573" s="519"/>
      <c r="J573" s="519"/>
      <c r="K573" s="519"/>
      <c r="L573" s="519"/>
      <c r="M573" s="519"/>
      <c r="N573" s="519"/>
      <c r="O573" s="519"/>
      <c r="P573" s="520"/>
      <c r="Q573" s="516"/>
      <c r="R573" s="517"/>
      <c r="S573" s="561"/>
      <c r="T573" s="23"/>
      <c r="U573" s="374">
        <f t="shared" si="41"/>
        <v>0</v>
      </c>
      <c r="V573" s="370"/>
      <c r="W573" s="1"/>
      <c r="X573" s="15"/>
      <c r="Y573" s="15"/>
      <c r="Z573" s="15"/>
      <c r="AA573" s="15"/>
      <c r="AB573" s="15"/>
      <c r="AC573" s="16"/>
      <c r="AD573" s="307"/>
      <c r="AG573" s="87"/>
      <c r="AH573" s="87"/>
    </row>
    <row r="574" spans="1:49" ht="4.5" customHeight="1" thickBot="1">
      <c r="A574" s="1"/>
      <c r="B574" s="4"/>
      <c r="C574" s="4"/>
      <c r="D574" s="4"/>
      <c r="E574" s="4"/>
      <c r="F574" s="4"/>
      <c r="G574" s="4"/>
      <c r="H574" s="4"/>
      <c r="I574" s="4"/>
      <c r="J574" s="4"/>
      <c r="K574" s="4"/>
      <c r="L574" s="4"/>
      <c r="M574" s="4"/>
      <c r="N574" s="4"/>
      <c r="O574" s="4"/>
      <c r="P574" s="4"/>
      <c r="Q574" s="4"/>
      <c r="R574" s="4"/>
      <c r="S574" s="4"/>
      <c r="T574" s="4"/>
      <c r="U574" s="4"/>
      <c r="V574" s="4"/>
      <c r="W574" s="1"/>
      <c r="X574" s="15"/>
      <c r="Y574" s="15"/>
      <c r="Z574" s="15"/>
      <c r="AA574" s="15"/>
      <c r="AB574" s="15"/>
      <c r="AC574" s="16"/>
    </row>
    <row r="575" spans="1:49" ht="18" customHeight="1">
      <c r="A575" s="1"/>
      <c r="B575" s="5" t="s">
        <v>169</v>
      </c>
      <c r="C575" s="1"/>
      <c r="D575" s="1"/>
      <c r="E575" s="1"/>
      <c r="F575" s="1"/>
      <c r="G575" s="1"/>
      <c r="H575" s="1"/>
      <c r="I575" s="17"/>
      <c r="J575" s="42" t="s">
        <v>174</v>
      </c>
      <c r="K575" s="41"/>
      <c r="L575" s="1"/>
      <c r="M575" s="21"/>
      <c r="N575" s="44" t="s">
        <v>172</v>
      </c>
      <c r="O575" s="2"/>
      <c r="P575" s="44" t="s">
        <v>171</v>
      </c>
      <c r="Q575" s="1"/>
      <c r="R575" s="17"/>
      <c r="S575" s="71" t="str">
        <f>IF(AD575&gt;0,"INC","")</f>
        <v/>
      </c>
      <c r="T575" s="49" t="s">
        <v>170</v>
      </c>
      <c r="U575" s="412">
        <f>ROUND(SUM(U577:U581),2)</f>
        <v>1288.01</v>
      </c>
      <c r="V575" s="413"/>
      <c r="W575" s="1"/>
      <c r="X575" s="15"/>
      <c r="Y575" s="15"/>
      <c r="Z575" s="15"/>
      <c r="AA575" s="15"/>
      <c r="AB575" s="15"/>
      <c r="AC575" s="16"/>
      <c r="AD575" s="307">
        <f>SUM(AD576:AD581)</f>
        <v>0</v>
      </c>
    </row>
    <row r="576" spans="1:49" s="105" customFormat="1" ht="21.75" customHeight="1">
      <c r="A576" s="97"/>
      <c r="B576" s="98"/>
      <c r="C576" s="107" t="s">
        <v>175</v>
      </c>
      <c r="D576" s="97"/>
      <c r="E576" s="97"/>
      <c r="F576" s="97"/>
      <c r="G576" s="97"/>
      <c r="H576" s="97"/>
      <c r="I576" s="97"/>
      <c r="J576" s="97"/>
      <c r="K576" s="98" t="s">
        <v>128</v>
      </c>
      <c r="L576" s="98"/>
      <c r="M576" s="98" t="s">
        <v>129</v>
      </c>
      <c r="N576" s="98"/>
      <c r="O576" s="106"/>
      <c r="P576" s="98"/>
      <c r="Q576" s="98"/>
      <c r="R576" s="98"/>
      <c r="S576" s="96" t="s">
        <v>182</v>
      </c>
      <c r="T576" s="98" t="s">
        <v>127</v>
      </c>
      <c r="U576" s="98" t="s">
        <v>123</v>
      </c>
      <c r="V576" s="98"/>
      <c r="W576" s="97"/>
      <c r="X576" s="103"/>
      <c r="Y576" s="103"/>
      <c r="Z576" s="103"/>
      <c r="AA576" s="103"/>
      <c r="AB576" s="103"/>
      <c r="AC576" s="104"/>
      <c r="AD576" s="306"/>
      <c r="AE576" s="74"/>
      <c r="AF576" s="74"/>
      <c r="AG576" s="74"/>
      <c r="AH576" s="74"/>
      <c r="AI576" s="74"/>
      <c r="AJ576" s="74"/>
      <c r="AK576" s="74"/>
      <c r="AL576" s="74"/>
      <c r="AM576" s="74"/>
      <c r="AN576" s="74"/>
      <c r="AO576" s="74"/>
      <c r="AP576" s="74"/>
      <c r="AQ576" s="74"/>
      <c r="AR576" s="74"/>
      <c r="AS576" s="74"/>
      <c r="AT576" s="74"/>
      <c r="AU576" s="74"/>
      <c r="AV576" s="74"/>
      <c r="AW576" s="74"/>
    </row>
    <row r="577" spans="1:30">
      <c r="A577" s="1"/>
      <c r="B577" s="12" t="s">
        <v>118</v>
      </c>
      <c r="C577" s="416" t="s">
        <v>2705</v>
      </c>
      <c r="D577" s="417"/>
      <c r="E577" s="417"/>
      <c r="F577" s="417"/>
      <c r="G577" s="417"/>
      <c r="H577" s="417"/>
      <c r="I577" s="417"/>
      <c r="J577" s="418"/>
      <c r="K577" s="421" t="s">
        <v>2703</v>
      </c>
      <c r="L577" s="422"/>
      <c r="M577" s="516" t="s">
        <v>2704</v>
      </c>
      <c r="N577" s="517"/>
      <c r="O577" s="517"/>
      <c r="P577" s="517"/>
      <c r="Q577" s="517"/>
      <c r="R577" s="517"/>
      <c r="S577" s="69"/>
      <c r="T577" s="23">
        <v>1</v>
      </c>
      <c r="U577" s="373">
        <v>1288.01</v>
      </c>
      <c r="V577" s="370"/>
      <c r="W577" s="1"/>
      <c r="X577" s="15"/>
      <c r="Y577" s="15"/>
      <c r="Z577" s="15"/>
      <c r="AA577" s="15"/>
      <c r="AB577" s="15"/>
      <c r="AC577" s="16"/>
      <c r="AD577" s="307">
        <f>IF(U577="TBD",1,0)</f>
        <v>0</v>
      </c>
    </row>
    <row r="578" spans="1:30" hidden="1">
      <c r="A578" s="1"/>
      <c r="B578" s="12" t="s">
        <v>119</v>
      </c>
      <c r="C578" s="416"/>
      <c r="D578" s="417"/>
      <c r="E578" s="417"/>
      <c r="F578" s="417"/>
      <c r="G578" s="417"/>
      <c r="H578" s="417"/>
      <c r="I578" s="417"/>
      <c r="J578" s="418"/>
      <c r="K578" s="421"/>
      <c r="L578" s="422"/>
      <c r="M578" s="416"/>
      <c r="N578" s="417"/>
      <c r="O578" s="417"/>
      <c r="P578" s="417"/>
      <c r="Q578" s="417"/>
      <c r="R578" s="417"/>
      <c r="S578" s="69"/>
      <c r="T578" s="23"/>
      <c r="U578" s="373" t="str">
        <f t="shared" ref="U578:U581" si="42">IF(T578="","",IF(S578="","TBD",0))</f>
        <v/>
      </c>
      <c r="V578" s="370"/>
      <c r="W578" s="1"/>
      <c r="X578" s="15"/>
      <c r="Y578" s="15"/>
      <c r="Z578" s="15"/>
      <c r="AA578" s="15"/>
      <c r="AB578" s="15"/>
      <c r="AC578" s="16"/>
      <c r="AD578" s="307">
        <f>IF(U578="TBD",1,0)</f>
        <v>0</v>
      </c>
    </row>
    <row r="579" spans="1:30" hidden="1">
      <c r="A579" s="1"/>
      <c r="B579" s="12" t="s">
        <v>120</v>
      </c>
      <c r="C579" s="416"/>
      <c r="D579" s="417"/>
      <c r="E579" s="417"/>
      <c r="F579" s="417"/>
      <c r="G579" s="417"/>
      <c r="H579" s="417"/>
      <c r="I579" s="417"/>
      <c r="J579" s="418"/>
      <c r="K579" s="421"/>
      <c r="L579" s="422"/>
      <c r="M579" s="416"/>
      <c r="N579" s="417"/>
      <c r="O579" s="417"/>
      <c r="P579" s="417"/>
      <c r="Q579" s="417"/>
      <c r="R579" s="417"/>
      <c r="S579" s="69"/>
      <c r="T579" s="23"/>
      <c r="U579" s="373" t="str">
        <f t="shared" si="42"/>
        <v/>
      </c>
      <c r="V579" s="370"/>
      <c r="W579" s="1"/>
      <c r="X579" s="15"/>
      <c r="Y579" s="15"/>
      <c r="Z579" s="15"/>
      <c r="AA579" s="15"/>
      <c r="AB579" s="15"/>
      <c r="AC579" s="16"/>
      <c r="AD579" s="307">
        <f>IF(U579="TBD",1,0)</f>
        <v>0</v>
      </c>
    </row>
    <row r="580" spans="1:30" hidden="1">
      <c r="A580" s="1"/>
      <c r="B580" s="12" t="s">
        <v>121</v>
      </c>
      <c r="C580" s="416"/>
      <c r="D580" s="417"/>
      <c r="E580" s="417"/>
      <c r="F580" s="417"/>
      <c r="G580" s="417"/>
      <c r="H580" s="417"/>
      <c r="I580" s="417"/>
      <c r="J580" s="418"/>
      <c r="K580" s="421"/>
      <c r="L580" s="422"/>
      <c r="M580" s="416"/>
      <c r="N580" s="417"/>
      <c r="O580" s="417"/>
      <c r="P580" s="417"/>
      <c r="Q580" s="417"/>
      <c r="R580" s="417"/>
      <c r="S580" s="69"/>
      <c r="T580" s="23"/>
      <c r="U580" s="373" t="str">
        <f t="shared" si="42"/>
        <v/>
      </c>
      <c r="V580" s="370"/>
      <c r="W580" s="1"/>
      <c r="X580" s="15"/>
      <c r="Y580" s="15"/>
      <c r="Z580" s="15"/>
      <c r="AA580" s="15"/>
      <c r="AB580" s="15"/>
      <c r="AC580" s="16"/>
      <c r="AD580" s="307">
        <f>IF(U580="TBD",1,0)</f>
        <v>0</v>
      </c>
    </row>
    <row r="581" spans="1:30" hidden="1">
      <c r="A581" s="1"/>
      <c r="B581" s="12" t="s">
        <v>122</v>
      </c>
      <c r="C581" s="416"/>
      <c r="D581" s="417"/>
      <c r="E581" s="417"/>
      <c r="F581" s="417"/>
      <c r="G581" s="417"/>
      <c r="H581" s="417"/>
      <c r="I581" s="417"/>
      <c r="J581" s="418"/>
      <c r="K581" s="421"/>
      <c r="L581" s="422"/>
      <c r="M581" s="416"/>
      <c r="N581" s="417"/>
      <c r="O581" s="417"/>
      <c r="P581" s="417"/>
      <c r="Q581" s="417"/>
      <c r="R581" s="417"/>
      <c r="S581" s="69"/>
      <c r="T581" s="23"/>
      <c r="U581" s="373" t="str">
        <f t="shared" si="42"/>
        <v/>
      </c>
      <c r="V581" s="370"/>
      <c r="W581" s="1"/>
      <c r="X581" s="15"/>
      <c r="Y581" s="15"/>
      <c r="Z581" s="15"/>
      <c r="AA581" s="15"/>
      <c r="AB581" s="15"/>
      <c r="AC581" s="16"/>
      <c r="AD581" s="307">
        <f>IF(U581="TBD",1,0)</f>
        <v>0</v>
      </c>
    </row>
    <row r="582" spans="1:30" ht="16" customHeight="1">
      <c r="A582" s="16"/>
      <c r="B582" s="16"/>
      <c r="C582" s="16"/>
      <c r="D582" s="16"/>
      <c r="E582" s="16"/>
      <c r="F582" s="16"/>
      <c r="G582" s="16"/>
      <c r="H582" s="16"/>
      <c r="I582" s="16"/>
      <c r="J582" s="16"/>
      <c r="K582" s="16"/>
      <c r="L582" s="16"/>
      <c r="M582" s="16"/>
      <c r="N582" s="16"/>
      <c r="O582" s="16"/>
      <c r="P582" s="16"/>
      <c r="Q582" s="16"/>
      <c r="R582" s="16"/>
      <c r="S582" s="16"/>
      <c r="T582" s="16"/>
      <c r="U582" s="16"/>
      <c r="V582" s="16"/>
      <c r="W582" s="16"/>
      <c r="X582" s="15"/>
      <c r="Y582" s="15"/>
      <c r="Z582" s="15"/>
      <c r="AA582" s="15"/>
      <c r="AB582" s="15"/>
      <c r="AC582" s="16"/>
    </row>
    <row r="583" spans="1:30">
      <c r="A583" s="16"/>
      <c r="B583" s="22"/>
      <c r="C583" s="16"/>
      <c r="D583" s="16"/>
      <c r="E583" s="16"/>
      <c r="F583" s="16"/>
      <c r="G583" s="16"/>
      <c r="H583" s="16"/>
      <c r="I583" s="16"/>
      <c r="J583" s="16"/>
      <c r="K583" s="16"/>
      <c r="L583" s="16"/>
      <c r="M583" s="16"/>
      <c r="N583" s="16"/>
      <c r="O583" s="16"/>
      <c r="P583" s="16"/>
      <c r="Q583" s="16"/>
      <c r="R583" s="16"/>
      <c r="S583" s="16"/>
      <c r="T583" s="16"/>
      <c r="U583" s="16"/>
      <c r="V583" s="16"/>
      <c r="W583" s="16"/>
      <c r="X583" s="15"/>
      <c r="Y583" s="15"/>
      <c r="Z583" s="15"/>
      <c r="AA583" s="15"/>
      <c r="AB583" s="15"/>
      <c r="AC583" s="16"/>
    </row>
    <row r="584" spans="1:30">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6"/>
    </row>
    <row r="585" spans="1:30">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6"/>
    </row>
    <row r="586" spans="1:30">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c r="AA586" s="15"/>
      <c r="AB586" s="15"/>
      <c r="AC586" s="16"/>
    </row>
    <row r="587" spans="1:30">
      <c r="A587" s="16"/>
      <c r="B587" s="16"/>
      <c r="C587" s="16"/>
      <c r="D587" s="16"/>
      <c r="E587" s="16"/>
      <c r="F587" s="16"/>
      <c r="G587" s="16"/>
      <c r="H587" s="16"/>
      <c r="I587" s="16"/>
      <c r="J587" s="16"/>
      <c r="K587" s="16"/>
      <c r="L587" s="16"/>
      <c r="M587" s="16"/>
      <c r="N587" s="16"/>
      <c r="O587" s="16"/>
      <c r="P587" s="16"/>
      <c r="Q587" s="16"/>
      <c r="R587" s="16"/>
      <c r="S587" s="16"/>
      <c r="T587" s="16"/>
      <c r="U587" s="16"/>
      <c r="V587" s="16"/>
      <c r="W587" s="16"/>
      <c r="X587" s="15"/>
      <c r="Y587" s="15"/>
      <c r="Z587" s="15"/>
      <c r="AA587" s="15"/>
      <c r="AB587" s="15"/>
      <c r="AC587" s="16"/>
    </row>
    <row r="588" spans="1:30">
      <c r="A588" s="16"/>
      <c r="B588" s="16"/>
      <c r="C588" s="16"/>
      <c r="D588" s="16"/>
      <c r="E588" s="16"/>
      <c r="F588" s="16"/>
      <c r="G588" s="16"/>
      <c r="H588" s="16"/>
      <c r="I588" s="16"/>
      <c r="J588" s="16"/>
      <c r="K588" s="16"/>
      <c r="L588" s="16"/>
      <c r="M588" s="16"/>
      <c r="N588" s="16"/>
      <c r="O588" s="16"/>
      <c r="P588" s="16"/>
      <c r="Q588" s="16"/>
      <c r="R588" s="16"/>
      <c r="S588" s="16"/>
      <c r="T588" s="16"/>
      <c r="U588" s="16"/>
      <c r="V588" s="16"/>
      <c r="W588" s="16"/>
      <c r="X588" s="15"/>
      <c r="Y588" s="15"/>
      <c r="Z588" s="15"/>
      <c r="AA588" s="15"/>
      <c r="AB588" s="15"/>
      <c r="AC588" s="16"/>
    </row>
    <row r="589" spans="1:30">
      <c r="A589" s="53"/>
      <c r="B589" s="53"/>
      <c r="C589" s="53"/>
      <c r="D589" s="53"/>
      <c r="E589" s="53"/>
      <c r="F589" s="53"/>
      <c r="G589" s="53"/>
      <c r="H589" s="53"/>
      <c r="I589" s="53"/>
      <c r="J589" s="53"/>
      <c r="K589" s="53"/>
      <c r="L589" s="53"/>
      <c r="M589" s="53"/>
      <c r="N589" s="53"/>
      <c r="O589" s="53"/>
      <c r="P589" s="53"/>
      <c r="Q589" s="53"/>
      <c r="R589" s="53"/>
      <c r="S589" s="53"/>
      <c r="T589" s="53"/>
      <c r="U589" s="53"/>
      <c r="V589" s="53"/>
      <c r="W589" s="53"/>
      <c r="X589" s="54"/>
      <c r="Y589" s="54"/>
      <c r="Z589" s="54"/>
      <c r="AA589" s="54"/>
      <c r="AB589" s="54"/>
      <c r="AC589" s="53"/>
    </row>
    <row r="590" spans="1:30">
      <c r="A590" s="53"/>
      <c r="B590" s="53"/>
      <c r="C590" s="53"/>
      <c r="D590" s="53"/>
      <c r="E590" s="53"/>
      <c r="F590" s="53"/>
      <c r="G590" s="53"/>
      <c r="H590" s="53"/>
      <c r="I590" s="53"/>
      <c r="J590" s="53"/>
      <c r="K590" s="53"/>
      <c r="L590" s="53"/>
      <c r="M590" s="53"/>
      <c r="N590" s="53"/>
      <c r="O590" s="53"/>
      <c r="P590" s="53"/>
      <c r="Q590" s="53"/>
      <c r="R590" s="53"/>
      <c r="S590" s="53"/>
      <c r="T590" s="53"/>
      <c r="U590" s="53"/>
      <c r="V590" s="53"/>
      <c r="W590" s="53"/>
      <c r="X590" s="54"/>
      <c r="Y590" s="54"/>
      <c r="Z590" s="54"/>
      <c r="AA590" s="54"/>
      <c r="AB590" s="54"/>
      <c r="AC590" s="53"/>
    </row>
    <row r="591" spans="1:30">
      <c r="A591" s="53"/>
      <c r="B591" s="53"/>
      <c r="C591" s="53"/>
      <c r="D591" s="53"/>
      <c r="E591" s="53"/>
      <c r="F591" s="53"/>
      <c r="G591" s="53"/>
      <c r="H591" s="53"/>
      <c r="I591" s="53"/>
      <c r="J591" s="53"/>
      <c r="K591" s="53"/>
      <c r="L591" s="53"/>
      <c r="M591" s="53"/>
      <c r="N591" s="53"/>
      <c r="O591" s="53"/>
      <c r="P591" s="53"/>
      <c r="Q591" s="53"/>
      <c r="R591" s="53"/>
      <c r="S591" s="53"/>
      <c r="T591" s="53"/>
      <c r="U591" s="53"/>
      <c r="V591" s="53"/>
      <c r="W591" s="53"/>
      <c r="X591" s="54"/>
      <c r="Y591" s="54"/>
      <c r="Z591" s="54"/>
      <c r="AA591" s="54"/>
      <c r="AB591" s="54"/>
      <c r="AC591" s="53"/>
    </row>
    <row r="611" spans="23:44" hidden="1">
      <c r="AB611" s="66"/>
      <c r="AC611" s="67"/>
      <c r="AD611" s="312"/>
      <c r="AH611" s="313"/>
    </row>
    <row r="612" spans="23:44" hidden="1">
      <c r="AB612" s="66"/>
      <c r="AC612" s="67"/>
      <c r="AD612" s="312"/>
      <c r="AH612" s="313"/>
    </row>
    <row r="613" spans="23:44" hidden="1">
      <c r="AB613" s="66"/>
      <c r="AC613" s="67"/>
      <c r="AD613" s="312"/>
      <c r="AH613" s="313"/>
    </row>
    <row r="614" spans="23:44" hidden="1">
      <c r="AB614" s="66"/>
      <c r="AC614" s="67"/>
      <c r="AD614" s="312"/>
    </row>
    <row r="615" spans="23:44" hidden="1">
      <c r="AB615" s="66"/>
      <c r="AC615" s="67"/>
      <c r="AD615" s="312"/>
    </row>
    <row r="616" spans="23:44" hidden="1">
      <c r="AB616" s="66"/>
      <c r="AC616" s="67"/>
      <c r="AD616" s="312"/>
    </row>
    <row r="621" spans="23:44" ht="13" hidden="1">
      <c r="AK621" s="314"/>
      <c r="AN621" s="314"/>
      <c r="AQ621" s="314"/>
      <c r="AR621" s="314"/>
    </row>
    <row r="622" spans="23:44" ht="13" hidden="1">
      <c r="AK622" s="314"/>
      <c r="AN622" s="314"/>
      <c r="AQ622" s="314"/>
      <c r="AR622" s="314"/>
    </row>
    <row r="623" spans="23:44" ht="13" hidden="1">
      <c r="AB623" s="74"/>
      <c r="AC623" s="75"/>
      <c r="AD623" s="315"/>
      <c r="AG623" s="316"/>
      <c r="AH623" s="317"/>
      <c r="AJ623" s="310"/>
      <c r="AK623" s="317"/>
      <c r="AM623" s="311"/>
      <c r="AN623" s="317"/>
      <c r="AQ623" s="317"/>
      <c r="AR623" s="317"/>
    </row>
    <row r="624" spans="23:44" ht="13" hidden="1">
      <c r="W624" t="s">
        <v>131</v>
      </c>
      <c r="X624"/>
      <c r="Y624"/>
      <c r="Z624"/>
      <c r="AA624"/>
      <c r="AC624" s="7"/>
      <c r="AM624" s="318"/>
      <c r="AN624" s="318"/>
    </row>
    <row r="625" spans="24:37" hidden="1">
      <c r="X625" s="55"/>
      <c r="Y625" s="56"/>
      <c r="AC625" s="7"/>
      <c r="AJ625" s="319"/>
      <c r="AK625" s="320"/>
    </row>
    <row r="626" spans="24:37" hidden="1">
      <c r="X626" s="55"/>
      <c r="Y626" s="56"/>
      <c r="AB626" s="66"/>
      <c r="AC626" s="76"/>
      <c r="AD626" s="321"/>
      <c r="AH626" s="322"/>
      <c r="AI626" s="26"/>
      <c r="AJ626" s="319"/>
      <c r="AK626" s="320"/>
    </row>
    <row r="627" spans="24:37" hidden="1">
      <c r="X627" s="55"/>
      <c r="AB627" s="66"/>
      <c r="AC627" s="76"/>
      <c r="AD627" s="321"/>
      <c r="AH627" s="322"/>
      <c r="AI627" s="26"/>
      <c r="AJ627" s="319"/>
      <c r="AK627" s="320"/>
    </row>
    <row r="628" spans="24:37" hidden="1">
      <c r="X628" s="55"/>
      <c r="AB628" s="66"/>
      <c r="AC628" s="76"/>
      <c r="AD628" s="321"/>
      <c r="AH628" s="322"/>
      <c r="AI628" s="26"/>
      <c r="AJ628" s="319"/>
      <c r="AK628" s="320"/>
    </row>
    <row r="629" spans="24:37" hidden="1">
      <c r="X629" s="55"/>
      <c r="AB629" s="66"/>
      <c r="AC629" s="76"/>
      <c r="AD629" s="321"/>
      <c r="AH629" s="322"/>
      <c r="AI629" s="26"/>
      <c r="AJ629" s="319"/>
      <c r="AK629" s="320"/>
    </row>
    <row r="630" spans="24:37" hidden="1">
      <c r="X630" s="55"/>
      <c r="AB630" s="66"/>
      <c r="AC630" s="76"/>
      <c r="AD630" s="321"/>
      <c r="AH630" s="322"/>
      <c r="AI630" s="26"/>
      <c r="AJ630" s="319"/>
      <c r="AK630" s="320"/>
    </row>
    <row r="631" spans="24:37" hidden="1">
      <c r="AB631" s="66"/>
      <c r="AC631" s="76"/>
      <c r="AD631" s="321"/>
      <c r="AH631" s="322"/>
      <c r="AI631" s="26"/>
      <c r="AJ631" s="319"/>
      <c r="AK631" s="320"/>
    </row>
    <row r="632" spans="24:37" hidden="1">
      <c r="AB632" s="66"/>
      <c r="AC632" s="76"/>
      <c r="AD632" s="321"/>
      <c r="AH632" s="322"/>
      <c r="AI632" s="26"/>
      <c r="AJ632" s="319"/>
      <c r="AK632" s="320"/>
    </row>
    <row r="633" spans="24:37" hidden="1">
      <c r="AB633" s="66"/>
      <c r="AC633" s="76"/>
      <c r="AD633" s="321"/>
      <c r="AH633" s="322"/>
      <c r="AI633" s="26"/>
      <c r="AJ633" s="319"/>
      <c r="AK633" s="320"/>
    </row>
    <row r="634" spans="24:37" hidden="1">
      <c r="AB634" s="66"/>
      <c r="AC634" s="76"/>
      <c r="AD634" s="321"/>
      <c r="AH634" s="322"/>
      <c r="AI634" s="26"/>
      <c r="AJ634" s="319"/>
      <c r="AK634" s="320"/>
    </row>
    <row r="635" spans="24:37" hidden="1">
      <c r="AB635" s="66"/>
      <c r="AC635" s="76"/>
      <c r="AD635" s="321"/>
      <c r="AH635" s="322"/>
      <c r="AI635" s="26"/>
      <c r="AJ635" s="319"/>
      <c r="AK635" s="320"/>
    </row>
    <row r="636" spans="24:37" hidden="1">
      <c r="AB636" s="66"/>
      <c r="AC636" s="76"/>
      <c r="AD636" s="321"/>
      <c r="AH636" s="322"/>
      <c r="AI636" s="26"/>
      <c r="AJ636" s="319"/>
      <c r="AK636" s="320"/>
    </row>
    <row r="637" spans="24:37" hidden="1">
      <c r="AB637" s="66"/>
      <c r="AC637" s="76"/>
      <c r="AD637" s="321"/>
      <c r="AH637" s="322"/>
      <c r="AI637" s="26"/>
      <c r="AJ637" s="319"/>
      <c r="AK637" s="320"/>
    </row>
    <row r="638" spans="24:37" hidden="1">
      <c r="AB638" s="66"/>
      <c r="AC638" s="76"/>
      <c r="AD638" s="321"/>
      <c r="AH638" s="322"/>
      <c r="AI638" s="26"/>
      <c r="AJ638" s="319"/>
      <c r="AK638" s="320"/>
    </row>
    <row r="639" spans="24:37" hidden="1">
      <c r="AB639" s="66"/>
      <c r="AC639" s="76"/>
      <c r="AD639" s="321"/>
      <c r="AH639" s="322"/>
      <c r="AI639" s="26"/>
      <c r="AJ639" s="319"/>
      <c r="AK639" s="320"/>
    </row>
    <row r="640" spans="24:37" hidden="1">
      <c r="AB640" s="66"/>
      <c r="AC640" s="76"/>
      <c r="AD640" s="321"/>
      <c r="AH640" s="322"/>
      <c r="AI640" s="26"/>
      <c r="AJ640" s="319"/>
      <c r="AK640" s="320"/>
    </row>
    <row r="641" spans="28:37" hidden="1">
      <c r="AB641" s="66"/>
      <c r="AC641" s="76"/>
      <c r="AD641" s="321"/>
      <c r="AH641" s="322"/>
      <c r="AI641" s="26"/>
      <c r="AJ641" s="319"/>
      <c r="AK641" s="320"/>
    </row>
    <row r="642" spans="28:37" hidden="1">
      <c r="AB642" s="66"/>
      <c r="AC642" s="76"/>
      <c r="AD642" s="321"/>
      <c r="AH642" s="322"/>
      <c r="AI642" s="26"/>
      <c r="AJ642" s="319"/>
      <c r="AK642" s="320"/>
    </row>
    <row r="643" spans="28:37" hidden="1">
      <c r="AB643" s="66"/>
      <c r="AC643" s="76"/>
      <c r="AD643" s="321"/>
      <c r="AH643" s="322"/>
      <c r="AI643" s="26"/>
      <c r="AJ643" s="319"/>
      <c r="AK643" s="320"/>
    </row>
    <row r="644" spans="28:37" hidden="1">
      <c r="AB644" s="66"/>
      <c r="AC644" s="76"/>
      <c r="AD644" s="321"/>
      <c r="AH644" s="322"/>
      <c r="AI644" s="26"/>
      <c r="AJ644" s="319"/>
      <c r="AK644" s="320"/>
    </row>
    <row r="645" spans="28:37" hidden="1">
      <c r="AB645" s="66"/>
      <c r="AC645" s="76"/>
      <c r="AD645" s="321"/>
      <c r="AH645" s="322"/>
      <c r="AI645" s="26"/>
      <c r="AJ645" s="319"/>
      <c r="AK645" s="320"/>
    </row>
    <row r="646" spans="28:37" hidden="1">
      <c r="AB646" s="66"/>
      <c r="AC646" s="76"/>
      <c r="AD646" s="321"/>
      <c r="AH646" s="322"/>
      <c r="AI646" s="26"/>
      <c r="AJ646" s="319"/>
      <c r="AK646" s="320"/>
    </row>
    <row r="647" spans="28:37" hidden="1">
      <c r="AB647" s="66"/>
      <c r="AC647" s="76"/>
      <c r="AD647" s="321"/>
      <c r="AH647" s="322"/>
      <c r="AI647" s="26"/>
      <c r="AJ647" s="319"/>
      <c r="AK647" s="320"/>
    </row>
    <row r="648" spans="28:37" hidden="1">
      <c r="AB648" s="66"/>
      <c r="AC648" s="76"/>
      <c r="AD648" s="321"/>
      <c r="AH648" s="322"/>
      <c r="AI648" s="26"/>
      <c r="AJ648" s="319"/>
      <c r="AK648" s="320"/>
    </row>
    <row r="649" spans="28:37" hidden="1">
      <c r="AB649" s="66"/>
      <c r="AC649" s="76"/>
      <c r="AD649" s="321"/>
      <c r="AH649" s="322"/>
      <c r="AI649" s="26"/>
      <c r="AJ649" s="319"/>
      <c r="AK649" s="320"/>
    </row>
    <row r="650" spans="28:37" hidden="1">
      <c r="AB650" s="66"/>
      <c r="AC650" s="76"/>
      <c r="AD650" s="321"/>
      <c r="AH650" s="322"/>
      <c r="AI650" s="26"/>
      <c r="AJ650" s="319"/>
      <c r="AK650" s="320"/>
    </row>
    <row r="651" spans="28:37" hidden="1">
      <c r="AB651" s="66"/>
      <c r="AC651" s="76"/>
      <c r="AD651" s="321"/>
      <c r="AH651" s="322"/>
      <c r="AI651" s="26"/>
      <c r="AJ651" s="319"/>
      <c r="AK651" s="320"/>
    </row>
    <row r="652" spans="28:37" hidden="1">
      <c r="AB652" s="66"/>
      <c r="AC652" s="76"/>
      <c r="AD652" s="321"/>
      <c r="AH652" s="322"/>
      <c r="AI652" s="26"/>
      <c r="AJ652" s="319"/>
      <c r="AK652" s="320"/>
    </row>
    <row r="653" spans="28:37" hidden="1">
      <c r="AB653" s="66"/>
      <c r="AC653" s="76"/>
      <c r="AD653" s="321"/>
      <c r="AH653" s="322"/>
      <c r="AI653" s="26"/>
      <c r="AJ653" s="319"/>
      <c r="AK653" s="320"/>
    </row>
    <row r="654" spans="28:37" hidden="1">
      <c r="AB654" s="66"/>
      <c r="AC654" s="76"/>
      <c r="AD654" s="321"/>
      <c r="AH654" s="322"/>
      <c r="AI654" s="26"/>
      <c r="AJ654" s="319"/>
      <c r="AK654" s="320"/>
    </row>
    <row r="655" spans="28:37" hidden="1">
      <c r="AB655" s="66"/>
      <c r="AC655" s="76"/>
      <c r="AD655" s="321"/>
      <c r="AH655" s="322"/>
      <c r="AI655" s="26"/>
      <c r="AJ655" s="319"/>
      <c r="AK655" s="320"/>
    </row>
    <row r="656" spans="28:37" hidden="1">
      <c r="AB656" s="66"/>
      <c r="AC656" s="76"/>
      <c r="AD656" s="321"/>
      <c r="AH656" s="322"/>
      <c r="AI656" s="26"/>
      <c r="AJ656" s="319"/>
      <c r="AK656" s="320"/>
    </row>
    <row r="657" spans="28:37" hidden="1">
      <c r="AB657" s="66"/>
      <c r="AC657" s="76"/>
      <c r="AD657" s="321"/>
      <c r="AH657" s="322"/>
      <c r="AI657" s="26"/>
      <c r="AJ657" s="319"/>
      <c r="AK657" s="320"/>
    </row>
    <row r="658" spans="28:37" hidden="1">
      <c r="AB658" s="66"/>
      <c r="AC658" s="76"/>
      <c r="AD658" s="321"/>
      <c r="AH658" s="322"/>
      <c r="AI658" s="26"/>
      <c r="AJ658" s="319"/>
      <c r="AK658" s="320"/>
    </row>
    <row r="659" spans="28:37" hidden="1">
      <c r="AB659" s="66"/>
      <c r="AC659" s="76"/>
      <c r="AD659" s="321"/>
      <c r="AH659" s="322"/>
      <c r="AI659" s="26"/>
      <c r="AJ659" s="319"/>
      <c r="AK659" s="320"/>
    </row>
    <row r="660" spans="28:37" hidden="1">
      <c r="AB660" s="66"/>
      <c r="AC660" s="76"/>
      <c r="AD660" s="321"/>
      <c r="AH660" s="322"/>
      <c r="AI660" s="26"/>
      <c r="AJ660" s="319"/>
      <c r="AK660" s="320"/>
    </row>
    <row r="661" spans="28:37" hidden="1">
      <c r="AB661" s="66"/>
      <c r="AC661" s="76"/>
      <c r="AD661" s="321"/>
      <c r="AH661" s="322"/>
      <c r="AI661" s="26"/>
      <c r="AJ661" s="319"/>
      <c r="AK661" s="320"/>
    </row>
    <row r="662" spans="28:37" hidden="1">
      <c r="AB662" s="66"/>
      <c r="AC662" s="76"/>
      <c r="AD662" s="321"/>
      <c r="AG662" s="323"/>
      <c r="AJ662" s="319"/>
      <c r="AK662" s="320"/>
    </row>
    <row r="663" spans="28:37" hidden="1">
      <c r="AB663" s="66"/>
      <c r="AC663" s="76"/>
      <c r="AD663" s="321"/>
      <c r="AG663" s="323"/>
      <c r="AJ663" s="319"/>
      <c r="AK663" s="320"/>
    </row>
    <row r="664" spans="28:37" hidden="1">
      <c r="AB664" s="66"/>
      <c r="AC664" s="76"/>
      <c r="AD664" s="321"/>
      <c r="AG664" s="323"/>
      <c r="AJ664" s="319"/>
      <c r="AK664" s="320"/>
    </row>
    <row r="665" spans="28:37" hidden="1">
      <c r="AB665" s="66"/>
      <c r="AC665" s="76"/>
      <c r="AD665" s="321"/>
      <c r="AG665" s="323"/>
      <c r="AJ665" s="319"/>
      <c r="AK665" s="320"/>
    </row>
    <row r="666" spans="28:37" hidden="1">
      <c r="AB666" s="66"/>
      <c r="AC666" s="76"/>
      <c r="AD666" s="321"/>
      <c r="AJ666" s="319"/>
      <c r="AK666" s="320"/>
    </row>
    <row r="667" spans="28:37" hidden="1">
      <c r="AB667" s="66"/>
      <c r="AC667" s="76"/>
      <c r="AD667" s="321"/>
      <c r="AJ667" s="319"/>
      <c r="AK667" s="320"/>
    </row>
    <row r="668" spans="28:37" hidden="1">
      <c r="AB668" s="66"/>
      <c r="AC668" s="76"/>
      <c r="AD668" s="321"/>
      <c r="AJ668" s="319"/>
      <c r="AK668" s="320"/>
    </row>
    <row r="669" spans="28:37" hidden="1">
      <c r="AB669" s="66"/>
      <c r="AC669" s="76"/>
      <c r="AD669" s="321"/>
      <c r="AJ669" s="319"/>
      <c r="AK669" s="320"/>
    </row>
    <row r="670" spans="28:37" hidden="1">
      <c r="AB670" s="66"/>
      <c r="AC670" s="76"/>
      <c r="AD670" s="321"/>
      <c r="AJ670" s="319"/>
      <c r="AK670" s="320"/>
    </row>
    <row r="671" spans="28:37" hidden="1">
      <c r="AB671" s="66"/>
      <c r="AC671" s="76"/>
      <c r="AD671" s="321"/>
      <c r="AJ671" s="319"/>
      <c r="AK671" s="320"/>
    </row>
    <row r="672" spans="28:37" hidden="1">
      <c r="AB672" s="66"/>
      <c r="AC672" s="76"/>
      <c r="AD672" s="321"/>
      <c r="AJ672" s="319"/>
      <c r="AK672" s="320"/>
    </row>
    <row r="673" spans="28:37" hidden="1">
      <c r="AB673" s="66"/>
      <c r="AC673" s="76"/>
      <c r="AD673" s="321"/>
      <c r="AJ673" s="319"/>
      <c r="AK673" s="320"/>
    </row>
    <row r="674" spans="28:37" hidden="1">
      <c r="AB674" s="66"/>
      <c r="AC674" s="76"/>
      <c r="AD674" s="321"/>
      <c r="AJ674" s="319"/>
      <c r="AK674" s="320"/>
    </row>
    <row r="675" spans="28:37" hidden="1">
      <c r="AB675" s="66"/>
      <c r="AC675" s="76"/>
      <c r="AD675" s="321"/>
      <c r="AJ675" s="319"/>
      <c r="AK675" s="320"/>
    </row>
    <row r="676" spans="28:37" hidden="1">
      <c r="AB676" s="66"/>
      <c r="AC676" s="76"/>
      <c r="AD676" s="321"/>
      <c r="AJ676" s="319"/>
      <c r="AK676" s="320"/>
    </row>
    <row r="677" spans="28:37" hidden="1">
      <c r="AB677" s="66"/>
      <c r="AC677" s="76"/>
      <c r="AD677" s="321"/>
      <c r="AJ677" s="319"/>
      <c r="AK677" s="320"/>
    </row>
    <row r="678" spans="28:37" hidden="1">
      <c r="AB678" s="66"/>
      <c r="AC678" s="76"/>
      <c r="AD678" s="321"/>
      <c r="AJ678" s="319"/>
      <c r="AK678" s="320"/>
    </row>
    <row r="679" spans="28:37" hidden="1">
      <c r="AB679" s="66"/>
      <c r="AC679" s="76"/>
      <c r="AD679" s="321"/>
      <c r="AJ679" s="319"/>
      <c r="AK679" s="320"/>
    </row>
    <row r="680" spans="28:37" hidden="1">
      <c r="AB680" s="66"/>
      <c r="AC680" s="76"/>
      <c r="AD680" s="321"/>
      <c r="AJ680" s="319"/>
      <c r="AK680" s="320"/>
    </row>
    <row r="681" spans="28:37" hidden="1">
      <c r="AB681" s="66"/>
      <c r="AC681" s="76"/>
      <c r="AD681" s="321"/>
      <c r="AJ681" s="319"/>
      <c r="AK681" s="320"/>
    </row>
    <row r="682" spans="28:37" hidden="1">
      <c r="AB682" s="66"/>
      <c r="AC682" s="76"/>
      <c r="AD682" s="321"/>
      <c r="AJ682" s="319"/>
      <c r="AK682" s="320"/>
    </row>
    <row r="683" spans="28:37" hidden="1">
      <c r="AB683" s="66"/>
      <c r="AC683" s="76"/>
      <c r="AD683" s="321"/>
    </row>
    <row r="684" spans="28:37" hidden="1">
      <c r="AB684" s="66"/>
      <c r="AC684" s="76"/>
      <c r="AD684" s="321"/>
    </row>
    <row r="685" spans="28:37" hidden="1">
      <c r="AB685" s="66"/>
      <c r="AC685" s="76"/>
      <c r="AD685" s="321"/>
    </row>
    <row r="686" spans="28:37" hidden="1">
      <c r="AB686" s="66"/>
      <c r="AC686" s="76"/>
      <c r="AD686" s="321"/>
    </row>
    <row r="687" spans="28:37" hidden="1">
      <c r="AB687" s="66"/>
      <c r="AC687" s="76"/>
      <c r="AD687" s="321"/>
    </row>
    <row r="688" spans="28:37" hidden="1">
      <c r="AB688" s="66"/>
      <c r="AC688" s="76"/>
      <c r="AD688" s="321"/>
    </row>
    <row r="689" spans="1:30" hidden="1">
      <c r="AB689" s="66"/>
      <c r="AC689" s="76"/>
      <c r="AD689" s="321"/>
    </row>
    <row r="690" spans="1:30" hidden="1">
      <c r="AB690" s="66"/>
      <c r="AC690" s="76"/>
      <c r="AD690" s="321"/>
    </row>
    <row r="691" spans="1:30" hidden="1">
      <c r="AB691" s="66"/>
      <c r="AC691" s="76"/>
      <c r="AD691" s="321"/>
    </row>
    <row r="692" spans="1:30" hidden="1">
      <c r="AB692" s="66"/>
      <c r="AC692" s="76"/>
      <c r="AD692" s="321"/>
    </row>
    <row r="693" spans="1:30" hidden="1">
      <c r="AB693" s="66"/>
      <c r="AC693" s="76"/>
      <c r="AD693" s="321"/>
    </row>
    <row r="694" spans="1:30" hidden="1">
      <c r="AB694" s="66"/>
      <c r="AC694" s="76"/>
      <c r="AD694" s="321"/>
    </row>
    <row r="695" spans="1:30" hidden="1">
      <c r="AB695" s="66"/>
      <c r="AC695" s="76"/>
      <c r="AD695" s="321"/>
    </row>
    <row r="696" spans="1:30" hidden="1">
      <c r="A696" s="66"/>
      <c r="B696" s="67"/>
      <c r="C696" s="68"/>
      <c r="AB696" s="66"/>
      <c r="AC696" s="76"/>
      <c r="AD696" s="321"/>
    </row>
    <row r="697" spans="1:30" hidden="1">
      <c r="A697" s="66"/>
      <c r="B697" s="67"/>
      <c r="C697" s="68"/>
      <c r="AB697" s="66"/>
      <c r="AC697" s="76"/>
      <c r="AD697" s="321"/>
    </row>
    <row r="698" spans="1:30" hidden="1">
      <c r="A698" s="66"/>
      <c r="B698" s="67"/>
      <c r="C698" s="68"/>
      <c r="AB698" s="66"/>
      <c r="AC698" s="76"/>
      <c r="AD698" s="321"/>
    </row>
    <row r="699" spans="1:30" hidden="1">
      <c r="A699" s="66"/>
      <c r="B699" s="67"/>
      <c r="C699" s="68"/>
      <c r="AB699" s="66"/>
      <c r="AC699" s="76"/>
      <c r="AD699" s="321"/>
    </row>
    <row r="700" spans="1:30" hidden="1">
      <c r="A700" s="66"/>
      <c r="B700" s="67"/>
      <c r="C700" s="68"/>
      <c r="AB700" s="66"/>
      <c r="AC700" s="76"/>
      <c r="AD700" s="321"/>
    </row>
    <row r="701" spans="1:30" hidden="1">
      <c r="A701" s="66"/>
      <c r="B701" s="67"/>
      <c r="C701" s="68"/>
      <c r="AB701" s="66"/>
      <c r="AC701" s="76"/>
      <c r="AD701" s="321"/>
    </row>
    <row r="702" spans="1:30" hidden="1">
      <c r="A702" s="66"/>
      <c r="B702" s="67"/>
      <c r="C702" s="68"/>
      <c r="AB702" s="66"/>
      <c r="AC702" s="76"/>
      <c r="AD702" s="321"/>
    </row>
    <row r="703" spans="1:30" hidden="1">
      <c r="A703" s="66"/>
      <c r="B703" s="67"/>
      <c r="C703" s="68"/>
      <c r="AB703" s="66"/>
      <c r="AC703" s="76"/>
      <c r="AD703" s="321"/>
    </row>
    <row r="704" spans="1:30" hidden="1">
      <c r="A704" s="66"/>
      <c r="B704" s="67"/>
      <c r="C704" s="68"/>
      <c r="AB704" s="66"/>
      <c r="AC704" s="76"/>
      <c r="AD704" s="321"/>
    </row>
    <row r="705" spans="28:30" hidden="1">
      <c r="AB705" s="66"/>
      <c r="AC705" s="76"/>
      <c r="AD705" s="321"/>
    </row>
    <row r="706" spans="28:30" hidden="1">
      <c r="AB706" s="66"/>
      <c r="AC706" s="76"/>
      <c r="AD706" s="321"/>
    </row>
    <row r="707" spans="28:30" hidden="1">
      <c r="AB707" s="66"/>
      <c r="AC707" s="76"/>
      <c r="AD707" s="321"/>
    </row>
    <row r="708" spans="28:30" hidden="1">
      <c r="AB708" s="66"/>
      <c r="AC708" s="76"/>
      <c r="AD708" s="321"/>
    </row>
    <row r="709" spans="28:30" hidden="1">
      <c r="AB709" s="66"/>
      <c r="AC709" s="76"/>
      <c r="AD709" s="321"/>
    </row>
    <row r="710" spans="28:30" hidden="1">
      <c r="AB710" s="66"/>
      <c r="AC710" s="76"/>
      <c r="AD710" s="321"/>
    </row>
    <row r="711" spans="28:30" hidden="1">
      <c r="AB711" s="66"/>
      <c r="AC711" s="76"/>
      <c r="AD711" s="321"/>
    </row>
    <row r="712" spans="28:30" hidden="1">
      <c r="AB712" s="66"/>
      <c r="AC712" s="76"/>
      <c r="AD712" s="321"/>
    </row>
    <row r="713" spans="28:30" hidden="1">
      <c r="AB713" s="66"/>
      <c r="AC713" s="76"/>
      <c r="AD713" s="321"/>
    </row>
    <row r="714" spans="28:30" hidden="1">
      <c r="AB714" s="66"/>
      <c r="AC714" s="76"/>
      <c r="AD714" s="321"/>
    </row>
    <row r="715" spans="28:30" hidden="1">
      <c r="AB715" s="77"/>
      <c r="AC715" s="78"/>
      <c r="AD715" s="321"/>
    </row>
    <row r="716" spans="28:30" hidden="1">
      <c r="AB716" s="66"/>
      <c r="AC716" s="7"/>
    </row>
    <row r="717" spans="28:30" hidden="1">
      <c r="AB717" s="66"/>
      <c r="AC717" s="7"/>
    </row>
    <row r="718" spans="28:30" hidden="1">
      <c r="AB718" s="66"/>
      <c r="AC718" s="67"/>
      <c r="AD718" s="321"/>
    </row>
    <row r="719" spans="28:30" hidden="1">
      <c r="AB719" s="66"/>
      <c r="AC719" s="67"/>
      <c r="AD719" s="321"/>
    </row>
    <row r="720" spans="28:30" hidden="1">
      <c r="AB720" s="66"/>
      <c r="AC720" s="67"/>
      <c r="AD720" s="321"/>
    </row>
    <row r="721" spans="28:30" hidden="1">
      <c r="AB721" s="66"/>
      <c r="AC721" s="67"/>
      <c r="AD721" s="321"/>
    </row>
    <row r="722" spans="28:30" hidden="1">
      <c r="AB722" s="66"/>
      <c r="AC722" s="67"/>
      <c r="AD722" s="321"/>
    </row>
    <row r="723" spans="28:30" hidden="1">
      <c r="AB723" s="66"/>
      <c r="AC723" s="67"/>
      <c r="AD723" s="321"/>
    </row>
    <row r="724" spans="28:30" hidden="1">
      <c r="AB724" s="66"/>
      <c r="AC724" s="7"/>
    </row>
    <row r="725" spans="28:30" hidden="1">
      <c r="AB725" s="66"/>
      <c r="AC725" s="7"/>
    </row>
    <row r="726" spans="28:30" hidden="1">
      <c r="AB726" s="66"/>
      <c r="AC726" s="7"/>
    </row>
    <row r="727" spans="28:30" hidden="1">
      <c r="AB727" s="66"/>
      <c r="AC727" s="7"/>
    </row>
    <row r="728" spans="28:30" hidden="1">
      <c r="AB728" s="66"/>
      <c r="AC728" s="7"/>
    </row>
    <row r="729" spans="28:30" hidden="1">
      <c r="AB729" s="66"/>
      <c r="AC729" s="7"/>
    </row>
  </sheetData>
  <sheetProtection algorithmName="SHA-512" hashValue="hiU6mA7oJmmTfZL3Dg40JEEOMLouCNjUHOjGPvkiN7cFhqDq6T0G0V7L/2JrgWufLskjrr288IW6tDuzvlIaFQ==" saltValue="MyaZR8rLZVGxXU2CQTfrWQ==" spinCount="100000" sheet="1" objects="1" scenarios="1" formatRows="0"/>
  <protectedRanges>
    <protectedRange algorithmName="SHA-512" hashValue="LYhmPv7RUYG4FTTdHJVHDbsEMDZhHX6OMLZVuySySie84qNEJH+uHoFyFjPgSoW4m/MjgqTBaAqp74PD5G5KFw==" saltValue="3pUzvD4y+DnmrUZjQ7olFw==" spinCount="100000" sqref="U577:U581" name="ODCtbd" securityDescriptor="O:WDG:WDD:(A;;CC;;;S-1-5-21-73586283-861567501-682003330-63781)(A;;CC;;;S-1-5-21-73586283-861567501-682003330-55762)(A;;CC;;;S-1-5-21-73586283-861567501-682003330-98915)(A;;CC;;;S-1-5-21-73586283-861567501-682003330-59718)(A;;CC;;;S-1-5-21-73586283-861567501-682003330-30141)(A;;CC;;;S-1-5-21-73586283-861567501-682003330-62434)"/>
    <protectedRange algorithmName="SHA-512" hashValue="DyLj0d3teWrf+sfMuNJ7x2cEQOmbK+1KM+KCa8hiJxcmE8/BrSKxKBxyV5gxPMvjIh3VkXGGuYgSbbzNvrEEVg==" saltValue="o5cWTFGvwVSp04hBoUKzGw==" spinCount="100000" sqref="U516:U550" name="BANtbd" securityDescriptor="O:WDG:WDD:(A;;CC;;;S-1-5-21-73586283-861567501-682003330-63781)(A;;CC;;;S-1-5-21-73586283-861567501-682003330-55762)(A;;CC;;;S-1-5-21-73586283-861567501-682003330-98915)(A;;CC;;;S-1-5-21-73586283-861567501-682003330-59718)(A;;CC;;;S-1-5-21-73586283-861567501-682003330-30141)(A;;CC;;;S-1-5-21-73586283-861567501-682003330-62434)"/>
    <protectedRange algorithmName="SHA-512" hashValue="N4IKno04orohYp6URAcasFOWUOz5hbrQY1BE/gWXyQGbTXAmfeAjv1w7amyFccQLCqcNRYk79ajdccpLp55ahw==" saltValue="XIx105vbQ0Fpg+C0f7UItg==" spinCount="100000" sqref="U93:U142 U158:U207 U298:U317 U320:U359" name="HWtbd" securityDescriptor="O:WDG:WDD:(A;;CC;;;S-1-5-21-73586283-861567501-682003330-63781)(A;;CC;;;S-1-5-21-73586283-861567501-682003330-55762)(A;;CC;;;S-1-5-21-73586283-861567501-682003330-98915)(A;;CC;;;S-1-5-21-73586283-861567501-682003330-59718)(A;;CC;;;S-1-5-21-73586283-861567501-682003330-30141)(A;;CC;;;S-1-5-21-73586283-861567501-682003330-62434)"/>
  </protectedRanges>
  <mergeCells count="1386">
    <mergeCell ref="Q559:S559"/>
    <mergeCell ref="Q560:S560"/>
    <mergeCell ref="J552:M552"/>
    <mergeCell ref="C555:F555"/>
    <mergeCell ref="C539:O539"/>
    <mergeCell ref="C540:O540"/>
    <mergeCell ref="C448:O448"/>
    <mergeCell ref="G573:P573"/>
    <mergeCell ref="C556:F556"/>
    <mergeCell ref="C557:F557"/>
    <mergeCell ref="C558:F558"/>
    <mergeCell ref="C559:F559"/>
    <mergeCell ref="C560:F560"/>
    <mergeCell ref="C561:F561"/>
    <mergeCell ref="C562:F562"/>
    <mergeCell ref="C563:F563"/>
    <mergeCell ref="C564:F564"/>
    <mergeCell ref="C565:F565"/>
    <mergeCell ref="C566:F566"/>
    <mergeCell ref="C567:F567"/>
    <mergeCell ref="C568:F568"/>
    <mergeCell ref="C550:O550"/>
    <mergeCell ref="C528:O528"/>
    <mergeCell ref="C529:O529"/>
    <mergeCell ref="P528:S528"/>
    <mergeCell ref="P529:S529"/>
    <mergeCell ref="P550:S550"/>
    <mergeCell ref="P549:S549"/>
    <mergeCell ref="C542:O542"/>
    <mergeCell ref="C543:O543"/>
    <mergeCell ref="Q573:S573"/>
    <mergeCell ref="Q556:S556"/>
    <mergeCell ref="Q557:S557"/>
    <mergeCell ref="Q558:S558"/>
    <mergeCell ref="C177:L177"/>
    <mergeCell ref="Q285:R285"/>
    <mergeCell ref="Q333:R333"/>
    <mergeCell ref="O317:P317"/>
    <mergeCell ref="Q317:R317"/>
    <mergeCell ref="J296:M296"/>
    <mergeCell ref="C279:M279"/>
    <mergeCell ref="Q299:R299"/>
    <mergeCell ref="Q310:R310"/>
    <mergeCell ref="M305:N305"/>
    <mergeCell ref="M306:N306"/>
    <mergeCell ref="O305:P305"/>
    <mergeCell ref="O306:P306"/>
    <mergeCell ref="O307:P307"/>
    <mergeCell ref="O355:P355"/>
    <mergeCell ref="Q355:R355"/>
    <mergeCell ref="Q356:R356"/>
    <mergeCell ref="L355:N355"/>
    <mergeCell ref="L356:N356"/>
    <mergeCell ref="L352:N352"/>
    <mergeCell ref="G555:P555"/>
    <mergeCell ref="Q555:S555"/>
    <mergeCell ref="C554:F554"/>
    <mergeCell ref="G554:P554"/>
    <mergeCell ref="Q554:S554"/>
    <mergeCell ref="C431:O431"/>
    <mergeCell ref="C432:O432"/>
    <mergeCell ref="C433:O433"/>
    <mergeCell ref="C434:O434"/>
    <mergeCell ref="C435:O435"/>
    <mergeCell ref="G562:P562"/>
    <mergeCell ref="G563:P563"/>
    <mergeCell ref="G564:P564"/>
    <mergeCell ref="G565:P565"/>
    <mergeCell ref="G566:P566"/>
    <mergeCell ref="G567:P567"/>
    <mergeCell ref="G568:P568"/>
    <mergeCell ref="G569:P569"/>
    <mergeCell ref="G570:P570"/>
    <mergeCell ref="G571:P571"/>
    <mergeCell ref="G572:P572"/>
    <mergeCell ref="C569:F569"/>
    <mergeCell ref="C570:F570"/>
    <mergeCell ref="C571:F571"/>
    <mergeCell ref="C572:F572"/>
    <mergeCell ref="Q561:S561"/>
    <mergeCell ref="Q562:S562"/>
    <mergeCell ref="Q563:S563"/>
    <mergeCell ref="Q564:S564"/>
    <mergeCell ref="Q565:S565"/>
    <mergeCell ref="Q566:S566"/>
    <mergeCell ref="Q567:S567"/>
    <mergeCell ref="Q568:S568"/>
    <mergeCell ref="Q569:S569"/>
    <mergeCell ref="Q570:S570"/>
    <mergeCell ref="Q571:S571"/>
    <mergeCell ref="Q572:S572"/>
    <mergeCell ref="C417:O417"/>
    <mergeCell ref="C427:O427"/>
    <mergeCell ref="C428:O428"/>
    <mergeCell ref="C516:O516"/>
    <mergeCell ref="P516:S516"/>
    <mergeCell ref="C500:O500"/>
    <mergeCell ref="P500:S500"/>
    <mergeCell ref="C506:O506"/>
    <mergeCell ref="C499:O499"/>
    <mergeCell ref="C494:O494"/>
    <mergeCell ref="P494:S494"/>
    <mergeCell ref="P512:S512"/>
    <mergeCell ref="C502:O502"/>
    <mergeCell ref="P502:S502"/>
    <mergeCell ref="C503:O503"/>
    <mergeCell ref="P503:S503"/>
    <mergeCell ref="C504:O504"/>
    <mergeCell ref="P448:S448"/>
    <mergeCell ref="P477:S477"/>
    <mergeCell ref="C526:O526"/>
    <mergeCell ref="C174:L174"/>
    <mergeCell ref="C175:L175"/>
    <mergeCell ref="C159:L159"/>
    <mergeCell ref="M152:R152"/>
    <mergeCell ref="C199:L199"/>
    <mergeCell ref="M205:R205"/>
    <mergeCell ref="C166:L166"/>
    <mergeCell ref="C266:M266"/>
    <mergeCell ref="O340:P340"/>
    <mergeCell ref="C398:O398"/>
    <mergeCell ref="P399:S399"/>
    <mergeCell ref="P394:S394"/>
    <mergeCell ref="C393:O393"/>
    <mergeCell ref="L359:N359"/>
    <mergeCell ref="C357:K357"/>
    <mergeCell ref="C384:O384"/>
    <mergeCell ref="C385:O385"/>
    <mergeCell ref="C386:O386"/>
    <mergeCell ref="P382:S382"/>
    <mergeCell ref="P384:S384"/>
    <mergeCell ref="C383:O383"/>
    <mergeCell ref="P385:S385"/>
    <mergeCell ref="P388:S388"/>
    <mergeCell ref="C389:O389"/>
    <mergeCell ref="P386:S386"/>
    <mergeCell ref="Q357:R357"/>
    <mergeCell ref="P372:S372"/>
    <mergeCell ref="C395:O395"/>
    <mergeCell ref="J361:M361"/>
    <mergeCell ref="C381:O381"/>
    <mergeCell ref="C436:O436"/>
    <mergeCell ref="P377:S377"/>
    <mergeCell ref="Q359:R359"/>
    <mergeCell ref="M236:R236"/>
    <mergeCell ref="M244:R244"/>
    <mergeCell ref="M223:R223"/>
    <mergeCell ref="C201:L201"/>
    <mergeCell ref="C202:L202"/>
    <mergeCell ref="C185:L185"/>
    <mergeCell ref="Q267:R267"/>
    <mergeCell ref="M190:R190"/>
    <mergeCell ref="M188:R188"/>
    <mergeCell ref="N270:P270"/>
    <mergeCell ref="Q268:R268"/>
    <mergeCell ref="C196:L196"/>
    <mergeCell ref="C198:L198"/>
    <mergeCell ref="M90:R90"/>
    <mergeCell ref="M106:R106"/>
    <mergeCell ref="M107:R107"/>
    <mergeCell ref="C155:L155"/>
    <mergeCell ref="C105:L105"/>
    <mergeCell ref="C106:L106"/>
    <mergeCell ref="C107:L107"/>
    <mergeCell ref="C108:L108"/>
    <mergeCell ref="C109:L109"/>
    <mergeCell ref="C110:L110"/>
    <mergeCell ref="M153:R153"/>
    <mergeCell ref="C152:L152"/>
    <mergeCell ref="J144:M144"/>
    <mergeCell ref="M192:R192"/>
    <mergeCell ref="M193:R193"/>
    <mergeCell ref="M194:R194"/>
    <mergeCell ref="N266:P266"/>
    <mergeCell ref="C190:L190"/>
    <mergeCell ref="M212:R212"/>
    <mergeCell ref="N269:P269"/>
    <mergeCell ref="Q271:R271"/>
    <mergeCell ref="C235:L235"/>
    <mergeCell ref="C240:L240"/>
    <mergeCell ref="M191:R191"/>
    <mergeCell ref="M240:R240"/>
    <mergeCell ref="C237:L237"/>
    <mergeCell ref="M237:R237"/>
    <mergeCell ref="C238:L238"/>
    <mergeCell ref="C160:L160"/>
    <mergeCell ref="C179:L179"/>
    <mergeCell ref="C165:L165"/>
    <mergeCell ref="C178:L178"/>
    <mergeCell ref="Q279:R279"/>
    <mergeCell ref="M186:R186"/>
    <mergeCell ref="C176:L176"/>
    <mergeCell ref="M203:R203"/>
    <mergeCell ref="M204:R204"/>
    <mergeCell ref="M195:R195"/>
    <mergeCell ref="C218:L218"/>
    <mergeCell ref="M218:R218"/>
    <mergeCell ref="C219:L219"/>
    <mergeCell ref="M219:R219"/>
    <mergeCell ref="M200:R200"/>
    <mergeCell ref="M201:R201"/>
    <mergeCell ref="M197:R197"/>
    <mergeCell ref="M198:R198"/>
    <mergeCell ref="C197:L197"/>
    <mergeCell ref="C245:L245"/>
    <mergeCell ref="M245:R245"/>
    <mergeCell ref="C225:L225"/>
    <mergeCell ref="M225:R225"/>
    <mergeCell ref="M211:R211"/>
    <mergeCell ref="C242:L242"/>
    <mergeCell ref="C158:L158"/>
    <mergeCell ref="M151:R151"/>
    <mergeCell ref="C153:L153"/>
    <mergeCell ref="M154:R154"/>
    <mergeCell ref="M163:R163"/>
    <mergeCell ref="C282:M282"/>
    <mergeCell ref="C284:M284"/>
    <mergeCell ref="C181:L181"/>
    <mergeCell ref="M180:R180"/>
    <mergeCell ref="M181:R181"/>
    <mergeCell ref="C182:L182"/>
    <mergeCell ref="C183:L183"/>
    <mergeCell ref="C184:L184"/>
    <mergeCell ref="C243:L243"/>
    <mergeCell ref="C215:L215"/>
    <mergeCell ref="M215:R215"/>
    <mergeCell ref="C216:L216"/>
    <mergeCell ref="M216:R216"/>
    <mergeCell ref="M235:R235"/>
    <mergeCell ref="M241:R241"/>
    <mergeCell ref="C226:L226"/>
    <mergeCell ref="M226:R226"/>
    <mergeCell ref="M238:R238"/>
    <mergeCell ref="Q272:R272"/>
    <mergeCell ref="N267:P267"/>
    <mergeCell ref="J209:M209"/>
    <mergeCell ref="M189:R189"/>
    <mergeCell ref="C191:L191"/>
    <mergeCell ref="C192:L192"/>
    <mergeCell ref="C269:M269"/>
    <mergeCell ref="N289:P289"/>
    <mergeCell ref="Q344:R344"/>
    <mergeCell ref="C162:L162"/>
    <mergeCell ref="Q269:R269"/>
    <mergeCell ref="Q284:R284"/>
    <mergeCell ref="C212:L212"/>
    <mergeCell ref="C169:L169"/>
    <mergeCell ref="C170:L170"/>
    <mergeCell ref="C171:L171"/>
    <mergeCell ref="C172:L172"/>
    <mergeCell ref="C173:L173"/>
    <mergeCell ref="M199:R199"/>
    <mergeCell ref="C193:L193"/>
    <mergeCell ref="C164:L164"/>
    <mergeCell ref="C214:L214"/>
    <mergeCell ref="N280:P280"/>
    <mergeCell ref="M187:R187"/>
    <mergeCell ref="C280:M280"/>
    <mergeCell ref="C194:L194"/>
    <mergeCell ref="C195:L195"/>
    <mergeCell ref="M207:R207"/>
    <mergeCell ref="M202:R202"/>
    <mergeCell ref="M169:R169"/>
    <mergeCell ref="M170:R170"/>
    <mergeCell ref="M171:R171"/>
    <mergeCell ref="C189:L189"/>
    <mergeCell ref="C200:L200"/>
    <mergeCell ref="M234:R234"/>
    <mergeCell ref="C248:L248"/>
    <mergeCell ref="M248:R248"/>
    <mergeCell ref="C211:L211"/>
    <mergeCell ref="C260:L260"/>
    <mergeCell ref="Q283:R283"/>
    <mergeCell ref="Q342:R342"/>
    <mergeCell ref="C267:M267"/>
    <mergeCell ref="C239:L239"/>
    <mergeCell ref="J262:M262"/>
    <mergeCell ref="Q275:R275"/>
    <mergeCell ref="N278:P278"/>
    <mergeCell ref="Q273:R273"/>
    <mergeCell ref="N273:P273"/>
    <mergeCell ref="L339:N339"/>
    <mergeCell ref="L340:N340"/>
    <mergeCell ref="N268:P268"/>
    <mergeCell ref="Q298:R298"/>
    <mergeCell ref="Q349:R349"/>
    <mergeCell ref="L324:N324"/>
    <mergeCell ref="L331:N331"/>
    <mergeCell ref="O327:P327"/>
    <mergeCell ref="O325:P325"/>
    <mergeCell ref="Q326:R326"/>
    <mergeCell ref="Q270:R270"/>
    <mergeCell ref="N271:P271"/>
    <mergeCell ref="Q287:R287"/>
    <mergeCell ref="C290:M290"/>
    <mergeCell ref="M242:R242"/>
    <mergeCell ref="Q266:R266"/>
    <mergeCell ref="C241:L241"/>
    <mergeCell ref="Q278:R278"/>
    <mergeCell ref="C277:M277"/>
    <mergeCell ref="Q277:R277"/>
    <mergeCell ref="C278:M278"/>
    <mergeCell ref="Q280:R280"/>
    <mergeCell ref="Q281:R281"/>
    <mergeCell ref="C330:K330"/>
    <mergeCell ref="L343:N343"/>
    <mergeCell ref="C236:L236"/>
    <mergeCell ref="Q295:R295"/>
    <mergeCell ref="O298:P298"/>
    <mergeCell ref="J312:L312"/>
    <mergeCell ref="M303:N303"/>
    <mergeCell ref="J303:L303"/>
    <mergeCell ref="C300:I300"/>
    <mergeCell ref="C306:I306"/>
    <mergeCell ref="C301:I301"/>
    <mergeCell ref="Q345:R345"/>
    <mergeCell ref="Q346:R346"/>
    <mergeCell ref="Q347:R347"/>
    <mergeCell ref="L333:N333"/>
    <mergeCell ref="C332:K332"/>
    <mergeCell ref="O341:P341"/>
    <mergeCell ref="Q338:R338"/>
    <mergeCell ref="C335:K335"/>
    <mergeCell ref="O337:P337"/>
    <mergeCell ref="C334:K334"/>
    <mergeCell ref="C323:K323"/>
    <mergeCell ref="J307:L307"/>
    <mergeCell ref="J310:L310"/>
    <mergeCell ref="J311:L311"/>
    <mergeCell ref="J309:L309"/>
    <mergeCell ref="C343:K343"/>
    <mergeCell ref="C344:K344"/>
    <mergeCell ref="C345:K345"/>
    <mergeCell ref="C346:K346"/>
    <mergeCell ref="Q323:R323"/>
    <mergeCell ref="O333:P333"/>
    <mergeCell ref="O334:P334"/>
    <mergeCell ref="C347:K347"/>
    <mergeCell ref="Q274:R274"/>
    <mergeCell ref="Q282:R282"/>
    <mergeCell ref="N286:P286"/>
    <mergeCell ref="Q340:R340"/>
    <mergeCell ref="Q341:R341"/>
    <mergeCell ref="O338:P338"/>
    <mergeCell ref="Q343:R343"/>
    <mergeCell ref="Q311:R311"/>
    <mergeCell ref="Q304:R304"/>
    <mergeCell ref="O304:P304"/>
    <mergeCell ref="O315:P315"/>
    <mergeCell ref="O354:P354"/>
    <mergeCell ref="O352:P352"/>
    <mergeCell ref="L349:N349"/>
    <mergeCell ref="L350:N350"/>
    <mergeCell ref="L351:N351"/>
    <mergeCell ref="L320:N320"/>
    <mergeCell ref="M312:N312"/>
    <mergeCell ref="Q328:R328"/>
    <mergeCell ref="O331:P331"/>
    <mergeCell ref="L322:N322"/>
    <mergeCell ref="M316:N316"/>
    <mergeCell ref="L321:N321"/>
    <mergeCell ref="O322:P322"/>
    <mergeCell ref="O332:P332"/>
    <mergeCell ref="L334:N334"/>
    <mergeCell ref="J315:L315"/>
    <mergeCell ref="M317:N317"/>
    <mergeCell ref="Q354:R354"/>
    <mergeCell ref="C348:K348"/>
    <mergeCell ref="C349:K349"/>
    <mergeCell ref="O350:P350"/>
    <mergeCell ref="Q350:R350"/>
    <mergeCell ref="Q351:R351"/>
    <mergeCell ref="Q352:R352"/>
    <mergeCell ref="Q353:R353"/>
    <mergeCell ref="O349:P349"/>
    <mergeCell ref="O353:P353"/>
    <mergeCell ref="L337:N337"/>
    <mergeCell ref="C338:K338"/>
    <mergeCell ref="Q337:R337"/>
    <mergeCell ref="L353:N353"/>
    <mergeCell ref="L354:N354"/>
    <mergeCell ref="O344:P344"/>
    <mergeCell ref="O345:P345"/>
    <mergeCell ref="O346:P346"/>
    <mergeCell ref="O347:P347"/>
    <mergeCell ref="L344:N344"/>
    <mergeCell ref="O339:P339"/>
    <mergeCell ref="Q339:R339"/>
    <mergeCell ref="L338:N338"/>
    <mergeCell ref="O342:P342"/>
    <mergeCell ref="L341:N341"/>
    <mergeCell ref="L342:N342"/>
    <mergeCell ref="Q322:R322"/>
    <mergeCell ref="Q348:R348"/>
    <mergeCell ref="Q315:R315"/>
    <mergeCell ref="O313:P313"/>
    <mergeCell ref="Q316:R316"/>
    <mergeCell ref="C307:I307"/>
    <mergeCell ref="C308:I308"/>
    <mergeCell ref="C309:I309"/>
    <mergeCell ref="Q314:R314"/>
    <mergeCell ref="C304:I304"/>
    <mergeCell ref="M309:N309"/>
    <mergeCell ref="M310:N310"/>
    <mergeCell ref="M311:N311"/>
    <mergeCell ref="Q305:R305"/>
    <mergeCell ref="Q327:R327"/>
    <mergeCell ref="Q321:R321"/>
    <mergeCell ref="Q320:R320"/>
    <mergeCell ref="C320:K320"/>
    <mergeCell ref="C341:K341"/>
    <mergeCell ref="C342:K342"/>
    <mergeCell ref="Q336:R336"/>
    <mergeCell ref="Q331:R331"/>
    <mergeCell ref="O336:P336"/>
    <mergeCell ref="L336:N336"/>
    <mergeCell ref="Q334:R334"/>
    <mergeCell ref="Q335:R335"/>
    <mergeCell ref="Q325:R325"/>
    <mergeCell ref="O329:P329"/>
    <mergeCell ref="Q324:R324"/>
    <mergeCell ref="O330:P330"/>
    <mergeCell ref="O348:P348"/>
    <mergeCell ref="O343:P343"/>
    <mergeCell ref="M315:N315"/>
    <mergeCell ref="C313:I313"/>
    <mergeCell ref="C312:I312"/>
    <mergeCell ref="M300:N300"/>
    <mergeCell ref="J300:L300"/>
    <mergeCell ref="M301:N301"/>
    <mergeCell ref="M302:N302"/>
    <mergeCell ref="O300:P300"/>
    <mergeCell ref="O308:P308"/>
    <mergeCell ref="C331:K331"/>
    <mergeCell ref="C325:K325"/>
    <mergeCell ref="C303:I303"/>
    <mergeCell ref="O312:P312"/>
    <mergeCell ref="O311:P311"/>
    <mergeCell ref="J317:L317"/>
    <mergeCell ref="C315:I315"/>
    <mergeCell ref="C316:I316"/>
    <mergeCell ref="O316:P316"/>
    <mergeCell ref="J316:L316"/>
    <mergeCell ref="L325:N325"/>
    <mergeCell ref="L326:N326"/>
    <mergeCell ref="O326:P326"/>
    <mergeCell ref="L327:N327"/>
    <mergeCell ref="C321:K321"/>
    <mergeCell ref="C322:K322"/>
    <mergeCell ref="O324:P324"/>
    <mergeCell ref="L323:N323"/>
    <mergeCell ref="O328:P328"/>
    <mergeCell ref="C329:K329"/>
    <mergeCell ref="O321:P321"/>
    <mergeCell ref="O323:P323"/>
    <mergeCell ref="Q308:R308"/>
    <mergeCell ref="Q309:R309"/>
    <mergeCell ref="M314:N314"/>
    <mergeCell ref="J313:L313"/>
    <mergeCell ref="J314:L314"/>
    <mergeCell ref="O309:P309"/>
    <mergeCell ref="Q306:R306"/>
    <mergeCell ref="Q302:R302"/>
    <mergeCell ref="Q301:R301"/>
    <mergeCell ref="J298:L298"/>
    <mergeCell ref="C298:I298"/>
    <mergeCell ref="J301:L301"/>
    <mergeCell ref="J302:L302"/>
    <mergeCell ref="C311:I311"/>
    <mergeCell ref="M308:N308"/>
    <mergeCell ref="O301:P301"/>
    <mergeCell ref="J299:L299"/>
    <mergeCell ref="O299:P299"/>
    <mergeCell ref="C314:I314"/>
    <mergeCell ref="M313:N313"/>
    <mergeCell ref="J306:L306"/>
    <mergeCell ref="C299:I299"/>
    <mergeCell ref="C305:I305"/>
    <mergeCell ref="M299:N299"/>
    <mergeCell ref="O302:P302"/>
    <mergeCell ref="M307:N307"/>
    <mergeCell ref="J305:L305"/>
    <mergeCell ref="C180:L180"/>
    <mergeCell ref="C207:L207"/>
    <mergeCell ref="M156:R156"/>
    <mergeCell ref="M158:R158"/>
    <mergeCell ref="M159:R159"/>
    <mergeCell ref="M160:R160"/>
    <mergeCell ref="M161:R161"/>
    <mergeCell ref="C163:L163"/>
    <mergeCell ref="C186:L186"/>
    <mergeCell ref="C223:L223"/>
    <mergeCell ref="Q292:R292"/>
    <mergeCell ref="C205:L205"/>
    <mergeCell ref="N277:P277"/>
    <mergeCell ref="J318:M318"/>
    <mergeCell ref="Q313:R313"/>
    <mergeCell ref="C291:M291"/>
    <mergeCell ref="N288:P288"/>
    <mergeCell ref="N292:P292"/>
    <mergeCell ref="C288:M288"/>
    <mergeCell ref="N295:P295"/>
    <mergeCell ref="Q312:R312"/>
    <mergeCell ref="Q303:R303"/>
    <mergeCell ref="J304:L304"/>
    <mergeCell ref="J308:L308"/>
    <mergeCell ref="C310:I310"/>
    <mergeCell ref="O310:P310"/>
    <mergeCell ref="O314:P314"/>
    <mergeCell ref="M304:N304"/>
    <mergeCell ref="C317:I317"/>
    <mergeCell ref="O303:P303"/>
    <mergeCell ref="Q300:R300"/>
    <mergeCell ref="Q307:R307"/>
    <mergeCell ref="J74:M74"/>
    <mergeCell ref="C101:L101"/>
    <mergeCell ref="C115:L115"/>
    <mergeCell ref="C116:L116"/>
    <mergeCell ref="C111:L111"/>
    <mergeCell ref="C112:L112"/>
    <mergeCell ref="C113:L113"/>
    <mergeCell ref="C114:L114"/>
    <mergeCell ref="M108:R108"/>
    <mergeCell ref="M109:R109"/>
    <mergeCell ref="M110:R110"/>
    <mergeCell ref="M111:R111"/>
    <mergeCell ref="M112:R112"/>
    <mergeCell ref="M148:R148"/>
    <mergeCell ref="M149:R149"/>
    <mergeCell ref="M150:R150"/>
    <mergeCell ref="M155:R155"/>
    <mergeCell ref="M142:R142"/>
    <mergeCell ref="C147:L147"/>
    <mergeCell ref="M147:R147"/>
    <mergeCell ref="C142:L142"/>
    <mergeCell ref="C154:L154"/>
    <mergeCell ref="C150:L150"/>
    <mergeCell ref="C151:L151"/>
    <mergeCell ref="M80:R80"/>
    <mergeCell ref="M91:R91"/>
    <mergeCell ref="M96:R96"/>
    <mergeCell ref="M97:R97"/>
    <mergeCell ref="M98:R98"/>
    <mergeCell ref="M100:R100"/>
    <mergeCell ref="M102:R102"/>
    <mergeCell ref="C119:L119"/>
    <mergeCell ref="C98:L98"/>
    <mergeCell ref="C99:L99"/>
    <mergeCell ref="C100:L100"/>
    <mergeCell ref="N284:P284"/>
    <mergeCell ref="C366:O366"/>
    <mergeCell ref="P366:S366"/>
    <mergeCell ref="C295:M295"/>
    <mergeCell ref="N290:P290"/>
    <mergeCell ref="N291:P291"/>
    <mergeCell ref="N293:P293"/>
    <mergeCell ref="N287:P287"/>
    <mergeCell ref="C287:M287"/>
    <mergeCell ref="C285:M285"/>
    <mergeCell ref="N285:P285"/>
    <mergeCell ref="C281:M281"/>
    <mergeCell ref="C289:M289"/>
    <mergeCell ref="Q288:R288"/>
    <mergeCell ref="M135:R135"/>
    <mergeCell ref="M136:R136"/>
    <mergeCell ref="M140:R140"/>
    <mergeCell ref="M138:R138"/>
    <mergeCell ref="M139:R139"/>
    <mergeCell ref="M119:R119"/>
    <mergeCell ref="C283:M283"/>
    <mergeCell ref="C286:M286"/>
    <mergeCell ref="N281:P281"/>
    <mergeCell ref="N282:P282"/>
    <mergeCell ref="Q276:R276"/>
    <mergeCell ref="Q293:R293"/>
    <mergeCell ref="Q289:R289"/>
    <mergeCell ref="Q294:R294"/>
    <mergeCell ref="Q290:R290"/>
    <mergeCell ref="C96:L96"/>
    <mergeCell ref="C85:L85"/>
    <mergeCell ref="C86:L86"/>
    <mergeCell ref="C87:L87"/>
    <mergeCell ref="M137:R137"/>
    <mergeCell ref="M126:R126"/>
    <mergeCell ref="M127:R127"/>
    <mergeCell ref="M128:R128"/>
    <mergeCell ref="M129:R129"/>
    <mergeCell ref="M130:R130"/>
    <mergeCell ref="M131:R131"/>
    <mergeCell ref="M132:R132"/>
    <mergeCell ref="C125:L125"/>
    <mergeCell ref="C126:L126"/>
    <mergeCell ref="M99:R99"/>
    <mergeCell ref="C88:L88"/>
    <mergeCell ref="M85:R85"/>
    <mergeCell ref="M134:R134"/>
    <mergeCell ref="C120:L120"/>
    <mergeCell ref="C121:L121"/>
    <mergeCell ref="C122:L122"/>
    <mergeCell ref="C123:L123"/>
    <mergeCell ref="C124:L124"/>
    <mergeCell ref="C95:L95"/>
    <mergeCell ref="C97:L97"/>
    <mergeCell ref="M95:R95"/>
    <mergeCell ref="M94:R94"/>
    <mergeCell ref="M93:R93"/>
    <mergeCell ref="C94:L94"/>
    <mergeCell ref="M87:R87"/>
    <mergeCell ref="M88:R88"/>
    <mergeCell ref="M89:R89"/>
    <mergeCell ref="C148:L148"/>
    <mergeCell ref="C149:L149"/>
    <mergeCell ref="N274:P274"/>
    <mergeCell ref="C268:M268"/>
    <mergeCell ref="C271:M271"/>
    <mergeCell ref="N272:P272"/>
    <mergeCell ref="C272:M272"/>
    <mergeCell ref="C206:L206"/>
    <mergeCell ref="M206:R206"/>
    <mergeCell ref="C187:L187"/>
    <mergeCell ref="C188:L188"/>
    <mergeCell ref="P395:S395"/>
    <mergeCell ref="P397:S397"/>
    <mergeCell ref="Q358:R358"/>
    <mergeCell ref="P363:S363"/>
    <mergeCell ref="C363:O363"/>
    <mergeCell ref="P387:S387"/>
    <mergeCell ref="P389:S389"/>
    <mergeCell ref="P371:S371"/>
    <mergeCell ref="C364:O364"/>
    <mergeCell ref="C370:O370"/>
    <mergeCell ref="C371:O371"/>
    <mergeCell ref="C396:O396"/>
    <mergeCell ref="C391:O391"/>
    <mergeCell ref="C336:K336"/>
    <mergeCell ref="L332:N332"/>
    <mergeCell ref="N279:P279"/>
    <mergeCell ref="N276:P276"/>
    <mergeCell ref="N275:P275"/>
    <mergeCell ref="Q286:R286"/>
    <mergeCell ref="C276:M276"/>
    <mergeCell ref="N283:P283"/>
    <mergeCell ref="C275:M275"/>
    <mergeCell ref="C274:M274"/>
    <mergeCell ref="C270:M270"/>
    <mergeCell ref="C273:M273"/>
    <mergeCell ref="C400:O400"/>
    <mergeCell ref="C401:O401"/>
    <mergeCell ref="C399:O399"/>
    <mergeCell ref="C302:I302"/>
    <mergeCell ref="Q291:R291"/>
    <mergeCell ref="C339:K339"/>
    <mergeCell ref="C340:K340"/>
    <mergeCell ref="Q330:R330"/>
    <mergeCell ref="C337:K337"/>
    <mergeCell ref="M298:N298"/>
    <mergeCell ref="C292:M292"/>
    <mergeCell ref="C293:M293"/>
    <mergeCell ref="C294:M294"/>
    <mergeCell ref="N294:P294"/>
    <mergeCell ref="P383:S383"/>
    <mergeCell ref="P376:S376"/>
    <mergeCell ref="P392:S392"/>
    <mergeCell ref="P393:S393"/>
    <mergeCell ref="P381:S381"/>
    <mergeCell ref="C382:O382"/>
    <mergeCell ref="P370:S370"/>
    <mergeCell ref="C365:O365"/>
    <mergeCell ref="C328:K328"/>
    <mergeCell ref="L347:N347"/>
    <mergeCell ref="L348:N348"/>
    <mergeCell ref="L328:N328"/>
    <mergeCell ref="O335:P335"/>
    <mergeCell ref="O359:P359"/>
    <mergeCell ref="P390:S390"/>
    <mergeCell ref="C378:O378"/>
    <mergeCell ref="C394:O394"/>
    <mergeCell ref="P396:S396"/>
    <mergeCell ref="C392:O392"/>
    <mergeCell ref="M581:R581"/>
    <mergeCell ref="M580:R580"/>
    <mergeCell ref="M579:R579"/>
    <mergeCell ref="M577:R577"/>
    <mergeCell ref="M578:R578"/>
    <mergeCell ref="C579:J579"/>
    <mergeCell ref="K579:L579"/>
    <mergeCell ref="C577:J577"/>
    <mergeCell ref="C581:J581"/>
    <mergeCell ref="K581:L581"/>
    <mergeCell ref="C578:J578"/>
    <mergeCell ref="K578:L578"/>
    <mergeCell ref="C580:J580"/>
    <mergeCell ref="K580:L580"/>
    <mergeCell ref="K577:L577"/>
    <mergeCell ref="C402:O402"/>
    <mergeCell ref="C380:O380"/>
    <mergeCell ref="C379:O379"/>
    <mergeCell ref="P506:S506"/>
    <mergeCell ref="C501:O501"/>
    <mergeCell ref="C573:F573"/>
    <mergeCell ref="G556:P556"/>
    <mergeCell ref="G557:P557"/>
    <mergeCell ref="G558:P558"/>
    <mergeCell ref="G559:P559"/>
    <mergeCell ref="G560:P560"/>
    <mergeCell ref="G561:P561"/>
    <mergeCell ref="C373:O373"/>
    <mergeCell ref="P373:S373"/>
    <mergeCell ref="C372:O372"/>
    <mergeCell ref="P497:S497"/>
    <mergeCell ref="P517:S517"/>
    <mergeCell ref="P380:S380"/>
    <mergeCell ref="P505:S505"/>
    <mergeCell ref="C507:O507"/>
    <mergeCell ref="P507:S507"/>
    <mergeCell ref="C513:O513"/>
    <mergeCell ref="P513:S513"/>
    <mergeCell ref="C508:O508"/>
    <mergeCell ref="P508:S508"/>
    <mergeCell ref="C511:O511"/>
    <mergeCell ref="C509:O509"/>
    <mergeCell ref="P509:S509"/>
    <mergeCell ref="C510:O510"/>
    <mergeCell ref="P510:S510"/>
    <mergeCell ref="P511:S511"/>
    <mergeCell ref="C512:O512"/>
    <mergeCell ref="P403:S403"/>
    <mergeCell ref="P404:S404"/>
    <mergeCell ref="P401:S401"/>
    <mergeCell ref="P400:S400"/>
    <mergeCell ref="P501:S501"/>
    <mergeCell ref="C505:O505"/>
    <mergeCell ref="C406:O406"/>
    <mergeCell ref="C407:O407"/>
    <mergeCell ref="C408:O408"/>
    <mergeCell ref="C409:O409"/>
    <mergeCell ref="C410:O410"/>
    <mergeCell ref="C411:O411"/>
    <mergeCell ref="C412:O412"/>
    <mergeCell ref="P499:S499"/>
    <mergeCell ref="C418:O418"/>
    <mergeCell ref="C419:O419"/>
    <mergeCell ref="C420:O420"/>
    <mergeCell ref="C421:O421"/>
    <mergeCell ref="C423:O423"/>
    <mergeCell ref="C424:O424"/>
    <mergeCell ref="C425:O425"/>
    <mergeCell ref="C426:O426"/>
    <mergeCell ref="P437:S437"/>
    <mergeCell ref="P438:S438"/>
    <mergeCell ref="C442:O442"/>
    <mergeCell ref="C495:O495"/>
    <mergeCell ref="P495:S495"/>
    <mergeCell ref="C496:O496"/>
    <mergeCell ref="P496:S496"/>
    <mergeCell ref="C429:O429"/>
    <mergeCell ref="C430:O430"/>
    <mergeCell ref="J492:M492"/>
    <mergeCell ref="C422:O422"/>
    <mergeCell ref="P469:S469"/>
    <mergeCell ref="C476:O476"/>
    <mergeCell ref="P476:S476"/>
    <mergeCell ref="C490:O490"/>
    <mergeCell ref="P490:S490"/>
    <mergeCell ref="C437:O437"/>
    <mergeCell ref="C438:O438"/>
    <mergeCell ref="C413:O413"/>
    <mergeCell ref="C414:O414"/>
    <mergeCell ref="C415:O415"/>
    <mergeCell ref="C416:O416"/>
    <mergeCell ref="P406:S406"/>
    <mergeCell ref="P409:S409"/>
    <mergeCell ref="P410:S410"/>
    <mergeCell ref="P504:S504"/>
    <mergeCell ref="C536:O536"/>
    <mergeCell ref="C537:O537"/>
    <mergeCell ref="C538:O538"/>
    <mergeCell ref="P527:S527"/>
    <mergeCell ref="C525:O525"/>
    <mergeCell ref="C518:O518"/>
    <mergeCell ref="C519:O519"/>
    <mergeCell ref="C523:O523"/>
    <mergeCell ref="P518:S518"/>
    <mergeCell ref="P519:S519"/>
    <mergeCell ref="P520:S520"/>
    <mergeCell ref="C522:O522"/>
    <mergeCell ref="P523:S523"/>
    <mergeCell ref="C521:O521"/>
    <mergeCell ref="C517:O517"/>
    <mergeCell ref="C524:O524"/>
    <mergeCell ref="P524:S524"/>
    <mergeCell ref="P525:S525"/>
    <mergeCell ref="P526:S526"/>
    <mergeCell ref="P521:S521"/>
    <mergeCell ref="P522:S522"/>
    <mergeCell ref="C520:O520"/>
    <mergeCell ref="C527:O527"/>
    <mergeCell ref="C455:O455"/>
    <mergeCell ref="P455:S455"/>
    <mergeCell ref="C462:O462"/>
    <mergeCell ref="P462:S462"/>
    <mergeCell ref="C469:O469"/>
    <mergeCell ref="C547:O547"/>
    <mergeCell ref="C548:O548"/>
    <mergeCell ref="C549:O549"/>
    <mergeCell ref="P546:S546"/>
    <mergeCell ref="P547:S547"/>
    <mergeCell ref="P548:S548"/>
    <mergeCell ref="P544:S544"/>
    <mergeCell ref="P545:S545"/>
    <mergeCell ref="P540:S540"/>
    <mergeCell ref="P541:S541"/>
    <mergeCell ref="P542:S542"/>
    <mergeCell ref="P543:S543"/>
    <mergeCell ref="C532:O532"/>
    <mergeCell ref="C541:O541"/>
    <mergeCell ref="P530:S530"/>
    <mergeCell ref="P531:S531"/>
    <mergeCell ref="P532:S532"/>
    <mergeCell ref="P533:S533"/>
    <mergeCell ref="P534:S534"/>
    <mergeCell ref="P535:S535"/>
    <mergeCell ref="P536:S536"/>
    <mergeCell ref="P537:S537"/>
    <mergeCell ref="P538:S538"/>
    <mergeCell ref="P539:S539"/>
    <mergeCell ref="C530:O530"/>
    <mergeCell ref="C531:O531"/>
    <mergeCell ref="C533:O533"/>
    <mergeCell ref="C534:O534"/>
    <mergeCell ref="C535:O535"/>
    <mergeCell ref="C546:O546"/>
    <mergeCell ref="C544:O544"/>
    <mergeCell ref="C545:O545"/>
    <mergeCell ref="C369:O369"/>
    <mergeCell ref="P367:S367"/>
    <mergeCell ref="P411:S411"/>
    <mergeCell ref="P412:S412"/>
    <mergeCell ref="P413:S413"/>
    <mergeCell ref="P414:S414"/>
    <mergeCell ref="P415:S415"/>
    <mergeCell ref="P416:S416"/>
    <mergeCell ref="P420:S420"/>
    <mergeCell ref="P421:S421"/>
    <mergeCell ref="C397:O397"/>
    <mergeCell ref="P368:S368"/>
    <mergeCell ref="P369:S369"/>
    <mergeCell ref="P442:S442"/>
    <mergeCell ref="C449:O449"/>
    <mergeCell ref="P449:S449"/>
    <mergeCell ref="C456:O456"/>
    <mergeCell ref="P456:S456"/>
    <mergeCell ref="C368:O368"/>
    <mergeCell ref="C404:O404"/>
    <mergeCell ref="C403:O403"/>
    <mergeCell ref="C405:O405"/>
    <mergeCell ref="P402:S402"/>
    <mergeCell ref="P405:S405"/>
    <mergeCell ref="P391:S391"/>
    <mergeCell ref="P398:S398"/>
    <mergeCell ref="C377:O377"/>
    <mergeCell ref="P378:S378"/>
    <mergeCell ref="P379:S379"/>
    <mergeCell ref="C387:O387"/>
    <mergeCell ref="C390:O390"/>
    <mergeCell ref="C388:O388"/>
    <mergeCell ref="I69:R69"/>
    <mergeCell ref="C71:H71"/>
    <mergeCell ref="C470:O470"/>
    <mergeCell ref="P470:S470"/>
    <mergeCell ref="C84:L84"/>
    <mergeCell ref="M81:R81"/>
    <mergeCell ref="M82:R82"/>
    <mergeCell ref="C498:O498"/>
    <mergeCell ref="C324:K324"/>
    <mergeCell ref="O320:P320"/>
    <mergeCell ref="L329:N329"/>
    <mergeCell ref="L330:N330"/>
    <mergeCell ref="C333:K333"/>
    <mergeCell ref="L335:N335"/>
    <mergeCell ref="P498:S498"/>
    <mergeCell ref="C326:K326"/>
    <mergeCell ref="C375:O375"/>
    <mergeCell ref="P374:S374"/>
    <mergeCell ref="P375:S375"/>
    <mergeCell ref="L345:N345"/>
    <mergeCell ref="L358:N358"/>
    <mergeCell ref="O357:P357"/>
    <mergeCell ref="O351:P351"/>
    <mergeCell ref="C350:K350"/>
    <mergeCell ref="C351:K351"/>
    <mergeCell ref="C352:K352"/>
    <mergeCell ref="C374:O374"/>
    <mergeCell ref="C376:O376"/>
    <mergeCell ref="C497:O497"/>
    <mergeCell ref="C359:K359"/>
    <mergeCell ref="P365:S365"/>
    <mergeCell ref="P364:S364"/>
    <mergeCell ref="I72:R72"/>
    <mergeCell ref="C50:H50"/>
    <mergeCell ref="C367:O367"/>
    <mergeCell ref="J47:M47"/>
    <mergeCell ref="U47:V47"/>
    <mergeCell ref="C49:H49"/>
    <mergeCell ref="P407:S407"/>
    <mergeCell ref="P408:S408"/>
    <mergeCell ref="J61:M61"/>
    <mergeCell ref="E12:H12"/>
    <mergeCell ref="J14:L14"/>
    <mergeCell ref="J16:L16"/>
    <mergeCell ref="B20:D20"/>
    <mergeCell ref="B23:C23"/>
    <mergeCell ref="J18:L18"/>
    <mergeCell ref="J53:M53"/>
    <mergeCell ref="N14:R14"/>
    <mergeCell ref="N18:R18"/>
    <mergeCell ref="E23:G23"/>
    <mergeCell ref="N16:R16"/>
    <mergeCell ref="E14:H14"/>
    <mergeCell ref="M79:R79"/>
    <mergeCell ref="M86:R86"/>
    <mergeCell ref="C80:L80"/>
    <mergeCell ref="M77:R77"/>
    <mergeCell ref="I70:R70"/>
    <mergeCell ref="C68:H68"/>
    <mergeCell ref="C70:H70"/>
    <mergeCell ref="I67:R67"/>
    <mergeCell ref="C67:H67"/>
    <mergeCell ref="I68:R68"/>
    <mergeCell ref="I71:R71"/>
    <mergeCell ref="E18:H18"/>
    <mergeCell ref="C27:U27"/>
    <mergeCell ref="U3:V3"/>
    <mergeCell ref="K3:R3"/>
    <mergeCell ref="T8:U8"/>
    <mergeCell ref="O8:Q8"/>
    <mergeCell ref="D8:M8"/>
    <mergeCell ref="N10:R10"/>
    <mergeCell ref="J12:L12"/>
    <mergeCell ref="N12:R12"/>
    <mergeCell ref="M44:S44"/>
    <mergeCell ref="C45:L45"/>
    <mergeCell ref="M45:S45"/>
    <mergeCell ref="C40:L40"/>
    <mergeCell ref="C41:L41"/>
    <mergeCell ref="C42:L42"/>
    <mergeCell ref="J38:M38"/>
    <mergeCell ref="M40:S40"/>
    <mergeCell ref="M41:S41"/>
    <mergeCell ref="C44:L44"/>
    <mergeCell ref="E16:H16"/>
    <mergeCell ref="C26:U26"/>
    <mergeCell ref="C29:U29"/>
    <mergeCell ref="C36:F36"/>
    <mergeCell ref="F20:L20"/>
    <mergeCell ref="N20:P20"/>
    <mergeCell ref="M42:S42"/>
    <mergeCell ref="C43:L43"/>
    <mergeCell ref="M43:S43"/>
    <mergeCell ref="M124:R124"/>
    <mergeCell ref="M125:R125"/>
    <mergeCell ref="M114:R114"/>
    <mergeCell ref="C117:L117"/>
    <mergeCell ref="C118:L118"/>
    <mergeCell ref="G3:H3"/>
    <mergeCell ref="C3:E3"/>
    <mergeCell ref="C65:H65"/>
    <mergeCell ref="C66:H66"/>
    <mergeCell ref="C63:H63"/>
    <mergeCell ref="C64:H64"/>
    <mergeCell ref="I63:R63"/>
    <mergeCell ref="I64:R64"/>
    <mergeCell ref="E10:H10"/>
    <mergeCell ref="J10:L10"/>
    <mergeCell ref="C34:F34"/>
    <mergeCell ref="C35:F35"/>
    <mergeCell ref="I33:K33"/>
    <mergeCell ref="C57:H57"/>
    <mergeCell ref="I57:R57"/>
    <mergeCell ref="I66:R66"/>
    <mergeCell ref="I65:R65"/>
    <mergeCell ref="C58:H58"/>
    <mergeCell ref="I58:R58"/>
    <mergeCell ref="C59:H59"/>
    <mergeCell ref="J75:M75"/>
    <mergeCell ref="M78:R78"/>
    <mergeCell ref="C69:H69"/>
    <mergeCell ref="I55:R55"/>
    <mergeCell ref="C56:H56"/>
    <mergeCell ref="I56:R56"/>
    <mergeCell ref="C72:H72"/>
    <mergeCell ref="C77:L77"/>
    <mergeCell ref="C127:L127"/>
    <mergeCell ref="C128:L128"/>
    <mergeCell ref="C129:L129"/>
    <mergeCell ref="C130:L130"/>
    <mergeCell ref="C131:L131"/>
    <mergeCell ref="M103:R103"/>
    <mergeCell ref="M104:R104"/>
    <mergeCell ref="M105:R105"/>
    <mergeCell ref="M101:R101"/>
    <mergeCell ref="M115:R115"/>
    <mergeCell ref="M116:R116"/>
    <mergeCell ref="M133:R133"/>
    <mergeCell ref="C102:L102"/>
    <mergeCell ref="C103:L103"/>
    <mergeCell ref="C104:L104"/>
    <mergeCell ref="M83:R83"/>
    <mergeCell ref="M84:R84"/>
    <mergeCell ref="C90:L90"/>
    <mergeCell ref="C91:L91"/>
    <mergeCell ref="C78:L78"/>
    <mergeCell ref="C79:L79"/>
    <mergeCell ref="C93:L93"/>
    <mergeCell ref="C81:L81"/>
    <mergeCell ref="C82:L82"/>
    <mergeCell ref="C83:L83"/>
    <mergeCell ref="C89:L89"/>
    <mergeCell ref="M113:R113"/>
    <mergeCell ref="M120:R120"/>
    <mergeCell ref="M121:R121"/>
    <mergeCell ref="M122:R122"/>
    <mergeCell ref="M123:R123"/>
    <mergeCell ref="U74:V74"/>
    <mergeCell ref="D31:H31"/>
    <mergeCell ref="C253:L253"/>
    <mergeCell ref="M253:R253"/>
    <mergeCell ref="C256:L256"/>
    <mergeCell ref="M256:R256"/>
    <mergeCell ref="C257:L257"/>
    <mergeCell ref="M257:R257"/>
    <mergeCell ref="U31:V31"/>
    <mergeCell ref="U33:V33"/>
    <mergeCell ref="U34:V34"/>
    <mergeCell ref="U35:V35"/>
    <mergeCell ref="U36:V36"/>
    <mergeCell ref="U38:V38"/>
    <mergeCell ref="U53:V53"/>
    <mergeCell ref="U61:V61"/>
    <mergeCell ref="M141:R141"/>
    <mergeCell ref="C138:L138"/>
    <mergeCell ref="C139:L139"/>
    <mergeCell ref="C140:L140"/>
    <mergeCell ref="C132:L132"/>
    <mergeCell ref="C133:L133"/>
    <mergeCell ref="C134:L134"/>
    <mergeCell ref="C135:L135"/>
    <mergeCell ref="C136:L136"/>
    <mergeCell ref="C137:L137"/>
    <mergeCell ref="C161:L161"/>
    <mergeCell ref="M196:R196"/>
    <mergeCell ref="M232:R232"/>
    <mergeCell ref="C233:L233"/>
    <mergeCell ref="I59:R59"/>
    <mergeCell ref="C55:H55"/>
    <mergeCell ref="C141:L141"/>
    <mergeCell ref="M182:R182"/>
    <mergeCell ref="M183:R183"/>
    <mergeCell ref="M184:R184"/>
    <mergeCell ref="M185:R185"/>
    <mergeCell ref="C227:L227"/>
    <mergeCell ref="M227:R227"/>
    <mergeCell ref="C228:L228"/>
    <mergeCell ref="M228:R228"/>
    <mergeCell ref="C229:L229"/>
    <mergeCell ref="M229:R229"/>
    <mergeCell ref="C230:L230"/>
    <mergeCell ref="M230:R230"/>
    <mergeCell ref="C231:L231"/>
    <mergeCell ref="M231:R231"/>
    <mergeCell ref="M117:R117"/>
    <mergeCell ref="M118:R118"/>
    <mergeCell ref="M177:R177"/>
    <mergeCell ref="M178:R178"/>
    <mergeCell ref="M179:R179"/>
    <mergeCell ref="M162:R162"/>
    <mergeCell ref="C167:L167"/>
    <mergeCell ref="C168:L168"/>
    <mergeCell ref="C203:L203"/>
    <mergeCell ref="C204:L204"/>
    <mergeCell ref="C217:L217"/>
    <mergeCell ref="M217:R217"/>
    <mergeCell ref="J145:M145"/>
    <mergeCell ref="M164:R164"/>
    <mergeCell ref="M165:R165"/>
    <mergeCell ref="M166:R166"/>
    <mergeCell ref="C156:L156"/>
    <mergeCell ref="U361:V361"/>
    <mergeCell ref="U363:V363"/>
    <mergeCell ref="C232:L232"/>
    <mergeCell ref="M239:R239"/>
    <mergeCell ref="C247:L247"/>
    <mergeCell ref="M247:R247"/>
    <mergeCell ref="C258:L258"/>
    <mergeCell ref="M258:R258"/>
    <mergeCell ref="C254:L254"/>
    <mergeCell ref="M254:R254"/>
    <mergeCell ref="C255:L255"/>
    <mergeCell ref="M255:R255"/>
    <mergeCell ref="M214:R214"/>
    <mergeCell ref="M243:R243"/>
    <mergeCell ref="C244:L244"/>
    <mergeCell ref="C246:L246"/>
    <mergeCell ref="M246:R246"/>
    <mergeCell ref="M233:R233"/>
    <mergeCell ref="C234:L234"/>
    <mergeCell ref="Q332:R332"/>
    <mergeCell ref="Q329:R329"/>
    <mergeCell ref="O356:P356"/>
    <mergeCell ref="C327:K327"/>
    <mergeCell ref="L346:N346"/>
    <mergeCell ref="C355:K355"/>
    <mergeCell ref="C356:K356"/>
    <mergeCell ref="M260:R260"/>
    <mergeCell ref="C358:K358"/>
    <mergeCell ref="O358:P358"/>
    <mergeCell ref="L357:N357"/>
    <mergeCell ref="C353:K353"/>
    <mergeCell ref="C354:K354"/>
    <mergeCell ref="U364:V364"/>
    <mergeCell ref="U365:V365"/>
    <mergeCell ref="U262:V262"/>
    <mergeCell ref="U209:V209"/>
    <mergeCell ref="U144:V144"/>
    <mergeCell ref="C220:L220"/>
    <mergeCell ref="M220:R220"/>
    <mergeCell ref="C221:L221"/>
    <mergeCell ref="M221:R221"/>
    <mergeCell ref="C222:L222"/>
    <mergeCell ref="M222:R222"/>
    <mergeCell ref="C251:L251"/>
    <mergeCell ref="M251:R251"/>
    <mergeCell ref="C252:L252"/>
    <mergeCell ref="M252:R252"/>
    <mergeCell ref="C249:L249"/>
    <mergeCell ref="M249:R249"/>
    <mergeCell ref="C224:L224"/>
    <mergeCell ref="M224:R224"/>
    <mergeCell ref="C213:L213"/>
    <mergeCell ref="M213:R213"/>
    <mergeCell ref="C259:L259"/>
    <mergeCell ref="M259:R259"/>
    <mergeCell ref="C250:L250"/>
    <mergeCell ref="M250:R250"/>
    <mergeCell ref="M167:R167"/>
    <mergeCell ref="M168:R168"/>
    <mergeCell ref="M172:R172"/>
    <mergeCell ref="M173:R173"/>
    <mergeCell ref="M174:R174"/>
    <mergeCell ref="M175:R175"/>
    <mergeCell ref="M176:R176"/>
    <mergeCell ref="U437:V437"/>
    <mergeCell ref="U438:V438"/>
    <mergeCell ref="U410:V410"/>
    <mergeCell ref="U366:V366"/>
    <mergeCell ref="U367:V367"/>
    <mergeCell ref="U368:V368"/>
    <mergeCell ref="U369:V369"/>
    <mergeCell ref="U370:V370"/>
    <mergeCell ref="U371:V371"/>
    <mergeCell ref="U372:V372"/>
    <mergeCell ref="U373:V373"/>
    <mergeCell ref="U374:V374"/>
    <mergeCell ref="U375:V375"/>
    <mergeCell ref="U376:V376"/>
    <mergeCell ref="U377:V377"/>
    <mergeCell ref="U378:V378"/>
    <mergeCell ref="U379:V379"/>
    <mergeCell ref="U380:V380"/>
    <mergeCell ref="U381:V381"/>
    <mergeCell ref="U399:V399"/>
    <mergeCell ref="U400:V400"/>
    <mergeCell ref="U401:V401"/>
    <mergeCell ref="U402:V402"/>
    <mergeCell ref="U403:V403"/>
    <mergeCell ref="U404:V404"/>
    <mergeCell ref="U405:V405"/>
    <mergeCell ref="U382:V382"/>
    <mergeCell ref="U383:V383"/>
    <mergeCell ref="U385:V385"/>
    <mergeCell ref="U386:V386"/>
    <mergeCell ref="U387:V387"/>
    <mergeCell ref="U388:V388"/>
    <mergeCell ref="U389:V389"/>
    <mergeCell ref="U390:V390"/>
    <mergeCell ref="U391:V391"/>
    <mergeCell ref="U392:V392"/>
    <mergeCell ref="U393:V393"/>
    <mergeCell ref="U394:V394"/>
    <mergeCell ref="U395:V395"/>
    <mergeCell ref="U396:V396"/>
    <mergeCell ref="U397:V397"/>
    <mergeCell ref="U398:V398"/>
    <mergeCell ref="U412:V412"/>
    <mergeCell ref="U413:V413"/>
    <mergeCell ref="U406:V406"/>
    <mergeCell ref="U407:V407"/>
    <mergeCell ref="U408:V408"/>
    <mergeCell ref="U409:V409"/>
    <mergeCell ref="U415:V415"/>
    <mergeCell ref="U416:V416"/>
    <mergeCell ref="U417:V417"/>
    <mergeCell ref="U418:V418"/>
    <mergeCell ref="U419:V419"/>
    <mergeCell ref="U420:V420"/>
    <mergeCell ref="U421:V421"/>
    <mergeCell ref="U422:V422"/>
    <mergeCell ref="U423:V423"/>
    <mergeCell ref="U424:V424"/>
    <mergeCell ref="U425:V425"/>
    <mergeCell ref="U426:V426"/>
    <mergeCell ref="U427:V427"/>
    <mergeCell ref="U575:V575"/>
    <mergeCell ref="U552:V552"/>
    <mergeCell ref="C51:H51"/>
    <mergeCell ref="U442:V442"/>
    <mergeCell ref="C443:O443"/>
    <mergeCell ref="P443:S443"/>
    <mergeCell ref="U443:V443"/>
    <mergeCell ref="C444:O444"/>
    <mergeCell ref="P444:S444"/>
    <mergeCell ref="U444:V444"/>
    <mergeCell ref="C445:O445"/>
    <mergeCell ref="P445:S445"/>
    <mergeCell ref="U445:V445"/>
    <mergeCell ref="C446:O446"/>
    <mergeCell ref="P446:S446"/>
    <mergeCell ref="U446:V446"/>
    <mergeCell ref="C447:O447"/>
    <mergeCell ref="P447:S447"/>
    <mergeCell ref="U384:V384"/>
    <mergeCell ref="U447:V447"/>
    <mergeCell ref="I49:R49"/>
    <mergeCell ref="I50:R50"/>
    <mergeCell ref="I51:R51"/>
    <mergeCell ref="U428:V428"/>
    <mergeCell ref="U429:V429"/>
    <mergeCell ref="U430:V430"/>
    <mergeCell ref="U431:V431"/>
    <mergeCell ref="U432:V432"/>
    <mergeCell ref="U433:V433"/>
    <mergeCell ref="U434:V434"/>
    <mergeCell ref="U435:V435"/>
    <mergeCell ref="U436:V436"/>
    <mergeCell ref="P422:S422"/>
    <mergeCell ref="P423:S423"/>
    <mergeCell ref="P424:S424"/>
    <mergeCell ref="P425:S425"/>
    <mergeCell ref="P426:S426"/>
    <mergeCell ref="P427:S427"/>
    <mergeCell ref="P428:S428"/>
    <mergeCell ref="P429:S429"/>
    <mergeCell ref="P430:S430"/>
    <mergeCell ref="P431:S431"/>
    <mergeCell ref="P432:S432"/>
    <mergeCell ref="P433:S433"/>
    <mergeCell ref="P434:S434"/>
    <mergeCell ref="P435:S435"/>
    <mergeCell ref="P436:S436"/>
    <mergeCell ref="P417:S417"/>
    <mergeCell ref="P418:S418"/>
    <mergeCell ref="P419:S419"/>
    <mergeCell ref="U411:V411"/>
    <mergeCell ref="U414:V414"/>
    <mergeCell ref="U448:V448"/>
    <mergeCell ref="U449:V449"/>
    <mergeCell ref="C450:O450"/>
    <mergeCell ref="P450:S450"/>
    <mergeCell ref="U450:V450"/>
    <mergeCell ref="C451:O451"/>
    <mergeCell ref="P451:S451"/>
    <mergeCell ref="U451:V451"/>
    <mergeCell ref="C452:O452"/>
    <mergeCell ref="P452:S452"/>
    <mergeCell ref="U452:V452"/>
    <mergeCell ref="C453:O453"/>
    <mergeCell ref="P453:S453"/>
    <mergeCell ref="U453:V453"/>
    <mergeCell ref="C454:O454"/>
    <mergeCell ref="P454:S454"/>
    <mergeCell ref="U454:V454"/>
    <mergeCell ref="U455:V455"/>
    <mergeCell ref="U456:V456"/>
    <mergeCell ref="C457:O457"/>
    <mergeCell ref="P457:S457"/>
    <mergeCell ref="U457:V457"/>
    <mergeCell ref="C458:O458"/>
    <mergeCell ref="P458:S458"/>
    <mergeCell ref="U458:V458"/>
    <mergeCell ref="C459:O459"/>
    <mergeCell ref="P459:S459"/>
    <mergeCell ref="U459:V459"/>
    <mergeCell ref="C460:O460"/>
    <mergeCell ref="P460:S460"/>
    <mergeCell ref="U460:V460"/>
    <mergeCell ref="C461:O461"/>
    <mergeCell ref="P461:S461"/>
    <mergeCell ref="U461:V461"/>
    <mergeCell ref="U462:V462"/>
    <mergeCell ref="U463:V463"/>
    <mergeCell ref="C464:O464"/>
    <mergeCell ref="P464:S464"/>
    <mergeCell ref="U464:V464"/>
    <mergeCell ref="C465:O465"/>
    <mergeCell ref="P465:S465"/>
    <mergeCell ref="U465:V465"/>
    <mergeCell ref="C466:O466"/>
    <mergeCell ref="P466:S466"/>
    <mergeCell ref="U466:V466"/>
    <mergeCell ref="C467:O467"/>
    <mergeCell ref="P467:S467"/>
    <mergeCell ref="U467:V467"/>
    <mergeCell ref="C468:O468"/>
    <mergeCell ref="P468:S468"/>
    <mergeCell ref="U468:V468"/>
    <mergeCell ref="U469:V469"/>
    <mergeCell ref="C463:O463"/>
    <mergeCell ref="P463:S463"/>
    <mergeCell ref="U470:V470"/>
    <mergeCell ref="C471:O471"/>
    <mergeCell ref="P471:S471"/>
    <mergeCell ref="U471:V471"/>
    <mergeCell ref="C472:O472"/>
    <mergeCell ref="P472:S472"/>
    <mergeCell ref="U472:V472"/>
    <mergeCell ref="C473:O473"/>
    <mergeCell ref="P473:S473"/>
    <mergeCell ref="U473:V473"/>
    <mergeCell ref="C474:O474"/>
    <mergeCell ref="P474:S474"/>
    <mergeCell ref="U474:V474"/>
    <mergeCell ref="C475:O475"/>
    <mergeCell ref="P475:S475"/>
    <mergeCell ref="U475:V475"/>
    <mergeCell ref="U477:V477"/>
    <mergeCell ref="U489:V489"/>
    <mergeCell ref="C478:O478"/>
    <mergeCell ref="P478:S478"/>
    <mergeCell ref="U478:V478"/>
    <mergeCell ref="C479:O479"/>
    <mergeCell ref="P479:S479"/>
    <mergeCell ref="U479:V479"/>
    <mergeCell ref="C480:O480"/>
    <mergeCell ref="P480:S480"/>
    <mergeCell ref="U480:V480"/>
    <mergeCell ref="C481:O481"/>
    <mergeCell ref="P481:S481"/>
    <mergeCell ref="U481:V481"/>
    <mergeCell ref="C482:O482"/>
    <mergeCell ref="P482:S482"/>
    <mergeCell ref="U482:V482"/>
    <mergeCell ref="C483:O483"/>
    <mergeCell ref="P483:S483"/>
    <mergeCell ref="U483:V483"/>
    <mergeCell ref="U490:V490"/>
    <mergeCell ref="C491:O491"/>
    <mergeCell ref="P491:S491"/>
    <mergeCell ref="U491:V491"/>
    <mergeCell ref="C439:O439"/>
    <mergeCell ref="C440:O440"/>
    <mergeCell ref="C441:O441"/>
    <mergeCell ref="P439:S439"/>
    <mergeCell ref="P440:S440"/>
    <mergeCell ref="P441:S441"/>
    <mergeCell ref="U439:V439"/>
    <mergeCell ref="U440:V440"/>
    <mergeCell ref="U441:V441"/>
    <mergeCell ref="C484:O484"/>
    <mergeCell ref="P484:S484"/>
    <mergeCell ref="U484:V484"/>
    <mergeCell ref="C485:O485"/>
    <mergeCell ref="P485:S485"/>
    <mergeCell ref="U485:V485"/>
    <mergeCell ref="C486:O486"/>
    <mergeCell ref="P486:S486"/>
    <mergeCell ref="U486:V486"/>
    <mergeCell ref="C487:O487"/>
    <mergeCell ref="P487:S487"/>
    <mergeCell ref="U487:V487"/>
    <mergeCell ref="C488:O488"/>
    <mergeCell ref="P488:S488"/>
    <mergeCell ref="U488:V488"/>
    <mergeCell ref="C489:O489"/>
    <mergeCell ref="P489:S489"/>
    <mergeCell ref="U476:V476"/>
    <mergeCell ref="C477:O477"/>
  </mergeCells>
  <phoneticPr fontId="6" type="noConversion"/>
  <conditionalFormatting sqref="C266:M295">
    <cfRule type="expression" dxfId="53" priority="145">
      <formula>IF(N266="END-OF-SALE",1,0)</formula>
    </cfRule>
    <cfRule type="expression" dxfId="52" priority="91">
      <formula>IF(N266="NOT TAA COMPLIANT",1,0)</formula>
    </cfRule>
  </conditionalFormatting>
  <conditionalFormatting sqref="C494:O513 C514:I514">
    <cfRule type="cellIs" dxfId="51" priority="154" stopIfTrue="1" operator="equal">
      <formula>"&lt;Select HW Description&gt;"</formula>
    </cfRule>
  </conditionalFormatting>
  <conditionalFormatting sqref="D31">
    <cfRule type="expression" dxfId="50" priority="77">
      <formula>AND(U211&gt;0,U209&lt;&gt;U211)</formula>
    </cfRule>
  </conditionalFormatting>
  <conditionalFormatting sqref="G554:P573">
    <cfRule type="expression" dxfId="49" priority="35">
      <formula>IF($C554&lt;&gt;"&lt;Select HW Category&gt;",IF(AND($C554&lt;&gt;"",G554=""),1,0),0)</formula>
    </cfRule>
  </conditionalFormatting>
  <conditionalFormatting sqref="H34:P34">
    <cfRule type="expression" dxfId="48" priority="146" stopIfTrue="1">
      <formula>IF($U$31&gt;1000000,1,0)</formula>
    </cfRule>
  </conditionalFormatting>
  <conditionalFormatting sqref="I63:R72">
    <cfRule type="expression" dxfId="47" priority="60">
      <formula>IF($C63&lt;&gt;"&lt;Select job title, if any&gt;",IF(AND($C63&lt;&gt;"",I63=""),1,0),0)</formula>
    </cfRule>
  </conditionalFormatting>
  <conditionalFormatting sqref="J298:J317">
    <cfRule type="expression" dxfId="46" priority="155" stopIfTrue="1">
      <formula>IF(ISNA(J298),1,0)</formula>
    </cfRule>
  </conditionalFormatting>
  <conditionalFormatting sqref="K577:L581">
    <cfRule type="expression" dxfId="45" priority="3">
      <formula>IF($C577&lt;&gt;"",IF($K577="",1,0),0)</formula>
    </cfRule>
  </conditionalFormatting>
  <conditionalFormatting sqref="L320:N359">
    <cfRule type="expression" dxfId="44" priority="27">
      <formula>IF($C320&lt;&gt;"",IF($L320="",1,0),0)</formula>
    </cfRule>
  </conditionalFormatting>
  <conditionalFormatting sqref="M298:M317 O298:O317">
    <cfRule type="expression" dxfId="43" priority="156" stopIfTrue="1">
      <formula>IF(ISNA(M298),1,0)</formula>
    </cfRule>
  </conditionalFormatting>
  <conditionalFormatting sqref="M77:R91">
    <cfRule type="expression" dxfId="42" priority="57">
      <formula>IF($C77&lt;&gt;"&lt;Select ISP/OSP fixed price line item, if any&gt;",IF(AND($C77&lt;&gt;"",M77=""),1,0),0)</formula>
    </cfRule>
  </conditionalFormatting>
  <conditionalFormatting sqref="M93:R142 M158:R207">
    <cfRule type="expression" dxfId="41" priority="55">
      <formula>IF($C93&lt;&gt;"",IF($M93="",1,0),0)</formula>
    </cfRule>
  </conditionalFormatting>
  <conditionalFormatting sqref="M147:R156">
    <cfRule type="expression" dxfId="40" priority="23">
      <formula>IF($C147&lt;&gt;"&lt;Select Facilities tasks, if any&gt;",IF(AND($C147&lt;&gt;"",M147=""),1,0),0)</formula>
    </cfRule>
  </conditionalFormatting>
  <conditionalFormatting sqref="M212:R260">
    <cfRule type="expression" dxfId="39" priority="54">
      <formula>IF($C212&lt;&gt; "&lt;Select Misc. Materials Description&gt;", IF(AND($C212&lt;&gt; "", $M212=""),1,0),0)</formula>
    </cfRule>
  </conditionalFormatting>
  <conditionalFormatting sqref="M577:R581">
    <cfRule type="expression" dxfId="38" priority="1">
      <formula>IF($C577&lt;&gt;"",IF($M577="",1,0),0)</formula>
    </cfRule>
  </conditionalFormatting>
  <conditionalFormatting sqref="M40:S45">
    <cfRule type="expression" dxfId="37" priority="58">
      <formula>IF(AND($T40&lt;&gt;"",$M40=""),1,0)</formula>
    </cfRule>
  </conditionalFormatting>
  <conditionalFormatting sqref="O297:O317 P493:P513 N266:N295">
    <cfRule type="expression" dxfId="36" priority="184">
      <formula>IF(ISNA(N266),1,0)</formula>
    </cfRule>
  </conditionalFormatting>
  <conditionalFormatting sqref="O320:P359">
    <cfRule type="expression" dxfId="35" priority="26">
      <formula>IF($C320&lt;&gt;"",IF($O320="",1,0),0)</formula>
    </cfRule>
  </conditionalFormatting>
  <conditionalFormatting sqref="P494:S513 R514:T514">
    <cfRule type="cellIs" dxfId="34" priority="153" stopIfTrue="1" operator="equal">
      <formula>"(Model/Part #  Lookup)"</formula>
    </cfRule>
  </conditionalFormatting>
  <conditionalFormatting sqref="P516:S550">
    <cfRule type="expression" dxfId="33" priority="51">
      <formula>IF($C516&lt;&gt;"",IF($P516="",1,0),0)</formula>
    </cfRule>
  </conditionalFormatting>
  <conditionalFormatting sqref="Q266:R295 Q298:R317">
    <cfRule type="expression" dxfId="32" priority="53">
      <formula>IF($C266&lt;&gt;"&lt;Select HW Description&gt;",IF(AND($C266&lt;&gt;"",Q266=""),1,0),0)</formula>
    </cfRule>
  </conditionalFormatting>
  <conditionalFormatting sqref="Q320:R359">
    <cfRule type="expression" dxfId="31" priority="52">
      <formula>IF($C320&lt;&gt;"",IF($Q320="",1,0),0)</formula>
    </cfRule>
  </conditionalFormatting>
  <conditionalFormatting sqref="S31 S74 S144 S209 S262 S361 S575">
    <cfRule type="cellIs" dxfId="30" priority="61" operator="equal">
      <formula>"INC"</formula>
    </cfRule>
  </conditionalFormatting>
  <conditionalFormatting sqref="S63:S72">
    <cfRule type="expression" dxfId="29" priority="165" stopIfTrue="1">
      <formula>IF(AND(C63&lt;&gt;"",C63&lt;&gt;"&lt;Select job title, if any&gt;"),IF(S63="",1,0),0)</formula>
    </cfRule>
  </conditionalFormatting>
  <conditionalFormatting sqref="S552">
    <cfRule type="cellIs" dxfId="28" priority="47" operator="equal">
      <formula>"INC"</formula>
    </cfRule>
  </conditionalFormatting>
  <conditionalFormatting sqref="T77:T91">
    <cfRule type="expression" dxfId="27" priority="166" stopIfTrue="1">
      <formula>IF($C77&lt;&gt;"&lt;Select ISP/OSP fixed price line item, if any&gt;",IF(AND($C77&lt;&gt;"",T77=""),1,0),0)</formula>
    </cfRule>
  </conditionalFormatting>
  <conditionalFormatting sqref="T93:T142 T158:T207 T320:T359 T516:T550 T577:T581">
    <cfRule type="expression" dxfId="26" priority="122">
      <formula>IF($C93&lt;&gt;"",IF($T93="",1,0),0)</formula>
    </cfRule>
  </conditionalFormatting>
  <conditionalFormatting sqref="T147:T156">
    <cfRule type="expression" dxfId="25" priority="63">
      <formula>IF($C147&lt;&gt;"&lt;Select Facilities tasks, if any&gt;",IF(AND($C147&lt;&gt;"",T147=""),1,0),0)</formula>
    </cfRule>
  </conditionalFormatting>
  <conditionalFormatting sqref="T212:T260">
    <cfRule type="expression" dxfId="24" priority="64">
      <formula>IF($C212&lt;&gt; "&lt;Select Misc. Materials Description&gt;", IF(AND($C212&lt;&gt; "", $T212=""),1,0),0)</formula>
    </cfRule>
  </conditionalFormatting>
  <conditionalFormatting sqref="T266:T295 T298:T317">
    <cfRule type="expression" dxfId="23" priority="62">
      <formula>IF($C266&lt;&gt;"&lt;Select HW Description&gt;",IF(AND($C266&lt;&gt;"",T266=""),1,0),0)</formula>
    </cfRule>
  </conditionalFormatting>
  <conditionalFormatting sqref="T554:T573">
    <cfRule type="expression" dxfId="22" priority="38">
      <formula>IF($C554&lt;&gt;"&lt;Select HW Category&gt;",IF(AND($C554&lt;&gt;"",T554=""),1,0),0)</formula>
    </cfRule>
  </conditionalFormatting>
  <conditionalFormatting sqref="T363:V491">
    <cfRule type="cellIs" dxfId="21" priority="25" stopIfTrue="1" operator="equal">
      <formula>0</formula>
    </cfRule>
  </conditionalFormatting>
  <conditionalFormatting sqref="U31 U61 U74 U144 U262 U361 U575">
    <cfRule type="expression" dxfId="20" priority="182" stopIfTrue="1">
      <formula>IF(ISERROR(U31),1,0)</formula>
    </cfRule>
  </conditionalFormatting>
  <conditionalFormatting sqref="U33:U36">
    <cfRule type="expression" dxfId="19" priority="130" stopIfTrue="1">
      <formula>IF(ISERROR(U33),1,0)</formula>
    </cfRule>
  </conditionalFormatting>
  <conditionalFormatting sqref="U38">
    <cfRule type="expression" dxfId="18" priority="89" stopIfTrue="1">
      <formula>IF(ISERROR(U38),1,0)</formula>
    </cfRule>
  </conditionalFormatting>
  <conditionalFormatting sqref="U40:U45 U55:U59 U63:U72 U77:U91 U147:U156 U211:U260 U266:U295 U298:U317 T494:T513 U554:U573">
    <cfRule type="cellIs" dxfId="17" priority="86" stopIfTrue="1" operator="equal">
      <formula>0</formula>
    </cfRule>
  </conditionalFormatting>
  <conditionalFormatting sqref="U47">
    <cfRule type="expression" dxfId="16" priority="32" stopIfTrue="1">
      <formula>IF(ISERROR(U47),1,0)</formula>
    </cfRule>
  </conditionalFormatting>
  <conditionalFormatting sqref="U49:U51">
    <cfRule type="cellIs" dxfId="15" priority="28" stopIfTrue="1" operator="equal">
      <formula>0</formula>
    </cfRule>
  </conditionalFormatting>
  <conditionalFormatting sqref="U53">
    <cfRule type="expression" dxfId="14" priority="127" stopIfTrue="1">
      <formula>IF(ISERROR(U53),1,0)</formula>
    </cfRule>
  </conditionalFormatting>
  <conditionalFormatting sqref="U209">
    <cfRule type="expression" dxfId="13" priority="120" stopIfTrue="1">
      <formula>IF(ISERROR(U209),1,0)</formula>
    </cfRule>
  </conditionalFormatting>
  <conditionalFormatting sqref="U298:U317">
    <cfRule type="expression" dxfId="12" priority="159">
      <formula>IF($U298="TBD",1,0)</formula>
    </cfRule>
  </conditionalFormatting>
  <conditionalFormatting sqref="U552">
    <cfRule type="expression" dxfId="11" priority="48" stopIfTrue="1">
      <formula>IF(ISERROR(U552),1,0)</formula>
    </cfRule>
  </conditionalFormatting>
  <conditionalFormatting sqref="U93:V142 U320:V359 U516:V550 U577:V581">
    <cfRule type="expression" dxfId="10" priority="136" stopIfTrue="1">
      <formula>IF($U93="TBD",1,0)</formula>
    </cfRule>
  </conditionalFormatting>
  <conditionalFormatting sqref="U158:V207">
    <cfRule type="expression" dxfId="9" priority="135" stopIfTrue="1">
      <formula>IF($U158="TBD",1,0)</formula>
    </cfRule>
  </conditionalFormatting>
  <conditionalFormatting sqref="AC623:AD623">
    <cfRule type="expression" dxfId="8" priority="179" stopIfTrue="1">
      <formula>IF($AD$623&lt;&gt;0,1,0)</formula>
    </cfRule>
  </conditionalFormatting>
  <conditionalFormatting sqref="AG623:AH623">
    <cfRule type="expression" dxfId="7" priority="181" stopIfTrue="1">
      <formula>IF($AH$623&lt;&gt;0,1,0)</formula>
    </cfRule>
  </conditionalFormatting>
  <conditionalFormatting sqref="AK621:AK623">
    <cfRule type="expression" dxfId="6" priority="180" stopIfTrue="1">
      <formula>IF($AK$623&lt;&gt;0,1,0)</formula>
    </cfRule>
  </conditionalFormatting>
  <conditionalFormatting sqref="AN621:AN623 AQ621:AR623">
    <cfRule type="expression" dxfId="5" priority="174" stopIfTrue="1">
      <formula>IF(AN$623&lt;&gt;0,1,0)</formula>
    </cfRule>
  </conditionalFormatting>
  <dataValidations xWindow="730" yWindow="400" count="16">
    <dataValidation type="whole" operator="greaterThanOrEqual" allowBlank="1" showInputMessage="1" showErrorMessage="1" error="Must enter whole number &gt;= 1, or leave blank." sqref="T577:T581 T40:T45 T320:T359 T266:T295 T93:T142 T298:T317 T77:T91 T147:T156 T158:T207 T212:T260 T554:T573 T516:T550" xr:uid="{00000000-0002-0000-0100-000000000000}">
      <formula1>-999</formula1>
    </dataValidation>
    <dataValidation type="list" allowBlank="1" showInputMessage="1" showErrorMessage="1" prompt="(G)ovt Provided, _x000a_Govt (I)nventory,_x000a_(R)eUse" sqref="S577:S581 S266:S295 S93:S142 S320:S359 S298:S317 S77:S91 S147:S156 S158:S207 S211:S260" xr:uid="{00000000-0002-0000-0100-000001000000}">
      <formula1>GP_Reuse</formula1>
    </dataValidation>
    <dataValidation type="list" allowBlank="1" showInputMessage="1" showErrorMessage="1" error="Must select this item from drop-down list." sqref="C266:M295" xr:uid="{00000000-0002-0000-0100-000002000000}">
      <formula1>HW_Description</formula1>
    </dataValidation>
    <dataValidation type="list" allowBlank="1" showInputMessage="1" showErrorMessage="1" sqref="C298:C317" xr:uid="{00000000-0002-0000-0100-000003000000}">
      <formula1>PAHW_Description</formula1>
    </dataValidation>
    <dataValidation type="list" allowBlank="1" showInputMessage="1" showErrorMessage="1" error="Select job title from drop-down list." sqref="C55:H59 C63:H72" xr:uid="{00000000-0002-0000-0100-000004000000}">
      <formula1>JobTitle</formula1>
    </dataValidation>
    <dataValidation type="list" operator="greaterThanOrEqual" allowBlank="1" showInputMessage="1" showErrorMessage="1" error="Must enter whole number &gt;= 1, or leave blank." sqref="T55:T59 T63:T72 T49:T51" xr:uid="{00000000-0002-0000-0100-000005000000}">
      <formula1>FiscalYear</formula1>
    </dataValidation>
    <dataValidation type="list" allowBlank="1" showInputMessage="1" showErrorMessage="1" error="This item must use drop-down selections." sqref="C77:C91" xr:uid="{00000000-0002-0000-0100-000006000000}">
      <formula1>ISP_OSP_Tasks</formula1>
    </dataValidation>
    <dataValidation type="whole" operator="greaterThan" allowBlank="1" showInputMessage="1" showErrorMessage="1" error="Only whole numbers are accepted." sqref="E20 M20" xr:uid="{00000000-0002-0000-0100-000007000000}">
      <formula1>0</formula1>
    </dataValidation>
    <dataValidation type="date" operator="greaterThanOrEqual" allowBlank="1" showInputMessage="1" showErrorMessage="1" error="Invalid Start Date - Date must be greater than today's date" sqref="D23" xr:uid="{00000000-0002-0000-0100-000008000000}">
      <formula1>NOW()</formula1>
    </dataValidation>
    <dataValidation type="date" operator="greaterThanOrEqual" allowBlank="1" showInputMessage="1" showErrorMessage="1" error="Cannot be prior to Proposed Start Date" sqref="H23" xr:uid="{00000000-0002-0000-0100-000009000000}">
      <formula1>D23</formula1>
    </dataValidation>
    <dataValidation type="list" allowBlank="1" showErrorMessage="1" sqref="E263:E264 L33" xr:uid="{00000000-0002-0000-0100-00000A000000}">
      <formula1>Hardware_Only</formula1>
    </dataValidation>
    <dataValidation type="list" allowBlank="1" showInputMessage="1" showErrorMessage="1" sqref="C212:L260" xr:uid="{00000000-0002-0000-0100-00000B000000}">
      <formula1>Misc_Mrtls</formula1>
    </dataValidation>
    <dataValidation type="list" allowBlank="1" showInputMessage="1" showErrorMessage="1" sqref="C147:C156" xr:uid="{00000000-0002-0000-0100-00000C000000}">
      <formula1>Facilities_Tasks</formula1>
    </dataValidation>
    <dataValidation type="list" allowBlank="1" showInputMessage="1" showErrorMessage="1" error="Must select this item from drop-down list." sqref="C554:F573" xr:uid="{00000000-0002-0000-0100-00000D000000}">
      <formula1>Uninstall_Category</formula1>
    </dataValidation>
    <dataValidation type="list" allowBlank="1" showInputMessage="1" showErrorMessage="1" error="Must select this item from drop-down list." sqref="Q554:S573" xr:uid="{00000000-0002-0000-0100-00000E000000}">
      <formula1>Uninstall_Scenario</formula1>
    </dataValidation>
    <dataValidation type="decimal" operator="greaterThanOrEqual" allowBlank="1" showInputMessage="1" showErrorMessage="1" error="Must enter a decimal number &gt;0, or leave blank." sqref="S49:S51 S63:S72" xr:uid="{00000000-0002-0000-0100-00000F000000}">
      <formula1>0</formula1>
    </dataValidation>
  </dataValidations>
  <pageMargins left="0.25" right="0.25" top="0.5" bottom="0.5" header="0.3" footer="0.3"/>
  <pageSetup scale="51" fitToHeight="0" orientation="portrait" r:id="rId1"/>
  <headerFooter>
    <oddHeader>&amp;LNGEN CLIN 6AG Pricing Form&amp;RHPES Proprietary</oddHeader>
    <oddFooter>&amp;L&amp;"Arial,Bold"&amp;8&amp;F&amp;C&amp;"Arial,Bold"&amp;8&amp;P of &amp;N&amp;R&amp;"Arial,Bold"&amp;8© Copyright 2012 Hewlett-Packard Development Company, L.P.</oddFooter>
  </headerFooter>
  <colBreaks count="1" manualBreakCount="1">
    <brk id="22" max="55" man="1"/>
  </colBreaks>
  <ignoredErrors>
    <ignoredError sqref="N266 N267:P295 J299:P317"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111" r:id="rId4" name="Button 87">
              <controlPr defaultSize="0" print="0" autoFill="0" autoPict="0" macro="[0]!HideLbr">
                <anchor moveWithCells="1">
                  <from>
                    <xdr:col>16</xdr:col>
                    <xdr:colOff>38100</xdr:colOff>
                    <xdr:row>60</xdr:row>
                    <xdr:rowOff>50800</xdr:rowOff>
                  </from>
                  <to>
                    <xdr:col>16</xdr:col>
                    <xdr:colOff>203200</xdr:colOff>
                    <xdr:row>60</xdr:row>
                    <xdr:rowOff>209550</xdr:rowOff>
                  </to>
                </anchor>
              </controlPr>
            </control>
          </mc:Choice>
        </mc:AlternateContent>
        <mc:AlternateContent xmlns:mc="http://schemas.openxmlformats.org/markup-compatibility/2006">
          <mc:Choice Requires="x14">
            <control shapeId="1112" r:id="rId5" name="Button 88">
              <controlPr defaultSize="0" print="0" autoFill="0" autoPict="0" macro="[0]!ShowLbr">
                <anchor moveWithCells="1">
                  <from>
                    <xdr:col>14</xdr:col>
                    <xdr:colOff>50800</xdr:colOff>
                    <xdr:row>60</xdr:row>
                    <xdr:rowOff>50800</xdr:rowOff>
                  </from>
                  <to>
                    <xdr:col>14</xdr:col>
                    <xdr:colOff>209550</xdr:colOff>
                    <xdr:row>60</xdr:row>
                    <xdr:rowOff>209550</xdr:rowOff>
                  </to>
                </anchor>
              </controlPr>
            </control>
          </mc:Choice>
        </mc:AlternateContent>
        <mc:AlternateContent xmlns:mc="http://schemas.openxmlformats.org/markup-compatibility/2006">
          <mc:Choice Requires="x14">
            <control shapeId="1114" r:id="rId6" name="Button 90">
              <controlPr defaultSize="0" print="0" autoFill="0" autoPict="0" macro="[0]!ShowIsp">
                <anchor moveWithCells="1">
                  <from>
                    <xdr:col>14</xdr:col>
                    <xdr:colOff>50800</xdr:colOff>
                    <xdr:row>73</xdr:row>
                    <xdr:rowOff>50800</xdr:rowOff>
                  </from>
                  <to>
                    <xdr:col>14</xdr:col>
                    <xdr:colOff>209550</xdr:colOff>
                    <xdr:row>73</xdr:row>
                    <xdr:rowOff>209550</xdr:rowOff>
                  </to>
                </anchor>
              </controlPr>
            </control>
          </mc:Choice>
        </mc:AlternateContent>
        <mc:AlternateContent xmlns:mc="http://schemas.openxmlformats.org/markup-compatibility/2006">
          <mc:Choice Requires="x14">
            <control shapeId="1116" r:id="rId7" name="Button 92">
              <controlPr defaultSize="0" print="0" autoFill="0" autoPict="0" macro="[0]!HideIsp">
                <anchor moveWithCells="1">
                  <from>
                    <xdr:col>16</xdr:col>
                    <xdr:colOff>38100</xdr:colOff>
                    <xdr:row>73</xdr:row>
                    <xdr:rowOff>50800</xdr:rowOff>
                  </from>
                  <to>
                    <xdr:col>16</xdr:col>
                    <xdr:colOff>203200</xdr:colOff>
                    <xdr:row>73</xdr:row>
                    <xdr:rowOff>209550</xdr:rowOff>
                  </to>
                </anchor>
              </controlPr>
            </control>
          </mc:Choice>
        </mc:AlternateContent>
        <mc:AlternateContent xmlns:mc="http://schemas.openxmlformats.org/markup-compatibility/2006">
          <mc:Choice Requires="x14">
            <control shapeId="1133" r:id="rId8" name="Button 109">
              <controlPr defaultSize="0" print="0" autoFill="0" autoPict="0" macro="[0]!ShowHw">
                <anchor moveWithCells="1">
                  <from>
                    <xdr:col>14</xdr:col>
                    <xdr:colOff>31750</xdr:colOff>
                    <xdr:row>261</xdr:row>
                    <xdr:rowOff>50800</xdr:rowOff>
                  </from>
                  <to>
                    <xdr:col>14</xdr:col>
                    <xdr:colOff>190500</xdr:colOff>
                    <xdr:row>261</xdr:row>
                    <xdr:rowOff>209550</xdr:rowOff>
                  </to>
                </anchor>
              </controlPr>
            </control>
          </mc:Choice>
        </mc:AlternateContent>
        <mc:AlternateContent xmlns:mc="http://schemas.openxmlformats.org/markup-compatibility/2006">
          <mc:Choice Requires="x14">
            <control shapeId="1134" r:id="rId9" name="Button 110">
              <controlPr defaultSize="0" print="0" autoFill="0" autoPict="0" macro="[0]!HideHw">
                <anchor moveWithCells="1">
                  <from>
                    <xdr:col>16</xdr:col>
                    <xdr:colOff>38100</xdr:colOff>
                    <xdr:row>261</xdr:row>
                    <xdr:rowOff>50800</xdr:rowOff>
                  </from>
                  <to>
                    <xdr:col>16</xdr:col>
                    <xdr:colOff>203200</xdr:colOff>
                    <xdr:row>261</xdr:row>
                    <xdr:rowOff>209550</xdr:rowOff>
                  </to>
                </anchor>
              </controlPr>
            </control>
          </mc:Choice>
        </mc:AlternateContent>
        <mc:AlternateContent xmlns:mc="http://schemas.openxmlformats.org/markup-compatibility/2006">
          <mc:Choice Requires="x14">
            <control shapeId="1137" r:id="rId10" name="Button 113">
              <controlPr defaultSize="0" print="0" autoFill="0" autoPict="0" macro="[0]!ShowOdc">
                <anchor moveWithCells="1">
                  <from>
                    <xdr:col>14</xdr:col>
                    <xdr:colOff>50800</xdr:colOff>
                    <xdr:row>574</xdr:row>
                    <xdr:rowOff>50800</xdr:rowOff>
                  </from>
                  <to>
                    <xdr:col>14</xdr:col>
                    <xdr:colOff>209550</xdr:colOff>
                    <xdr:row>575</xdr:row>
                    <xdr:rowOff>0</xdr:rowOff>
                  </to>
                </anchor>
              </controlPr>
            </control>
          </mc:Choice>
        </mc:AlternateContent>
        <mc:AlternateContent xmlns:mc="http://schemas.openxmlformats.org/markup-compatibility/2006">
          <mc:Choice Requires="x14">
            <control shapeId="1138" r:id="rId11" name="Button 114">
              <controlPr defaultSize="0" print="0" autoFill="0" autoPict="0" macro="[0]!HideOdc">
                <anchor moveWithCells="1">
                  <from>
                    <xdr:col>16</xdr:col>
                    <xdr:colOff>38100</xdr:colOff>
                    <xdr:row>574</xdr:row>
                    <xdr:rowOff>50800</xdr:rowOff>
                  </from>
                  <to>
                    <xdr:col>16</xdr:col>
                    <xdr:colOff>203200</xdr:colOff>
                    <xdr:row>575</xdr:row>
                    <xdr:rowOff>0</xdr:rowOff>
                  </to>
                </anchor>
              </controlPr>
            </control>
          </mc:Choice>
        </mc:AlternateContent>
        <mc:AlternateContent xmlns:mc="http://schemas.openxmlformats.org/markup-compatibility/2006">
          <mc:Choice Requires="x14">
            <control shapeId="1218" r:id="rId12" name="Button 194">
              <controlPr defaultSize="0" print="0" autoFill="0" autoPict="0" macro="[0]!ShowFac">
                <anchor moveWithCells="1">
                  <from>
                    <xdr:col>14</xdr:col>
                    <xdr:colOff>50800</xdr:colOff>
                    <xdr:row>143</xdr:row>
                    <xdr:rowOff>57150</xdr:rowOff>
                  </from>
                  <to>
                    <xdr:col>14</xdr:col>
                    <xdr:colOff>209550</xdr:colOff>
                    <xdr:row>143</xdr:row>
                    <xdr:rowOff>222250</xdr:rowOff>
                  </to>
                </anchor>
              </controlPr>
            </control>
          </mc:Choice>
        </mc:AlternateContent>
        <mc:AlternateContent xmlns:mc="http://schemas.openxmlformats.org/markup-compatibility/2006">
          <mc:Choice Requires="x14">
            <control shapeId="1219" r:id="rId13" name="Button 195">
              <controlPr defaultSize="0" print="0" autoFill="0" autoPict="0" macro="[0]!HideFac">
                <anchor moveWithCells="1">
                  <from>
                    <xdr:col>16</xdr:col>
                    <xdr:colOff>38100</xdr:colOff>
                    <xdr:row>143</xdr:row>
                    <xdr:rowOff>50800</xdr:rowOff>
                  </from>
                  <to>
                    <xdr:col>16</xdr:col>
                    <xdr:colOff>203200</xdr:colOff>
                    <xdr:row>143</xdr:row>
                    <xdr:rowOff>209550</xdr:rowOff>
                  </to>
                </anchor>
              </controlPr>
            </control>
          </mc:Choice>
        </mc:AlternateContent>
        <mc:AlternateContent xmlns:mc="http://schemas.openxmlformats.org/markup-compatibility/2006">
          <mc:Choice Requires="x14">
            <control shapeId="1230" r:id="rId14" name="Button 206">
              <controlPr defaultSize="0" print="0" autoFill="0" autoPict="0" macro="[0]!ShowHwin">
                <anchor moveWithCells="1">
                  <from>
                    <xdr:col>14</xdr:col>
                    <xdr:colOff>38100</xdr:colOff>
                    <xdr:row>360</xdr:row>
                    <xdr:rowOff>50800</xdr:rowOff>
                  </from>
                  <to>
                    <xdr:col>14</xdr:col>
                    <xdr:colOff>203200</xdr:colOff>
                    <xdr:row>360</xdr:row>
                    <xdr:rowOff>209550</xdr:rowOff>
                  </to>
                </anchor>
              </controlPr>
            </control>
          </mc:Choice>
        </mc:AlternateContent>
        <mc:AlternateContent xmlns:mc="http://schemas.openxmlformats.org/markup-compatibility/2006">
          <mc:Choice Requires="x14">
            <control shapeId="1231" r:id="rId15" name="Button 207">
              <controlPr defaultSize="0" print="0" autoFill="0" autoPict="0" macro="[0]!HideHwin">
                <anchor moveWithCells="1">
                  <from>
                    <xdr:col>16</xdr:col>
                    <xdr:colOff>38100</xdr:colOff>
                    <xdr:row>360</xdr:row>
                    <xdr:rowOff>50800</xdr:rowOff>
                  </from>
                  <to>
                    <xdr:col>16</xdr:col>
                    <xdr:colOff>203200</xdr:colOff>
                    <xdr:row>360</xdr:row>
                    <xdr:rowOff>209550</xdr:rowOff>
                  </to>
                </anchor>
              </controlPr>
            </control>
          </mc:Choice>
        </mc:AlternateContent>
        <mc:AlternateContent xmlns:mc="http://schemas.openxmlformats.org/markup-compatibility/2006">
          <mc:Choice Requires="x14">
            <control shapeId="1239" r:id="rId16" name="Button 215">
              <controlPr defaultSize="0" print="0" autoFill="0" autoPict="0" macro="[0]!HideAll">
                <anchor moveWithCells="1">
                  <from>
                    <xdr:col>16</xdr:col>
                    <xdr:colOff>0</xdr:colOff>
                    <xdr:row>30</xdr:row>
                    <xdr:rowOff>38100</xdr:rowOff>
                  </from>
                  <to>
                    <xdr:col>16</xdr:col>
                    <xdr:colOff>165100</xdr:colOff>
                    <xdr:row>30</xdr:row>
                    <xdr:rowOff>203200</xdr:rowOff>
                  </to>
                </anchor>
              </controlPr>
            </control>
          </mc:Choice>
        </mc:AlternateContent>
        <mc:AlternateContent xmlns:mc="http://schemas.openxmlformats.org/markup-compatibility/2006">
          <mc:Choice Requires="x14">
            <control shapeId="1240" r:id="rId17" name="Button 216">
              <controlPr defaultSize="0" print="0" autoFill="0" autoPict="0" macro="[0]!ShowAll">
                <anchor moveWithCells="1">
                  <from>
                    <xdr:col>14</xdr:col>
                    <xdr:colOff>31750</xdr:colOff>
                    <xdr:row>30</xdr:row>
                    <xdr:rowOff>38100</xdr:rowOff>
                  </from>
                  <to>
                    <xdr:col>14</xdr:col>
                    <xdr:colOff>190500</xdr:colOff>
                    <xdr:row>30</xdr:row>
                    <xdr:rowOff>203200</xdr:rowOff>
                  </to>
                </anchor>
              </controlPr>
            </control>
          </mc:Choice>
        </mc:AlternateContent>
        <mc:AlternateContent xmlns:mc="http://schemas.openxmlformats.org/markup-compatibility/2006">
          <mc:Choice Requires="x14">
            <control shapeId="1403" r:id="rId18" name="Button 379">
              <controlPr defaultSize="0" print="0" autoFill="0" autoPict="0" macro="[0]!NETWORKhide">
                <anchor moveWithCells="1" sizeWithCells="1">
                  <from>
                    <xdr:col>16</xdr:col>
                    <xdr:colOff>38100</xdr:colOff>
                    <xdr:row>73</xdr:row>
                    <xdr:rowOff>0</xdr:rowOff>
                  </from>
                  <to>
                    <xdr:col>16</xdr:col>
                    <xdr:colOff>184150</xdr:colOff>
                    <xdr:row>73</xdr:row>
                    <xdr:rowOff>0</xdr:rowOff>
                  </to>
                </anchor>
              </controlPr>
            </control>
          </mc:Choice>
        </mc:AlternateContent>
        <mc:AlternateContent xmlns:mc="http://schemas.openxmlformats.org/markup-compatibility/2006">
          <mc:Choice Requires="x14">
            <control shapeId="1404" r:id="rId19" name="Button 380">
              <controlPr defaultSize="0" print="0" autoFill="0" autoPict="0" macro="[0]!NETWORKshow">
                <anchor moveWithCells="1" sizeWithCells="1">
                  <from>
                    <xdr:col>14</xdr:col>
                    <xdr:colOff>107950</xdr:colOff>
                    <xdr:row>73</xdr:row>
                    <xdr:rowOff>0</xdr:rowOff>
                  </from>
                  <to>
                    <xdr:col>14</xdr:col>
                    <xdr:colOff>247650</xdr:colOff>
                    <xdr:row>73</xdr:row>
                    <xdr:rowOff>0</xdr:rowOff>
                  </to>
                </anchor>
              </controlPr>
            </control>
          </mc:Choice>
        </mc:AlternateContent>
        <mc:AlternateContent xmlns:mc="http://schemas.openxmlformats.org/markup-compatibility/2006">
          <mc:Choice Requires="x14">
            <control shapeId="1423" r:id="rId20" name="Button 399">
              <controlPr defaultSize="0" print="0" autoFill="0" autoPict="0" macro="[0]!ShowPahw">
                <anchor moveWithCells="1">
                  <from>
                    <xdr:col>14</xdr:col>
                    <xdr:colOff>31750</xdr:colOff>
                    <xdr:row>295</xdr:row>
                    <xdr:rowOff>76200</xdr:rowOff>
                  </from>
                  <to>
                    <xdr:col>14</xdr:col>
                    <xdr:colOff>190500</xdr:colOff>
                    <xdr:row>295</xdr:row>
                    <xdr:rowOff>241300</xdr:rowOff>
                  </to>
                </anchor>
              </controlPr>
            </control>
          </mc:Choice>
        </mc:AlternateContent>
        <mc:AlternateContent xmlns:mc="http://schemas.openxmlformats.org/markup-compatibility/2006">
          <mc:Choice Requires="x14">
            <control shapeId="1424" r:id="rId21" name="Button 400">
              <controlPr defaultSize="0" print="0" autoFill="0" autoPict="0" macro="[0]!HidePahw">
                <anchor moveWithCells="1">
                  <from>
                    <xdr:col>16</xdr:col>
                    <xdr:colOff>31750</xdr:colOff>
                    <xdr:row>295</xdr:row>
                    <xdr:rowOff>69850</xdr:rowOff>
                  </from>
                  <to>
                    <xdr:col>16</xdr:col>
                    <xdr:colOff>190500</xdr:colOff>
                    <xdr:row>295</xdr:row>
                    <xdr:rowOff>228600</xdr:rowOff>
                  </to>
                </anchor>
              </controlPr>
            </control>
          </mc:Choice>
        </mc:AlternateContent>
        <mc:AlternateContent xmlns:mc="http://schemas.openxmlformats.org/markup-compatibility/2006">
          <mc:Choice Requires="x14">
            <control shapeId="1426" r:id="rId22" name="Button 402">
              <controlPr defaultSize="0" print="0" autoFill="0" autoPict="0" macro="[0]!ShowOhw">
                <anchor moveWithCells="1">
                  <from>
                    <xdr:col>14</xdr:col>
                    <xdr:colOff>19050</xdr:colOff>
                    <xdr:row>317</xdr:row>
                    <xdr:rowOff>76200</xdr:rowOff>
                  </from>
                  <to>
                    <xdr:col>14</xdr:col>
                    <xdr:colOff>184150</xdr:colOff>
                    <xdr:row>317</xdr:row>
                    <xdr:rowOff>241300</xdr:rowOff>
                  </to>
                </anchor>
              </controlPr>
            </control>
          </mc:Choice>
        </mc:AlternateContent>
        <mc:AlternateContent xmlns:mc="http://schemas.openxmlformats.org/markup-compatibility/2006">
          <mc:Choice Requires="x14">
            <control shapeId="1427" r:id="rId23" name="Button 403">
              <controlPr defaultSize="0" print="0" autoFill="0" autoPict="0" macro="[0]!HideOhw">
                <anchor moveWithCells="1">
                  <from>
                    <xdr:col>16</xdr:col>
                    <xdr:colOff>19050</xdr:colOff>
                    <xdr:row>317</xdr:row>
                    <xdr:rowOff>88900</xdr:rowOff>
                  </from>
                  <to>
                    <xdr:col>16</xdr:col>
                    <xdr:colOff>184150</xdr:colOff>
                    <xdr:row>317</xdr:row>
                    <xdr:rowOff>247650</xdr:rowOff>
                  </to>
                </anchor>
              </controlPr>
            </control>
          </mc:Choice>
        </mc:AlternateContent>
        <mc:AlternateContent xmlns:mc="http://schemas.openxmlformats.org/markup-compatibility/2006">
          <mc:Choice Requires="x14">
            <control shapeId="1428" r:id="rId24" name="Button 404">
              <controlPr defaultSize="0" print="0" autoFill="0" autoPict="0" macro="[0]!ShowPahin">
                <anchor moveWithCells="1">
                  <from>
                    <xdr:col>14</xdr:col>
                    <xdr:colOff>31750</xdr:colOff>
                    <xdr:row>491</xdr:row>
                    <xdr:rowOff>88900</xdr:rowOff>
                  </from>
                  <to>
                    <xdr:col>14</xdr:col>
                    <xdr:colOff>190500</xdr:colOff>
                    <xdr:row>491</xdr:row>
                    <xdr:rowOff>247650</xdr:rowOff>
                  </to>
                </anchor>
              </controlPr>
            </control>
          </mc:Choice>
        </mc:AlternateContent>
        <mc:AlternateContent xmlns:mc="http://schemas.openxmlformats.org/markup-compatibility/2006">
          <mc:Choice Requires="x14">
            <control shapeId="1429" r:id="rId25" name="Button 405">
              <controlPr defaultSize="0" print="0" autoFill="0" autoPict="0" macro="[0]!HidePahin">
                <anchor moveWithCells="1">
                  <from>
                    <xdr:col>16</xdr:col>
                    <xdr:colOff>19050</xdr:colOff>
                    <xdr:row>491</xdr:row>
                    <xdr:rowOff>76200</xdr:rowOff>
                  </from>
                  <to>
                    <xdr:col>16</xdr:col>
                    <xdr:colOff>184150</xdr:colOff>
                    <xdr:row>491</xdr:row>
                    <xdr:rowOff>241300</xdr:rowOff>
                  </to>
                </anchor>
              </controlPr>
            </control>
          </mc:Choice>
        </mc:AlternateContent>
        <mc:AlternateContent xmlns:mc="http://schemas.openxmlformats.org/markup-compatibility/2006">
          <mc:Choice Requires="x14">
            <control shapeId="1430" r:id="rId26" name="Button 406">
              <controlPr defaultSize="0" print="0" autoFill="0" autoPict="0" macro="[0]!ShowOhwin">
                <anchor moveWithCells="1">
                  <from>
                    <xdr:col>14</xdr:col>
                    <xdr:colOff>19050</xdr:colOff>
                    <xdr:row>513</xdr:row>
                    <xdr:rowOff>76200</xdr:rowOff>
                  </from>
                  <to>
                    <xdr:col>14</xdr:col>
                    <xdr:colOff>184150</xdr:colOff>
                    <xdr:row>513</xdr:row>
                    <xdr:rowOff>241300</xdr:rowOff>
                  </to>
                </anchor>
              </controlPr>
            </control>
          </mc:Choice>
        </mc:AlternateContent>
        <mc:AlternateContent xmlns:mc="http://schemas.openxmlformats.org/markup-compatibility/2006">
          <mc:Choice Requires="x14">
            <control shapeId="1431" r:id="rId27" name="Button 407">
              <controlPr defaultSize="0" print="0" autoFill="0" autoPict="0" macro="[0]!HideOhwin">
                <anchor moveWithCells="1">
                  <from>
                    <xdr:col>16</xdr:col>
                    <xdr:colOff>38100</xdr:colOff>
                    <xdr:row>513</xdr:row>
                    <xdr:rowOff>76200</xdr:rowOff>
                  </from>
                  <to>
                    <xdr:col>16</xdr:col>
                    <xdr:colOff>203200</xdr:colOff>
                    <xdr:row>513</xdr:row>
                    <xdr:rowOff>241300</xdr:rowOff>
                  </to>
                </anchor>
              </controlPr>
            </control>
          </mc:Choice>
        </mc:AlternateContent>
        <mc:AlternateContent xmlns:mc="http://schemas.openxmlformats.org/markup-compatibility/2006">
          <mc:Choice Requires="x14">
            <control shapeId="1440" r:id="rId28" name="Button 416">
              <controlPr defaultSize="0" print="0" autoFill="0" autoPict="0" macro="[0]!ShowIspn">
                <anchor moveWithCells="1">
                  <from>
                    <xdr:col>14</xdr:col>
                    <xdr:colOff>57150</xdr:colOff>
                    <xdr:row>74</xdr:row>
                    <xdr:rowOff>38100</xdr:rowOff>
                  </from>
                  <to>
                    <xdr:col>14</xdr:col>
                    <xdr:colOff>222250</xdr:colOff>
                    <xdr:row>74</xdr:row>
                    <xdr:rowOff>203200</xdr:rowOff>
                  </to>
                </anchor>
              </controlPr>
            </control>
          </mc:Choice>
        </mc:AlternateContent>
        <mc:AlternateContent xmlns:mc="http://schemas.openxmlformats.org/markup-compatibility/2006">
          <mc:Choice Requires="x14">
            <control shapeId="1441" r:id="rId29" name="Button 417">
              <controlPr defaultSize="0" print="0" autoFill="0" autoPict="0" macro="[0]!HideIspn">
                <anchor moveWithCells="1">
                  <from>
                    <xdr:col>16</xdr:col>
                    <xdr:colOff>31750</xdr:colOff>
                    <xdr:row>74</xdr:row>
                    <xdr:rowOff>50800</xdr:rowOff>
                  </from>
                  <to>
                    <xdr:col>16</xdr:col>
                    <xdr:colOff>190500</xdr:colOff>
                    <xdr:row>74</xdr:row>
                    <xdr:rowOff>209550</xdr:rowOff>
                  </to>
                </anchor>
              </controlPr>
            </control>
          </mc:Choice>
        </mc:AlternateContent>
        <mc:AlternateContent xmlns:mc="http://schemas.openxmlformats.org/markup-compatibility/2006">
          <mc:Choice Requires="x14">
            <control shapeId="1444" r:id="rId30" name="Button 420">
              <controlPr defaultSize="0" print="0" autoFill="0" autoPict="0" macro="[0]!ShowFacn">
                <anchor moveWithCells="1">
                  <from>
                    <xdr:col>14</xdr:col>
                    <xdr:colOff>57150</xdr:colOff>
                    <xdr:row>144</xdr:row>
                    <xdr:rowOff>38100</xdr:rowOff>
                  </from>
                  <to>
                    <xdr:col>14</xdr:col>
                    <xdr:colOff>222250</xdr:colOff>
                    <xdr:row>144</xdr:row>
                    <xdr:rowOff>203200</xdr:rowOff>
                  </to>
                </anchor>
              </controlPr>
            </control>
          </mc:Choice>
        </mc:AlternateContent>
        <mc:AlternateContent xmlns:mc="http://schemas.openxmlformats.org/markup-compatibility/2006">
          <mc:Choice Requires="x14">
            <control shapeId="1445" r:id="rId31" name="Button 421">
              <controlPr defaultSize="0" print="0" autoFill="0" autoPict="0" macro="[0]!HideFacn">
                <anchor moveWithCells="1">
                  <from>
                    <xdr:col>16</xdr:col>
                    <xdr:colOff>31750</xdr:colOff>
                    <xdr:row>144</xdr:row>
                    <xdr:rowOff>50800</xdr:rowOff>
                  </from>
                  <to>
                    <xdr:col>16</xdr:col>
                    <xdr:colOff>190500</xdr:colOff>
                    <xdr:row>144</xdr:row>
                    <xdr:rowOff>209550</xdr:rowOff>
                  </to>
                </anchor>
              </controlPr>
            </control>
          </mc:Choice>
        </mc:AlternateContent>
        <mc:AlternateContent xmlns:mc="http://schemas.openxmlformats.org/markup-compatibility/2006">
          <mc:Choice Requires="x14">
            <control shapeId="1446" r:id="rId32" name="Button 422">
              <controlPr defaultSize="0" print="0" autoFill="0" autoPict="0" macro="[0]!ShowMm">
                <anchor moveWithCells="1">
                  <from>
                    <xdr:col>14</xdr:col>
                    <xdr:colOff>50800</xdr:colOff>
                    <xdr:row>208</xdr:row>
                    <xdr:rowOff>57150</xdr:rowOff>
                  </from>
                  <to>
                    <xdr:col>14</xdr:col>
                    <xdr:colOff>209550</xdr:colOff>
                    <xdr:row>208</xdr:row>
                    <xdr:rowOff>222250</xdr:rowOff>
                  </to>
                </anchor>
              </controlPr>
            </control>
          </mc:Choice>
        </mc:AlternateContent>
        <mc:AlternateContent xmlns:mc="http://schemas.openxmlformats.org/markup-compatibility/2006">
          <mc:Choice Requires="x14">
            <control shapeId="1447" r:id="rId33" name="Button 423">
              <controlPr defaultSize="0" print="0" autoFill="0" autoPict="0" macro="[0]!HideMm">
                <anchor moveWithCells="1">
                  <from>
                    <xdr:col>16</xdr:col>
                    <xdr:colOff>38100</xdr:colOff>
                    <xdr:row>208</xdr:row>
                    <xdr:rowOff>50800</xdr:rowOff>
                  </from>
                  <to>
                    <xdr:col>16</xdr:col>
                    <xdr:colOff>203200</xdr:colOff>
                    <xdr:row>208</xdr:row>
                    <xdr:rowOff>209550</xdr:rowOff>
                  </to>
                </anchor>
              </controlPr>
            </control>
          </mc:Choice>
        </mc:AlternateContent>
        <mc:AlternateContent xmlns:mc="http://schemas.openxmlformats.org/markup-compatibility/2006">
          <mc:Choice Requires="x14">
            <control shapeId="1462" r:id="rId34" name="Button 438">
              <controlPr defaultSize="0" print="0" autoFill="0" autoPict="0" macro="[0]!NETWORKhide">
                <anchor moveWithCells="1" sizeWithCells="1">
                  <from>
                    <xdr:col>16</xdr:col>
                    <xdr:colOff>38100</xdr:colOff>
                    <xdr:row>37</xdr:row>
                    <xdr:rowOff>0</xdr:rowOff>
                  </from>
                  <to>
                    <xdr:col>16</xdr:col>
                    <xdr:colOff>184150</xdr:colOff>
                    <xdr:row>37</xdr:row>
                    <xdr:rowOff>0</xdr:rowOff>
                  </to>
                </anchor>
              </controlPr>
            </control>
          </mc:Choice>
        </mc:AlternateContent>
        <mc:AlternateContent xmlns:mc="http://schemas.openxmlformats.org/markup-compatibility/2006">
          <mc:Choice Requires="x14">
            <control shapeId="1463" r:id="rId35" name="Button 439">
              <controlPr defaultSize="0" print="0" autoFill="0" autoPict="0" macro="[0]!NETWORKshow">
                <anchor moveWithCells="1" sizeWithCells="1">
                  <from>
                    <xdr:col>14</xdr:col>
                    <xdr:colOff>107950</xdr:colOff>
                    <xdr:row>37</xdr:row>
                    <xdr:rowOff>0</xdr:rowOff>
                  </from>
                  <to>
                    <xdr:col>14</xdr:col>
                    <xdr:colOff>247650</xdr:colOff>
                    <xdr:row>37</xdr:row>
                    <xdr:rowOff>0</xdr:rowOff>
                  </to>
                </anchor>
              </controlPr>
            </control>
          </mc:Choice>
        </mc:AlternateContent>
        <mc:AlternateContent xmlns:mc="http://schemas.openxmlformats.org/markup-compatibility/2006">
          <mc:Choice Requires="x14">
            <control shapeId="1464" r:id="rId36" name="Button 440">
              <controlPr defaultSize="0" print="0" autoFill="0" autoPict="0" macro="[0]!HideWd">
                <anchor moveWithCells="1">
                  <from>
                    <xdr:col>16</xdr:col>
                    <xdr:colOff>38100</xdr:colOff>
                    <xdr:row>37</xdr:row>
                    <xdr:rowOff>50800</xdr:rowOff>
                  </from>
                  <to>
                    <xdr:col>16</xdr:col>
                    <xdr:colOff>203200</xdr:colOff>
                    <xdr:row>37</xdr:row>
                    <xdr:rowOff>209550</xdr:rowOff>
                  </to>
                </anchor>
              </controlPr>
            </control>
          </mc:Choice>
        </mc:AlternateContent>
        <mc:AlternateContent xmlns:mc="http://schemas.openxmlformats.org/markup-compatibility/2006">
          <mc:Choice Requires="x14">
            <control shapeId="1465" r:id="rId37" name="Button 441">
              <controlPr defaultSize="0" print="0" autoFill="0" autoPict="0" macro="[0]!ShowWd">
                <anchor moveWithCells="1">
                  <from>
                    <xdr:col>14</xdr:col>
                    <xdr:colOff>50800</xdr:colOff>
                    <xdr:row>37</xdr:row>
                    <xdr:rowOff>50800</xdr:rowOff>
                  </from>
                  <to>
                    <xdr:col>14</xdr:col>
                    <xdr:colOff>209550</xdr:colOff>
                    <xdr:row>37</xdr:row>
                    <xdr:rowOff>209550</xdr:rowOff>
                  </to>
                </anchor>
              </controlPr>
            </control>
          </mc:Choice>
        </mc:AlternateContent>
        <mc:AlternateContent xmlns:mc="http://schemas.openxmlformats.org/markup-compatibility/2006">
          <mc:Choice Requires="x14">
            <control shapeId="1470" r:id="rId38" name="Button 446">
              <controlPr defaultSize="0" print="0" autoFill="0" autoPict="0" macro="[0]!ShowUninstall">
                <anchor moveWithCells="1">
                  <from>
                    <xdr:col>14</xdr:col>
                    <xdr:colOff>50800</xdr:colOff>
                    <xdr:row>551</xdr:row>
                    <xdr:rowOff>50800</xdr:rowOff>
                  </from>
                  <to>
                    <xdr:col>14</xdr:col>
                    <xdr:colOff>209550</xdr:colOff>
                    <xdr:row>552</xdr:row>
                    <xdr:rowOff>0</xdr:rowOff>
                  </to>
                </anchor>
              </controlPr>
            </control>
          </mc:Choice>
        </mc:AlternateContent>
        <mc:AlternateContent xmlns:mc="http://schemas.openxmlformats.org/markup-compatibility/2006">
          <mc:Choice Requires="x14">
            <control shapeId="1471" r:id="rId39" name="Button 447">
              <controlPr defaultSize="0" print="0" autoFill="0" autoPict="0" macro="[0]!HideUninstall">
                <anchor moveWithCells="1">
                  <from>
                    <xdr:col>16</xdr:col>
                    <xdr:colOff>38100</xdr:colOff>
                    <xdr:row>551</xdr:row>
                    <xdr:rowOff>50800</xdr:rowOff>
                  </from>
                  <to>
                    <xdr:col>16</xdr:col>
                    <xdr:colOff>203200</xdr:colOff>
                    <xdr:row>552</xdr:row>
                    <xdr:rowOff>0</xdr:rowOff>
                  </to>
                </anchor>
              </controlPr>
            </control>
          </mc:Choice>
        </mc:AlternateContent>
        <mc:AlternateContent xmlns:mc="http://schemas.openxmlformats.org/markup-compatibility/2006">
          <mc:Choice Requires="x14">
            <control shapeId="1472" r:id="rId40" name="Button 448">
              <controlPr defaultSize="0" print="0" autoFill="0" autoPict="0" macro="[0]!NETWORKhide">
                <anchor moveWithCells="1" sizeWithCells="1">
                  <from>
                    <xdr:col>16</xdr:col>
                    <xdr:colOff>38100</xdr:colOff>
                    <xdr:row>46</xdr:row>
                    <xdr:rowOff>0</xdr:rowOff>
                  </from>
                  <to>
                    <xdr:col>16</xdr:col>
                    <xdr:colOff>184150</xdr:colOff>
                    <xdr:row>46</xdr:row>
                    <xdr:rowOff>0</xdr:rowOff>
                  </to>
                </anchor>
              </controlPr>
            </control>
          </mc:Choice>
        </mc:AlternateContent>
        <mc:AlternateContent xmlns:mc="http://schemas.openxmlformats.org/markup-compatibility/2006">
          <mc:Choice Requires="x14">
            <control shapeId="1473" r:id="rId41" name="Button 449">
              <controlPr defaultSize="0" print="0" autoFill="0" autoPict="0" macro="[0]!NETWORKshow">
                <anchor moveWithCells="1" sizeWithCells="1">
                  <from>
                    <xdr:col>14</xdr:col>
                    <xdr:colOff>107950</xdr:colOff>
                    <xdr:row>46</xdr:row>
                    <xdr:rowOff>0</xdr:rowOff>
                  </from>
                  <to>
                    <xdr:col>14</xdr:col>
                    <xdr:colOff>247650</xdr:colOff>
                    <xdr:row>46</xdr:row>
                    <xdr:rowOff>0</xdr:rowOff>
                  </to>
                </anchor>
              </controlPr>
            </control>
          </mc:Choice>
        </mc:AlternateContent>
        <mc:AlternateContent xmlns:mc="http://schemas.openxmlformats.org/markup-compatibility/2006">
          <mc:Choice Requires="x14">
            <control shapeId="1474" r:id="rId42" name="Button 450">
              <controlPr defaultSize="0" print="0" autoFill="0" autoPict="0" macro="[0]!HideCBRE">
                <anchor moveWithCells="1">
                  <from>
                    <xdr:col>16</xdr:col>
                    <xdr:colOff>38100</xdr:colOff>
                    <xdr:row>46</xdr:row>
                    <xdr:rowOff>50800</xdr:rowOff>
                  </from>
                  <to>
                    <xdr:col>16</xdr:col>
                    <xdr:colOff>203200</xdr:colOff>
                    <xdr:row>46</xdr:row>
                    <xdr:rowOff>209550</xdr:rowOff>
                  </to>
                </anchor>
              </controlPr>
            </control>
          </mc:Choice>
        </mc:AlternateContent>
        <mc:AlternateContent xmlns:mc="http://schemas.openxmlformats.org/markup-compatibility/2006">
          <mc:Choice Requires="x14">
            <control shapeId="1475" r:id="rId43" name="Button 451">
              <controlPr defaultSize="0" print="0" autoFill="0" autoPict="0" macro="[0]!ShowCBRE">
                <anchor moveWithCells="1">
                  <from>
                    <xdr:col>14</xdr:col>
                    <xdr:colOff>50800</xdr:colOff>
                    <xdr:row>46</xdr:row>
                    <xdr:rowOff>50800</xdr:rowOff>
                  </from>
                  <to>
                    <xdr:col>14</xdr:col>
                    <xdr:colOff>209550</xdr:colOff>
                    <xdr:row>46</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F51"/>
  <sheetViews>
    <sheetView zoomScaleNormal="100" workbookViewId="0">
      <pane ySplit="1" topLeftCell="A2" activePane="bottomLeft" state="frozen"/>
      <selection pane="bottomLeft" activeCell="A3" sqref="A3"/>
    </sheetView>
  </sheetViews>
  <sheetFormatPr defaultColWidth="9.1796875" defaultRowHeight="14.5"/>
  <cols>
    <col min="1" max="1" width="36.81640625" style="260" bestFit="1" customWidth="1"/>
    <col min="2" max="2" width="34.453125" style="260" customWidth="1"/>
    <col min="3" max="3" width="12.81640625" style="260" customWidth="1"/>
    <col min="4" max="5" width="14.7265625" style="260" customWidth="1"/>
    <col min="6" max="7" width="9.1796875" style="260" customWidth="1"/>
    <col min="8" max="16384" width="9.1796875" style="260"/>
  </cols>
  <sheetData>
    <row r="1" spans="1:6" ht="29.5" thickBot="1">
      <c r="A1" s="293" t="s">
        <v>638</v>
      </c>
      <c r="B1" s="293" t="s">
        <v>612</v>
      </c>
      <c r="C1" s="293" t="s">
        <v>2665</v>
      </c>
      <c r="D1" s="293" t="s">
        <v>613</v>
      </c>
      <c r="E1" s="293" t="s">
        <v>633</v>
      </c>
      <c r="F1" s="258"/>
    </row>
    <row r="2" spans="1:6" ht="31.5" thickBot="1">
      <c r="A2" s="291" t="s">
        <v>614</v>
      </c>
      <c r="B2" s="261"/>
      <c r="C2" s="261"/>
      <c r="D2" s="261"/>
      <c r="E2" s="261"/>
      <c r="F2" s="262"/>
    </row>
    <row r="3" spans="1:6" ht="15.5">
      <c r="A3" s="262"/>
      <c r="B3" s="261"/>
      <c r="C3" s="261"/>
      <c r="D3" s="263">
        <v>0</v>
      </c>
      <c r="E3" s="264">
        <v>0</v>
      </c>
      <c r="F3" s="262"/>
    </row>
    <row r="4" spans="1:6" ht="15.5">
      <c r="A4" s="262"/>
      <c r="B4" s="261"/>
      <c r="C4" s="261"/>
      <c r="D4" s="265" t="s">
        <v>615</v>
      </c>
      <c r="E4" s="266" t="s">
        <v>616</v>
      </c>
      <c r="F4" s="262"/>
    </row>
    <row r="5" spans="1:6" ht="16" thickBot="1">
      <c r="A5" s="262"/>
      <c r="B5" s="261"/>
      <c r="C5" s="261"/>
      <c r="D5" s="267" t="s">
        <v>617</v>
      </c>
      <c r="E5" s="268"/>
      <c r="F5" s="262"/>
    </row>
    <row r="6" spans="1:6">
      <c r="A6" s="262"/>
      <c r="B6" s="261"/>
      <c r="C6" s="261"/>
      <c r="D6" s="261"/>
      <c r="E6" s="261"/>
      <c r="F6" s="262"/>
    </row>
    <row r="7" spans="1:6" ht="31">
      <c r="A7" s="291" t="s">
        <v>618</v>
      </c>
      <c r="B7" s="259"/>
      <c r="C7" s="259"/>
      <c r="D7" s="259"/>
      <c r="E7" s="259"/>
      <c r="F7" s="258"/>
    </row>
    <row r="8" spans="1:6">
      <c r="A8" s="269" t="s">
        <v>619</v>
      </c>
      <c r="B8" s="269"/>
      <c r="C8" s="270"/>
      <c r="D8" s="271"/>
    </row>
    <row r="9" spans="1:6">
      <c r="A9" s="273" t="s">
        <v>620</v>
      </c>
      <c r="B9" s="273" t="s">
        <v>356</v>
      </c>
      <c r="C9" s="274">
        <v>101.44</v>
      </c>
      <c r="D9" s="275">
        <v>16</v>
      </c>
      <c r="E9" s="276">
        <f>SUM(D9*C9)</f>
        <v>1623.04</v>
      </c>
      <c r="F9" s="272"/>
    </row>
    <row r="10" spans="1:6">
      <c r="A10" s="273" t="s">
        <v>621</v>
      </c>
      <c r="B10" s="273" t="s">
        <v>357</v>
      </c>
      <c r="C10" s="274">
        <v>120.05</v>
      </c>
      <c r="D10" s="275">
        <v>10.6</v>
      </c>
      <c r="E10" s="290">
        <f>SUM(D10*C10)</f>
        <v>1272.53</v>
      </c>
    </row>
    <row r="11" spans="1:6">
      <c r="A11" s="273" t="s">
        <v>622</v>
      </c>
      <c r="B11" s="273" t="s">
        <v>356</v>
      </c>
      <c r="C11" s="274">
        <v>101.44</v>
      </c>
      <c r="D11" s="275">
        <v>0.96</v>
      </c>
      <c r="E11" s="290">
        <f>SUM(D11*C11)</f>
        <v>97.38239999999999</v>
      </c>
    </row>
    <row r="12" spans="1:6">
      <c r="A12" s="277" t="s">
        <v>624</v>
      </c>
      <c r="B12" s="269"/>
      <c r="C12" s="270"/>
      <c r="D12" s="278"/>
      <c r="E12" s="278"/>
    </row>
    <row r="13" spans="1:6">
      <c r="A13" s="273" t="s">
        <v>625</v>
      </c>
      <c r="B13" s="273" t="s">
        <v>356</v>
      </c>
      <c r="C13" s="274">
        <v>101.44</v>
      </c>
      <c r="D13" s="275">
        <v>2.4750000000000001</v>
      </c>
      <c r="E13" s="290">
        <f>SUM(D13*C13)</f>
        <v>251.06399999999999</v>
      </c>
      <c r="F13" s="272"/>
    </row>
    <row r="14" spans="1:6" ht="15" thickBot="1">
      <c r="A14" s="273" t="s">
        <v>626</v>
      </c>
      <c r="B14" s="273" t="s">
        <v>311</v>
      </c>
      <c r="C14" s="274">
        <v>67.099999999999994</v>
      </c>
      <c r="D14" s="275">
        <v>1.68</v>
      </c>
      <c r="E14" s="290">
        <f>SUM(D14*C14)</f>
        <v>112.72799999999998</v>
      </c>
    </row>
    <row r="15" spans="1:6" ht="15.5">
      <c r="B15" s="279"/>
      <c r="C15" s="280"/>
      <c r="D15" s="263">
        <f>SUM(D9:D14)</f>
        <v>31.715000000000003</v>
      </c>
      <c r="E15" s="264">
        <f>SUM(E9:E14)</f>
        <v>3356.7443999999996</v>
      </c>
    </row>
    <row r="16" spans="1:6" ht="15.5">
      <c r="B16" s="281"/>
      <c r="C16" s="282"/>
      <c r="D16" s="265" t="s">
        <v>615</v>
      </c>
      <c r="E16" s="266" t="s">
        <v>616</v>
      </c>
    </row>
    <row r="17" spans="1:6" ht="16" thickBot="1">
      <c r="C17" s="283"/>
      <c r="D17" s="267" t="s">
        <v>628</v>
      </c>
      <c r="E17" s="268"/>
      <c r="F17" s="284"/>
    </row>
    <row r="18" spans="1:6">
      <c r="F18" s="285"/>
    </row>
    <row r="19" spans="1:6" ht="31">
      <c r="A19" s="291" t="s">
        <v>629</v>
      </c>
      <c r="B19" s="259"/>
      <c r="C19" s="259"/>
      <c r="D19" s="259"/>
      <c r="E19" s="259"/>
      <c r="F19" s="258"/>
    </row>
    <row r="20" spans="1:6">
      <c r="A20" s="269" t="s">
        <v>619</v>
      </c>
      <c r="B20" s="269"/>
      <c r="C20" s="270"/>
      <c r="D20" s="271"/>
    </row>
    <row r="21" spans="1:6">
      <c r="A21" s="273" t="s">
        <v>620</v>
      </c>
      <c r="B21" s="273" t="s">
        <v>356</v>
      </c>
      <c r="C21" s="274">
        <v>101.44</v>
      </c>
      <c r="D21" s="275">
        <v>22</v>
      </c>
      <c r="E21" s="276">
        <f>SUM(D21*C21)</f>
        <v>2231.6799999999998</v>
      </c>
      <c r="F21" s="272"/>
    </row>
    <row r="22" spans="1:6">
      <c r="A22" s="273" t="s">
        <v>621</v>
      </c>
      <c r="B22" s="273" t="s">
        <v>357</v>
      </c>
      <c r="C22" s="274">
        <v>120.05</v>
      </c>
      <c r="D22" s="275">
        <v>13.11</v>
      </c>
      <c r="E22" s="290">
        <f>SUM(D22*C22)</f>
        <v>1573.8554999999999</v>
      </c>
    </row>
    <row r="23" spans="1:6">
      <c r="A23" s="273" t="s">
        <v>622</v>
      </c>
      <c r="B23" s="273" t="s">
        <v>356</v>
      </c>
      <c r="C23" s="274">
        <v>101.44</v>
      </c>
      <c r="D23" s="275">
        <v>0.96</v>
      </c>
      <c r="E23" s="290">
        <f>SUM(D23*C23)</f>
        <v>97.38239999999999</v>
      </c>
    </row>
    <row r="24" spans="1:6">
      <c r="A24" s="277" t="s">
        <v>624</v>
      </c>
      <c r="B24" s="269"/>
      <c r="C24" s="270"/>
      <c r="D24" s="278"/>
      <c r="E24" s="278"/>
    </row>
    <row r="25" spans="1:6">
      <c r="A25" s="273" t="s">
        <v>625</v>
      </c>
      <c r="B25" s="273" t="s">
        <v>356</v>
      </c>
      <c r="C25" s="274">
        <v>101.44</v>
      </c>
      <c r="D25" s="275">
        <v>2.4750000000000001</v>
      </c>
      <c r="E25" s="290">
        <f>SUM(D25*C25)</f>
        <v>251.06399999999999</v>
      </c>
      <c r="F25" s="272"/>
    </row>
    <row r="26" spans="1:6" ht="15" thickBot="1">
      <c r="A26" s="273" t="s">
        <v>626</v>
      </c>
      <c r="B26" s="273" t="s">
        <v>311</v>
      </c>
      <c r="C26" s="274">
        <v>67.099999999999994</v>
      </c>
      <c r="D26" s="275">
        <v>1.68</v>
      </c>
      <c r="E26" s="276">
        <f>SUM(D26*C26)</f>
        <v>112.72799999999998</v>
      </c>
    </row>
    <row r="27" spans="1:6" ht="15.5">
      <c r="B27" s="279"/>
      <c r="C27" s="280"/>
      <c r="D27" s="263">
        <f>SUM(D21:D26)</f>
        <v>40.225000000000001</v>
      </c>
      <c r="E27" s="264">
        <f>SUM(E21:E26)</f>
        <v>4266.7098999999998</v>
      </c>
    </row>
    <row r="28" spans="1:6" ht="15.5">
      <c r="B28" s="281"/>
      <c r="C28" s="282"/>
      <c r="D28" s="265" t="s">
        <v>615</v>
      </c>
      <c r="E28" s="266" t="s">
        <v>616</v>
      </c>
    </row>
    <row r="29" spans="1:6" ht="16" thickBot="1">
      <c r="C29" s="283"/>
      <c r="D29" s="267" t="s">
        <v>630</v>
      </c>
      <c r="E29" s="268"/>
      <c r="F29" s="286"/>
    </row>
    <row r="30" spans="1:6">
      <c r="F30" s="287"/>
    </row>
    <row r="31" spans="1:6" ht="31">
      <c r="A31" s="291" t="s">
        <v>631</v>
      </c>
      <c r="B31" s="259"/>
      <c r="C31" s="259"/>
      <c r="D31" s="259"/>
      <c r="E31" s="259"/>
      <c r="F31" s="258"/>
    </row>
    <row r="32" spans="1:6">
      <c r="A32" s="269" t="s">
        <v>619</v>
      </c>
      <c r="B32" s="269"/>
      <c r="C32" s="270"/>
      <c r="D32" s="271"/>
    </row>
    <row r="33" spans="1:6">
      <c r="A33" s="273" t="s">
        <v>620</v>
      </c>
      <c r="B33" s="273" t="s">
        <v>356</v>
      </c>
      <c r="C33" s="274">
        <v>101.44</v>
      </c>
      <c r="D33" s="275">
        <v>33</v>
      </c>
      <c r="E33" s="290">
        <f>SUM(D33*C33)</f>
        <v>3347.52</v>
      </c>
      <c r="F33" s="272"/>
    </row>
    <row r="34" spans="1:6">
      <c r="A34" s="273" t="s">
        <v>621</v>
      </c>
      <c r="B34" s="273" t="s">
        <v>357</v>
      </c>
      <c r="C34" s="274">
        <v>120.05</v>
      </c>
      <c r="D34" s="275">
        <v>16.440000000000001</v>
      </c>
      <c r="E34" s="290">
        <f>SUM(D34*C34)</f>
        <v>1973.6220000000001</v>
      </c>
    </row>
    <row r="35" spans="1:6">
      <c r="A35" s="273" t="s">
        <v>622</v>
      </c>
      <c r="B35" s="273" t="s">
        <v>356</v>
      </c>
      <c r="C35" s="274">
        <v>101.44</v>
      </c>
      <c r="D35" s="275">
        <v>0.96</v>
      </c>
      <c r="E35" s="290">
        <f>SUM(D35*C35)</f>
        <v>97.38239999999999</v>
      </c>
    </row>
    <row r="36" spans="1:6">
      <c r="A36" s="277" t="s">
        <v>624</v>
      </c>
      <c r="B36" s="269"/>
      <c r="C36" s="270"/>
      <c r="D36" s="278"/>
      <c r="E36" s="278"/>
    </row>
    <row r="37" spans="1:6">
      <c r="A37" s="273" t="s">
        <v>625</v>
      </c>
      <c r="B37" s="273" t="s">
        <v>356</v>
      </c>
      <c r="C37" s="274">
        <v>101.44</v>
      </c>
      <c r="D37" s="275">
        <v>2.4750000000000001</v>
      </c>
      <c r="E37" s="290">
        <f>SUM(D37*C37)</f>
        <v>251.06399999999999</v>
      </c>
      <c r="F37" s="272"/>
    </row>
    <row r="38" spans="1:6" ht="15" thickBot="1">
      <c r="A38" s="273" t="s">
        <v>626</v>
      </c>
      <c r="B38" s="273" t="s">
        <v>311</v>
      </c>
      <c r="C38" s="274">
        <v>67.099999999999994</v>
      </c>
      <c r="D38" s="275">
        <v>1.68</v>
      </c>
      <c r="E38" s="290">
        <f>SUM(D38*C38)</f>
        <v>112.72799999999998</v>
      </c>
    </row>
    <row r="39" spans="1:6" ht="15.5">
      <c r="B39" s="279"/>
      <c r="C39" s="280"/>
      <c r="D39" s="263">
        <f>SUM(D33:D38)</f>
        <v>54.555</v>
      </c>
      <c r="E39" s="264">
        <f>SUM(E33:E38)</f>
        <v>5782.3164000000006</v>
      </c>
    </row>
    <row r="40" spans="1:6" ht="15.5">
      <c r="B40" s="281"/>
      <c r="C40" s="282"/>
      <c r="D40" s="265" t="s">
        <v>615</v>
      </c>
      <c r="E40" s="266" t="s">
        <v>616</v>
      </c>
    </row>
    <row r="41" spans="1:6" ht="16" thickBot="1">
      <c r="C41" s="283"/>
      <c r="D41" s="267" t="s">
        <v>632</v>
      </c>
      <c r="E41" s="268"/>
      <c r="F41" s="288"/>
    </row>
    <row r="42" spans="1:6">
      <c r="F42" s="289"/>
    </row>
    <row r="44" spans="1:6">
      <c r="A44" s="292" t="s">
        <v>637</v>
      </c>
      <c r="B44" s="565" t="s">
        <v>196</v>
      </c>
      <c r="C44" s="565"/>
      <c r="D44" s="565"/>
      <c r="E44" s="565"/>
      <c r="F44" s="565"/>
    </row>
    <row r="45" spans="1:6">
      <c r="A45" s="566" t="s">
        <v>619</v>
      </c>
      <c r="B45" s="566"/>
      <c r="C45" s="566"/>
      <c r="D45" s="566"/>
      <c r="E45" s="566"/>
      <c r="F45" s="566"/>
    </row>
    <row r="46" spans="1:6" ht="30" customHeight="1">
      <c r="A46" s="273" t="s">
        <v>620</v>
      </c>
      <c r="B46" s="562" t="s">
        <v>634</v>
      </c>
      <c r="C46" s="563"/>
      <c r="D46" s="563"/>
      <c r="E46" s="563"/>
      <c r="F46" s="564"/>
    </row>
    <row r="47" spans="1:6" ht="90" customHeight="1">
      <c r="A47" s="273" t="s">
        <v>621</v>
      </c>
      <c r="B47" s="562" t="s">
        <v>635</v>
      </c>
      <c r="C47" s="563"/>
      <c r="D47" s="563"/>
      <c r="E47" s="563"/>
      <c r="F47" s="564"/>
    </row>
    <row r="48" spans="1:6" ht="60" customHeight="1">
      <c r="A48" s="273" t="s">
        <v>622</v>
      </c>
      <c r="B48" s="562" t="s">
        <v>623</v>
      </c>
      <c r="C48" s="563"/>
      <c r="D48" s="563"/>
      <c r="E48" s="563"/>
      <c r="F48" s="564"/>
    </row>
    <row r="49" spans="1:6">
      <c r="A49" s="567" t="s">
        <v>624</v>
      </c>
      <c r="B49" s="567"/>
      <c r="C49" s="567"/>
      <c r="D49" s="567"/>
      <c r="E49" s="567"/>
      <c r="F49" s="567"/>
    </row>
    <row r="50" spans="1:6" ht="30" customHeight="1">
      <c r="A50" s="273" t="s">
        <v>625</v>
      </c>
      <c r="B50" s="562" t="s">
        <v>636</v>
      </c>
      <c r="C50" s="563"/>
      <c r="D50" s="563"/>
      <c r="E50" s="563"/>
      <c r="F50" s="564"/>
    </row>
    <row r="51" spans="1:6" ht="45" customHeight="1">
      <c r="A51" s="273" t="s">
        <v>626</v>
      </c>
      <c r="B51" s="562" t="s">
        <v>627</v>
      </c>
      <c r="C51" s="563"/>
      <c r="D51" s="563"/>
      <c r="E51" s="563"/>
      <c r="F51" s="564"/>
    </row>
  </sheetData>
  <sheetProtection algorithmName="SHA-512" hashValue="YCr3jUwayDVE2/RlF0wpMinq7FsQ5hfBJfJ1ZqBmX74cqv0tsw3KEwA/JrHilKuqrH1OrgJGXeHfb2hA+yYAbg==" saltValue="q5aLiNolKfQC4Zs/iRCZ6g==" spinCount="100000" sheet="1" objects="1" scenarios="1" selectLockedCells="1" selectUnlockedCells="1"/>
  <mergeCells count="8">
    <mergeCell ref="B50:F50"/>
    <mergeCell ref="B51:F51"/>
    <mergeCell ref="B44:F44"/>
    <mergeCell ref="A45:F45"/>
    <mergeCell ref="A49:F49"/>
    <mergeCell ref="B46:F46"/>
    <mergeCell ref="B47:F47"/>
    <mergeCell ref="B48:F48"/>
  </mergeCells>
  <printOptions horizontalCentered="1"/>
  <pageMargins left="0.7" right="0.7" top="0.75" bottom="0.75" header="0.3" footer="0.3"/>
  <pageSetup paperSize="3" scale="88" orientation="landscape" r:id="rId1"/>
  <headerFooter>
    <oddFooter>&amp;R&amp;P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84"/>
  <sheetViews>
    <sheetView showZeros="0" zoomScaleNormal="100" workbookViewId="0">
      <pane xSplit="1" ySplit="2" topLeftCell="B3" activePane="bottomRight" state="frozen"/>
      <selection pane="topRight" activeCell="B1" sqref="B1"/>
      <selection pane="bottomLeft" activeCell="A3" sqref="A3"/>
      <selection pane="bottomRight" activeCell="A3" sqref="A3"/>
    </sheetView>
  </sheetViews>
  <sheetFormatPr defaultColWidth="9" defaultRowHeight="11.5"/>
  <cols>
    <col min="1" max="1" width="96.26953125" style="7" bestFit="1" customWidth="1"/>
    <col min="2" max="2" width="28.1796875" style="148" bestFit="1" customWidth="1"/>
    <col min="3" max="3" width="13.54296875" style="148" bestFit="1" customWidth="1"/>
    <col min="4" max="4" width="21.54296875" style="148" bestFit="1" customWidth="1"/>
    <col min="5" max="5" width="9.81640625" style="149" bestFit="1" customWidth="1"/>
    <col min="6" max="6" width="10.26953125" style="149" bestFit="1" customWidth="1"/>
    <col min="7" max="7" width="13.1796875" style="84" bestFit="1" customWidth="1"/>
    <col min="8" max="10" width="5.7265625" style="84" customWidth="1"/>
    <col min="11" max="11" width="7.81640625" style="84" bestFit="1" customWidth="1"/>
    <col min="12" max="12" width="5.7265625" style="84" customWidth="1"/>
    <col min="13" max="13" width="9" style="84"/>
    <col min="14" max="14" width="11.7265625" style="84" customWidth="1"/>
    <col min="15" max="15" width="13.7265625" style="84" customWidth="1"/>
    <col min="16" max="16384" width="9" style="84"/>
  </cols>
  <sheetData>
    <row r="1" spans="1:11" s="93" customFormat="1" ht="25">
      <c r="A1" s="91" t="s">
        <v>132</v>
      </c>
      <c r="B1" s="92" t="s">
        <v>99</v>
      </c>
      <c r="C1" s="92" t="s">
        <v>128</v>
      </c>
      <c r="D1" s="92" t="s">
        <v>185</v>
      </c>
      <c r="E1" s="94" t="s">
        <v>186</v>
      </c>
      <c r="F1" s="94" t="s">
        <v>187</v>
      </c>
      <c r="G1" s="94" t="s">
        <v>1966</v>
      </c>
    </row>
    <row r="2" spans="1:11" hidden="1">
      <c r="A2" s="7" t="s">
        <v>18</v>
      </c>
      <c r="B2" s="148" t="s">
        <v>19</v>
      </c>
      <c r="C2" s="148" t="s">
        <v>188</v>
      </c>
      <c r="D2" s="148" t="s">
        <v>189</v>
      </c>
      <c r="E2" s="149">
        <v>0</v>
      </c>
      <c r="F2" s="149">
        <v>0</v>
      </c>
    </row>
    <row r="3" spans="1:11">
      <c r="G3" s="7"/>
      <c r="H3" s="375"/>
    </row>
    <row r="4" spans="1:11">
      <c r="G4" s="7"/>
      <c r="H4" s="375"/>
    </row>
    <row r="5" spans="1:11">
      <c r="G5" s="7"/>
      <c r="H5" s="375"/>
    </row>
    <row r="6" spans="1:11">
      <c r="G6" s="7"/>
      <c r="H6" s="375"/>
    </row>
    <row r="7" spans="1:11">
      <c r="G7" s="7"/>
      <c r="H7" s="375"/>
    </row>
    <row r="8" spans="1:11">
      <c r="G8" s="7"/>
      <c r="H8" s="375"/>
    </row>
    <row r="9" spans="1:11">
      <c r="G9" s="7"/>
      <c r="H9" s="375"/>
    </row>
    <row r="10" spans="1:11">
      <c r="G10" s="7"/>
      <c r="H10" s="375"/>
    </row>
    <row r="11" spans="1:11">
      <c r="G11" s="7"/>
      <c r="H11" s="375"/>
    </row>
    <row r="12" spans="1:11">
      <c r="G12" s="7"/>
      <c r="H12" s="375"/>
    </row>
    <row r="13" spans="1:11">
      <c r="G13" s="7"/>
      <c r="H13" s="375"/>
    </row>
    <row r="14" spans="1:11">
      <c r="G14" s="7"/>
      <c r="H14" s="375"/>
    </row>
    <row r="15" spans="1:11">
      <c r="G15" s="7"/>
      <c r="H15" s="375"/>
      <c r="K15" s="149"/>
    </row>
    <row r="16" spans="1:11">
      <c r="G16" s="7"/>
      <c r="H16" s="375"/>
      <c r="K16" s="149"/>
    </row>
    <row r="17" spans="7:11">
      <c r="G17" s="7"/>
      <c r="H17" s="375"/>
      <c r="K17" s="149"/>
    </row>
    <row r="18" spans="7:11">
      <c r="G18" s="7"/>
      <c r="H18" s="375"/>
      <c r="K18" s="149"/>
    </row>
    <row r="19" spans="7:11">
      <c r="G19" s="7"/>
      <c r="H19" s="375"/>
      <c r="K19" s="149"/>
    </row>
    <row r="20" spans="7:11">
      <c r="G20" s="7"/>
      <c r="H20" s="375"/>
      <c r="K20" s="149"/>
    </row>
    <row r="21" spans="7:11">
      <c r="G21" s="7"/>
      <c r="H21" s="375"/>
      <c r="K21" s="149"/>
    </row>
    <row r="22" spans="7:11">
      <c r="G22" s="7"/>
      <c r="K22" s="149"/>
    </row>
    <row r="23" spans="7:11">
      <c r="G23" s="7"/>
      <c r="K23" s="149"/>
    </row>
    <row r="24" spans="7:11">
      <c r="G24" s="7"/>
      <c r="K24" s="149"/>
    </row>
    <row r="25" spans="7:11">
      <c r="G25" s="7"/>
      <c r="K25" s="149"/>
    </row>
    <row r="26" spans="7:11">
      <c r="G26" s="7"/>
      <c r="K26" s="149"/>
    </row>
    <row r="27" spans="7:11">
      <c r="G27" s="7"/>
      <c r="K27" s="149"/>
    </row>
    <row r="28" spans="7:11">
      <c r="G28" s="7"/>
      <c r="K28" s="149"/>
    </row>
    <row r="29" spans="7:11">
      <c r="G29" s="7"/>
      <c r="K29" s="149"/>
    </row>
    <row r="30" spans="7:11">
      <c r="G30" s="7"/>
      <c r="K30" s="149"/>
    </row>
    <row r="31" spans="7:11">
      <c r="G31" s="7"/>
      <c r="K31" s="149"/>
    </row>
    <row r="32" spans="7:11">
      <c r="G32" s="7"/>
      <c r="K32" s="149"/>
    </row>
    <row r="33" spans="7:11">
      <c r="G33" s="7"/>
      <c r="K33" s="149"/>
    </row>
    <row r="34" spans="7:11">
      <c r="G34" s="7"/>
      <c r="K34" s="149"/>
    </row>
    <row r="35" spans="7:11">
      <c r="G35" s="7"/>
      <c r="K35" s="149"/>
    </row>
    <row r="36" spans="7:11">
      <c r="G36" s="7"/>
      <c r="K36" s="149"/>
    </row>
    <row r="37" spans="7:11">
      <c r="G37" s="7"/>
      <c r="K37" s="149"/>
    </row>
    <row r="38" spans="7:11">
      <c r="G38" s="7"/>
      <c r="K38" s="149"/>
    </row>
    <row r="39" spans="7:11">
      <c r="G39" s="7"/>
      <c r="K39" s="149"/>
    </row>
    <row r="40" spans="7:11">
      <c r="G40" s="7"/>
      <c r="K40" s="149"/>
    </row>
    <row r="41" spans="7:11">
      <c r="G41" s="7"/>
      <c r="K41" s="149"/>
    </row>
    <row r="42" spans="7:11">
      <c r="G42" s="7"/>
      <c r="K42" s="149"/>
    </row>
    <row r="43" spans="7:11">
      <c r="G43" s="7"/>
      <c r="K43" s="149"/>
    </row>
    <row r="44" spans="7:11">
      <c r="G44" s="7"/>
      <c r="K44" s="149"/>
    </row>
    <row r="45" spans="7:11">
      <c r="G45" s="7"/>
      <c r="K45" s="149"/>
    </row>
    <row r="46" spans="7:11">
      <c r="G46" s="7"/>
      <c r="K46" s="149"/>
    </row>
    <row r="47" spans="7:11">
      <c r="G47" s="7"/>
      <c r="K47" s="149"/>
    </row>
    <row r="48" spans="7:11">
      <c r="G48" s="7"/>
      <c r="K48" s="149"/>
    </row>
    <row r="49" spans="7:11">
      <c r="G49" s="7"/>
      <c r="K49" s="149"/>
    </row>
    <row r="50" spans="7:11">
      <c r="G50" s="7"/>
      <c r="K50" s="149"/>
    </row>
    <row r="51" spans="7:11">
      <c r="G51" s="7"/>
      <c r="K51" s="149"/>
    </row>
    <row r="52" spans="7:11">
      <c r="G52" s="7"/>
      <c r="K52" s="149"/>
    </row>
    <row r="53" spans="7:11">
      <c r="G53" s="7"/>
      <c r="K53" s="149"/>
    </row>
    <row r="54" spans="7:11">
      <c r="G54" s="7"/>
      <c r="K54" s="149"/>
    </row>
    <row r="55" spans="7:11">
      <c r="G55" s="7"/>
      <c r="K55" s="149"/>
    </row>
    <row r="56" spans="7:11">
      <c r="G56" s="7"/>
      <c r="K56" s="149"/>
    </row>
    <row r="60" spans="7:11">
      <c r="G60" s="7"/>
    </row>
    <row r="63" spans="7:11">
      <c r="G63" s="7"/>
    </row>
    <row r="64" spans="7:11">
      <c r="G64" s="7"/>
    </row>
    <row r="65" spans="7:7">
      <c r="G65" s="7"/>
    </row>
    <row r="66" spans="7:7">
      <c r="G66" s="7"/>
    </row>
    <row r="67" spans="7:7">
      <c r="G67" s="7"/>
    </row>
    <row r="68" spans="7:7">
      <c r="G68" s="7"/>
    </row>
    <row r="69" spans="7:7">
      <c r="G69" s="7"/>
    </row>
    <row r="70" spans="7:7">
      <c r="G70" s="7"/>
    </row>
    <row r="73" spans="7:7">
      <c r="G73" s="7"/>
    </row>
    <row r="74" spans="7:7">
      <c r="G74" s="7"/>
    </row>
    <row r="75" spans="7:7">
      <c r="G75" s="7"/>
    </row>
    <row r="79" spans="7:7">
      <c r="G79" s="7"/>
    </row>
    <row r="80" spans="7:7">
      <c r="G80" s="7"/>
    </row>
    <row r="81" spans="7:7">
      <c r="G81" s="7"/>
    </row>
    <row r="82" spans="7:7">
      <c r="G82" s="7"/>
    </row>
    <row r="83" spans="7:7">
      <c r="G83" s="7"/>
    </row>
    <row r="84" spans="7:7">
      <c r="G84" s="7"/>
    </row>
  </sheetData>
  <sheetProtection algorithmName="SHA-512" hashValue="ftv71/XPrsd/sTHYzBhmyRqC13VcFnf3x653LeR8zCka/B+6quKIXnccv5TO/bJyNJVaGeI/MKs88nV+794AhQ==" saltValue="vvyY8QDOqJeirUnR+XU6iQ==" spinCount="100000" sheet="1" objects="1" scenarios="1" selectLockedCells="1" selectUnlockedCells="1"/>
  <sortState xmlns:xlrd2="http://schemas.microsoft.com/office/spreadsheetml/2017/richdata2" ref="A14:G15">
    <sortCondition ref="B14:B15"/>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AD502"/>
  <sheetViews>
    <sheetView zoomScaleNormal="100" workbookViewId="0">
      <pane ySplit="4" topLeftCell="A388" activePane="bottomLeft" state="frozen"/>
      <selection pane="bottomLeft" activeCell="A413" sqref="A413"/>
    </sheetView>
  </sheetViews>
  <sheetFormatPr defaultRowHeight="12.5"/>
  <cols>
    <col min="1" max="1" width="13.453125" customWidth="1"/>
    <col min="2" max="2" width="4.7265625" customWidth="1"/>
    <col min="3" max="3" width="5.7265625" customWidth="1"/>
    <col min="4" max="4" width="6.26953125" bestFit="1" customWidth="1"/>
    <col min="5" max="5" width="95.54296875" bestFit="1" customWidth="1"/>
    <col min="6" max="6" width="10" bestFit="1" customWidth="1"/>
    <col min="7" max="7" width="5.7265625" customWidth="1"/>
    <col min="8" max="8" width="42.81640625" bestFit="1" customWidth="1"/>
    <col min="9" max="13" width="9.54296875" bestFit="1" customWidth="1"/>
    <col min="15" max="15" width="14.81640625" style="72" bestFit="1" customWidth="1"/>
    <col min="16" max="16" width="144.7265625" style="72" customWidth="1"/>
    <col min="17" max="17" width="28" style="72" bestFit="1" customWidth="1"/>
    <col min="18" max="18" width="10.54296875" style="72" bestFit="1" customWidth="1"/>
    <col min="19" max="19" width="12.26953125" style="72" bestFit="1" customWidth="1"/>
    <col min="21" max="21" width="24.453125" style="72" bestFit="1" customWidth="1"/>
    <col min="22" max="22" width="28.26953125" style="294" bestFit="1" customWidth="1"/>
    <col min="23" max="23" width="106" style="72" bestFit="1" customWidth="1"/>
    <col min="24" max="24" width="12" style="72" bestFit="1" customWidth="1"/>
    <col min="25" max="25" width="9.1796875" style="7"/>
    <col min="26" max="26" width="53.7265625" style="84" bestFit="1" customWidth="1"/>
    <col min="27" max="27" width="12.1796875" style="84" customWidth="1"/>
    <col min="28" max="30" width="12.1796875" customWidth="1"/>
  </cols>
  <sheetData>
    <row r="1" spans="1:30" hidden="1"/>
    <row r="2" spans="1:30" hidden="1"/>
    <row r="3" spans="1:30" ht="23" hidden="1">
      <c r="E3" s="328" t="s">
        <v>38</v>
      </c>
      <c r="F3" s="329"/>
      <c r="H3" s="327" t="s">
        <v>490</v>
      </c>
      <c r="I3" s="327" t="s">
        <v>37</v>
      </c>
      <c r="J3" s="327" t="s">
        <v>261</v>
      </c>
      <c r="K3" s="327" t="s">
        <v>262</v>
      </c>
      <c r="L3" s="327" t="s">
        <v>263</v>
      </c>
      <c r="M3" s="327" t="s">
        <v>266</v>
      </c>
      <c r="O3" s="73" t="s">
        <v>128</v>
      </c>
      <c r="P3" s="73" t="s">
        <v>132</v>
      </c>
      <c r="Q3" s="73" t="s">
        <v>157</v>
      </c>
      <c r="R3" s="73" t="s">
        <v>62</v>
      </c>
      <c r="S3" s="73" t="s">
        <v>56</v>
      </c>
      <c r="U3" s="73" t="s">
        <v>864</v>
      </c>
      <c r="V3" s="295" t="s">
        <v>865</v>
      </c>
      <c r="W3" s="73" t="s">
        <v>132</v>
      </c>
      <c r="X3" s="73" t="s">
        <v>62</v>
      </c>
      <c r="Z3" s="73" t="s">
        <v>2023</v>
      </c>
      <c r="AA3" s="73" t="s">
        <v>2019</v>
      </c>
      <c r="AB3" s="73" t="s">
        <v>2020</v>
      </c>
      <c r="AC3" s="73" t="s">
        <v>2021</v>
      </c>
      <c r="AD3" s="73" t="s">
        <v>2022</v>
      </c>
    </row>
    <row r="4" spans="1:30" hidden="1">
      <c r="A4" s="330" t="s">
        <v>381</v>
      </c>
      <c r="B4" s="329"/>
      <c r="E4" s="80" t="s">
        <v>142</v>
      </c>
      <c r="F4" s="81" t="s">
        <v>123</v>
      </c>
      <c r="H4" s="195" t="s">
        <v>133</v>
      </c>
      <c r="I4" s="327" t="s">
        <v>123</v>
      </c>
      <c r="J4" s="327" t="s">
        <v>123</v>
      </c>
      <c r="K4" s="327" t="s">
        <v>123</v>
      </c>
      <c r="L4" s="327" t="s">
        <v>123</v>
      </c>
      <c r="M4" s="327" t="s">
        <v>123</v>
      </c>
      <c r="O4" s="79"/>
      <c r="P4" s="79" t="s">
        <v>18</v>
      </c>
      <c r="Q4" s="79" t="s">
        <v>19</v>
      </c>
      <c r="R4" s="79"/>
      <c r="S4" s="79"/>
      <c r="U4" s="79"/>
      <c r="V4" s="79"/>
      <c r="W4" s="79" t="s">
        <v>866</v>
      </c>
      <c r="X4" s="79"/>
      <c r="Z4" s="79" t="s">
        <v>1819</v>
      </c>
      <c r="AA4" s="79"/>
      <c r="AB4" s="79"/>
      <c r="AC4" s="79"/>
      <c r="AD4" s="79"/>
    </row>
    <row r="5" spans="1:30" hidden="1">
      <c r="A5" s="82" t="s">
        <v>36</v>
      </c>
      <c r="B5" s="83"/>
      <c r="E5" s="355" t="s">
        <v>538</v>
      </c>
      <c r="F5" s="356">
        <v>90.67</v>
      </c>
      <c r="G5" s="84"/>
      <c r="H5" s="357" t="s">
        <v>267</v>
      </c>
      <c r="I5" s="358">
        <v>49.33</v>
      </c>
      <c r="J5" s="358">
        <v>50.31</v>
      </c>
      <c r="K5" s="358">
        <v>51.55</v>
      </c>
      <c r="L5" s="358">
        <v>52.81</v>
      </c>
      <c r="M5" s="358">
        <v>54.02</v>
      </c>
      <c r="N5" s="84"/>
      <c r="O5" s="359"/>
      <c r="P5" s="360" t="s">
        <v>256</v>
      </c>
      <c r="Q5" s="389" t="s">
        <v>131</v>
      </c>
      <c r="R5" s="361"/>
      <c r="S5" s="361"/>
      <c r="T5" s="84"/>
      <c r="U5" s="359" t="s">
        <v>867</v>
      </c>
      <c r="V5" s="362">
        <v>2183</v>
      </c>
      <c r="W5" s="360" t="s">
        <v>958</v>
      </c>
      <c r="X5" s="361">
        <v>5.72</v>
      </c>
      <c r="Z5" s="362" t="s">
        <v>2012</v>
      </c>
      <c r="AA5" s="361">
        <v>1060.54</v>
      </c>
      <c r="AB5" s="361">
        <v>673.59</v>
      </c>
      <c r="AC5" s="361">
        <v>1447.5</v>
      </c>
      <c r="AD5" s="361">
        <v>1017.55</v>
      </c>
    </row>
    <row r="6" spans="1:30" hidden="1">
      <c r="A6" s="331" t="s">
        <v>37</v>
      </c>
      <c r="B6" s="332">
        <v>2</v>
      </c>
      <c r="E6" s="355" t="s">
        <v>540</v>
      </c>
      <c r="F6" s="356">
        <v>35.86</v>
      </c>
      <c r="G6" s="84"/>
      <c r="H6" s="357" t="s">
        <v>268</v>
      </c>
      <c r="I6" s="358">
        <v>62.27</v>
      </c>
      <c r="J6" s="358">
        <v>63.51</v>
      </c>
      <c r="K6" s="358">
        <v>65.06</v>
      </c>
      <c r="L6" s="358">
        <v>66.62</v>
      </c>
      <c r="M6" s="358">
        <v>68.14</v>
      </c>
      <c r="N6" s="84"/>
      <c r="O6" s="359" t="s">
        <v>215</v>
      </c>
      <c r="P6" s="360" t="s">
        <v>2464</v>
      </c>
      <c r="Q6" s="362" t="s">
        <v>2466</v>
      </c>
      <c r="R6" s="361">
        <v>3534.5499999999997</v>
      </c>
      <c r="S6" s="361">
        <v>1302.69</v>
      </c>
      <c r="T6" s="84"/>
      <c r="U6" s="359" t="s">
        <v>867</v>
      </c>
      <c r="V6" s="362" t="s">
        <v>909</v>
      </c>
      <c r="W6" s="360" t="s">
        <v>959</v>
      </c>
      <c r="X6" s="361">
        <v>2.25</v>
      </c>
      <c r="Z6" s="362" t="s">
        <v>2013</v>
      </c>
      <c r="AA6" s="361">
        <v>827.36</v>
      </c>
      <c r="AB6" s="361">
        <v>655.38</v>
      </c>
      <c r="AC6" s="361">
        <v>999.34</v>
      </c>
      <c r="AD6" s="361">
        <v>784.37</v>
      </c>
    </row>
    <row r="7" spans="1:30" hidden="1">
      <c r="A7" s="331" t="s">
        <v>261</v>
      </c>
      <c r="B7" s="332">
        <v>3</v>
      </c>
      <c r="E7" s="355" t="s">
        <v>541</v>
      </c>
      <c r="F7" s="356">
        <v>50.77</v>
      </c>
      <c r="G7" s="84"/>
      <c r="H7" s="357" t="s">
        <v>269</v>
      </c>
      <c r="I7" s="358">
        <v>70.38</v>
      </c>
      <c r="J7" s="358">
        <v>71.78</v>
      </c>
      <c r="K7" s="358">
        <v>73.540000000000006</v>
      </c>
      <c r="L7" s="358">
        <v>75.319999999999993</v>
      </c>
      <c r="M7" s="358">
        <v>77.040000000000006</v>
      </c>
      <c r="N7" s="84"/>
      <c r="O7" s="359" t="s">
        <v>215</v>
      </c>
      <c r="P7" s="360" t="s">
        <v>2465</v>
      </c>
      <c r="Q7" s="362" t="s">
        <v>2467</v>
      </c>
      <c r="R7" s="361">
        <v>5066.7599999999993</v>
      </c>
      <c r="S7" s="361">
        <v>1302.69</v>
      </c>
      <c r="T7" s="84"/>
      <c r="U7" s="359" t="s">
        <v>867</v>
      </c>
      <c r="V7" s="362" t="s">
        <v>910</v>
      </c>
      <c r="W7" s="360" t="s">
        <v>960</v>
      </c>
      <c r="X7" s="361">
        <v>1.31</v>
      </c>
      <c r="Z7" s="362" t="s">
        <v>2014</v>
      </c>
      <c r="AA7" s="361">
        <v>815.74</v>
      </c>
      <c r="AB7" s="361">
        <v>600.77</v>
      </c>
      <c r="AC7" s="361">
        <v>1030.72</v>
      </c>
      <c r="AD7" s="361">
        <v>772.75</v>
      </c>
    </row>
    <row r="8" spans="1:30" hidden="1">
      <c r="A8" s="331" t="s">
        <v>262</v>
      </c>
      <c r="B8" s="332">
        <v>4</v>
      </c>
      <c r="E8" s="355" t="s">
        <v>542</v>
      </c>
      <c r="F8" s="356">
        <v>67.099999999999994</v>
      </c>
      <c r="G8" s="84"/>
      <c r="H8" s="357" t="s">
        <v>270</v>
      </c>
      <c r="I8" s="358">
        <v>36.270000000000003</v>
      </c>
      <c r="J8" s="358">
        <v>37</v>
      </c>
      <c r="K8" s="358">
        <v>37.909999999999997</v>
      </c>
      <c r="L8" s="358">
        <v>38.840000000000003</v>
      </c>
      <c r="M8" s="358">
        <v>39.729999999999997</v>
      </c>
      <c r="N8" s="84"/>
      <c r="O8" s="359" t="s">
        <v>215</v>
      </c>
      <c r="P8" s="360" t="s">
        <v>2469</v>
      </c>
      <c r="Q8" s="362" t="s">
        <v>2468</v>
      </c>
      <c r="R8" s="361">
        <v>5742.7299999999987</v>
      </c>
      <c r="S8" s="361">
        <v>1302.69</v>
      </c>
      <c r="T8" s="84"/>
      <c r="U8" s="359" t="s">
        <v>867</v>
      </c>
      <c r="V8" s="362" t="s">
        <v>911</v>
      </c>
      <c r="W8" s="360" t="s">
        <v>938</v>
      </c>
      <c r="X8" s="361">
        <v>0.9</v>
      </c>
      <c r="Z8" s="362" t="s">
        <v>2015</v>
      </c>
      <c r="AA8" s="361">
        <v>729.75</v>
      </c>
      <c r="AB8" s="361">
        <v>600.77</v>
      </c>
      <c r="AC8" s="361">
        <v>858.74</v>
      </c>
      <c r="AD8" s="361">
        <v>686.76</v>
      </c>
    </row>
    <row r="9" spans="1:30" hidden="1">
      <c r="A9" s="331" t="s">
        <v>263</v>
      </c>
      <c r="B9" s="333">
        <v>5</v>
      </c>
      <c r="E9" s="355" t="s">
        <v>539</v>
      </c>
      <c r="F9" s="356">
        <v>90.67</v>
      </c>
      <c r="G9" s="84"/>
      <c r="H9" s="357" t="s">
        <v>271</v>
      </c>
      <c r="I9" s="358">
        <v>58.41</v>
      </c>
      <c r="J9" s="358">
        <v>59.87</v>
      </c>
      <c r="K9" s="358">
        <v>61.84</v>
      </c>
      <c r="L9" s="358">
        <v>63.81</v>
      </c>
      <c r="M9" s="358">
        <v>65.599999999999994</v>
      </c>
      <c r="N9" s="84"/>
      <c r="O9" s="359" t="s">
        <v>2669</v>
      </c>
      <c r="P9" s="360" t="s">
        <v>2670</v>
      </c>
      <c r="Q9" s="362" t="s">
        <v>2657</v>
      </c>
      <c r="R9" s="361">
        <v>71.8</v>
      </c>
      <c r="S9" s="361"/>
      <c r="T9" s="84"/>
      <c r="U9" s="359" t="s">
        <v>867</v>
      </c>
      <c r="V9" s="362" t="s">
        <v>912</v>
      </c>
      <c r="W9" s="360" t="s">
        <v>961</v>
      </c>
      <c r="X9" s="361">
        <v>6.4</v>
      </c>
      <c r="Z9" s="362" t="s">
        <v>2016</v>
      </c>
      <c r="AA9" s="361">
        <v>693.34</v>
      </c>
      <c r="AB9" s="361">
        <v>564.36</v>
      </c>
      <c r="AC9" s="361">
        <v>822.33</v>
      </c>
      <c r="AD9" s="361">
        <v>650.35</v>
      </c>
    </row>
    <row r="10" spans="1:30" hidden="1">
      <c r="A10" s="334" t="s">
        <v>266</v>
      </c>
      <c r="B10" s="335">
        <v>6</v>
      </c>
      <c r="D10" s="84" t="s">
        <v>1835</v>
      </c>
      <c r="E10" s="355" t="s">
        <v>384</v>
      </c>
      <c r="F10" s="356">
        <v>49.56</v>
      </c>
      <c r="G10" s="84"/>
      <c r="H10" s="357" t="s">
        <v>272</v>
      </c>
      <c r="I10" s="358">
        <v>30.69</v>
      </c>
      <c r="J10" s="358">
        <v>31.29</v>
      </c>
      <c r="K10" s="358">
        <v>32.06</v>
      </c>
      <c r="L10" s="358">
        <v>32.83</v>
      </c>
      <c r="M10" s="358">
        <v>33.58</v>
      </c>
      <c r="N10" s="84"/>
      <c r="O10" s="359" t="s">
        <v>2669</v>
      </c>
      <c r="P10" s="360" t="s">
        <v>2671</v>
      </c>
      <c r="Q10" s="362" t="s">
        <v>2677</v>
      </c>
      <c r="R10" s="361">
        <v>76.3</v>
      </c>
      <c r="S10" s="361"/>
      <c r="T10" s="84"/>
      <c r="U10" s="359" t="s">
        <v>867</v>
      </c>
      <c r="V10" s="362" t="s">
        <v>913</v>
      </c>
      <c r="W10" s="360" t="s">
        <v>962</v>
      </c>
      <c r="X10" s="361">
        <v>2.69</v>
      </c>
      <c r="Z10" s="362" t="s">
        <v>2017</v>
      </c>
      <c r="AA10" s="361">
        <v>729.75</v>
      </c>
      <c r="AB10" s="361">
        <v>600.77</v>
      </c>
      <c r="AC10" s="361">
        <v>880.23</v>
      </c>
      <c r="AD10" s="361">
        <v>686.76</v>
      </c>
    </row>
    <row r="11" spans="1:30" hidden="1">
      <c r="A11" s="84"/>
      <c r="B11" s="84"/>
      <c r="D11" s="84" t="s">
        <v>1836</v>
      </c>
      <c r="E11" s="355" t="s">
        <v>385</v>
      </c>
      <c r="F11" s="356">
        <v>63.27</v>
      </c>
      <c r="G11" s="84"/>
      <c r="H11" s="357" t="s">
        <v>273</v>
      </c>
      <c r="I11" s="358">
        <v>41.62</v>
      </c>
      <c r="J11" s="358">
        <v>42.45</v>
      </c>
      <c r="K11" s="358">
        <v>43.48</v>
      </c>
      <c r="L11" s="358">
        <v>44.53</v>
      </c>
      <c r="M11" s="358">
        <v>45.55</v>
      </c>
      <c r="N11" s="84"/>
      <c r="O11" s="359" t="s">
        <v>2669</v>
      </c>
      <c r="P11" s="360" t="s">
        <v>2672</v>
      </c>
      <c r="Q11" s="362" t="s">
        <v>2658</v>
      </c>
      <c r="R11" s="361">
        <v>233.8</v>
      </c>
      <c r="S11" s="361"/>
      <c r="T11" s="84"/>
      <c r="U11" s="359" t="s">
        <v>867</v>
      </c>
      <c r="V11" s="362" t="s">
        <v>914</v>
      </c>
      <c r="W11" s="360" t="s">
        <v>963</v>
      </c>
      <c r="X11" s="361">
        <v>2.69</v>
      </c>
      <c r="Z11" s="362" t="s">
        <v>2018</v>
      </c>
      <c r="AA11" s="361">
        <v>18.21</v>
      </c>
      <c r="AB11" s="361">
        <v>18.21</v>
      </c>
      <c r="AC11" s="361">
        <v>18.21</v>
      </c>
      <c r="AD11" s="361">
        <v>18.21</v>
      </c>
    </row>
    <row r="12" spans="1:30" hidden="1">
      <c r="A12" s="84"/>
      <c r="B12" s="84"/>
      <c r="D12" s="84" t="s">
        <v>1837</v>
      </c>
      <c r="E12" s="355" t="s">
        <v>386</v>
      </c>
      <c r="F12" s="356">
        <v>164.49</v>
      </c>
      <c r="G12" s="84"/>
      <c r="H12" s="357" t="s">
        <v>274</v>
      </c>
      <c r="I12" s="358">
        <v>70.459999999999994</v>
      </c>
      <c r="J12" s="358">
        <v>72.22</v>
      </c>
      <c r="K12" s="358">
        <v>74.599999999999994</v>
      </c>
      <c r="L12" s="358">
        <v>76.98</v>
      </c>
      <c r="M12" s="358">
        <v>79.14</v>
      </c>
      <c r="N12" s="84"/>
      <c r="O12" s="359" t="s">
        <v>2669</v>
      </c>
      <c r="P12" s="360" t="s">
        <v>2673</v>
      </c>
      <c r="Q12" s="362" t="s">
        <v>2659</v>
      </c>
      <c r="R12" s="361">
        <v>269.8</v>
      </c>
      <c r="S12" s="361"/>
      <c r="T12" s="84"/>
      <c r="U12" s="359" t="s">
        <v>867</v>
      </c>
      <c r="V12" s="362" t="s">
        <v>868</v>
      </c>
      <c r="W12" s="360" t="s">
        <v>964</v>
      </c>
      <c r="X12" s="361">
        <v>13</v>
      </c>
      <c r="Z12" s="362" t="s">
        <v>2038</v>
      </c>
      <c r="AA12" s="361">
        <v>85.99</v>
      </c>
      <c r="AB12" s="361"/>
      <c r="AC12" s="361">
        <v>85.99</v>
      </c>
      <c r="AD12" s="361">
        <v>85.99</v>
      </c>
    </row>
    <row r="13" spans="1:30" hidden="1">
      <c r="A13" s="337" t="s">
        <v>382</v>
      </c>
      <c r="B13" s="84"/>
      <c r="D13" s="84" t="s">
        <v>1838</v>
      </c>
      <c r="E13" s="355" t="s">
        <v>156</v>
      </c>
      <c r="F13" s="356">
        <v>151.84</v>
      </c>
      <c r="G13" s="84"/>
      <c r="H13" s="357" t="s">
        <v>275</v>
      </c>
      <c r="I13" s="358">
        <v>70.459999999999994</v>
      </c>
      <c r="J13" s="358">
        <v>72.22</v>
      </c>
      <c r="K13" s="358">
        <v>74.599999999999994</v>
      </c>
      <c r="L13" s="358">
        <v>76.98</v>
      </c>
      <c r="M13" s="358">
        <v>79.14</v>
      </c>
      <c r="N13" s="84"/>
      <c r="O13" s="359" t="s">
        <v>2669</v>
      </c>
      <c r="P13" s="360" t="s">
        <v>2674</v>
      </c>
      <c r="Q13" s="362" t="s">
        <v>2660</v>
      </c>
      <c r="R13" s="361">
        <v>305.8</v>
      </c>
      <c r="S13" s="361"/>
      <c r="T13" s="84"/>
      <c r="U13" s="359" t="s">
        <v>867</v>
      </c>
      <c r="V13" s="362" t="s">
        <v>915</v>
      </c>
      <c r="W13" s="360" t="s">
        <v>939</v>
      </c>
      <c r="X13" s="361">
        <v>28.81</v>
      </c>
    </row>
    <row r="14" spans="1:30" hidden="1">
      <c r="A14" s="336" t="s">
        <v>49</v>
      </c>
      <c r="B14" s="84"/>
      <c r="D14" s="84" t="s">
        <v>1839</v>
      </c>
      <c r="E14" s="355" t="s">
        <v>387</v>
      </c>
      <c r="F14" s="356">
        <v>63.27</v>
      </c>
      <c r="G14" s="84"/>
      <c r="H14" s="357" t="s">
        <v>276</v>
      </c>
      <c r="I14" s="358">
        <v>70.459999999999994</v>
      </c>
      <c r="J14" s="358">
        <v>72.22</v>
      </c>
      <c r="K14" s="358">
        <v>74.599999999999994</v>
      </c>
      <c r="L14" s="358">
        <v>76.98</v>
      </c>
      <c r="M14" s="358">
        <v>79.14</v>
      </c>
      <c r="N14" s="84"/>
      <c r="O14" s="359" t="s">
        <v>2669</v>
      </c>
      <c r="P14" s="360" t="s">
        <v>2675</v>
      </c>
      <c r="Q14" s="362" t="s">
        <v>2661</v>
      </c>
      <c r="R14" s="361">
        <v>94.299999999999983</v>
      </c>
      <c r="S14" s="361"/>
      <c r="T14" s="84"/>
      <c r="U14" s="359" t="s">
        <v>867</v>
      </c>
      <c r="V14" s="362" t="s">
        <v>916</v>
      </c>
      <c r="W14" s="360" t="s">
        <v>940</v>
      </c>
      <c r="X14" s="356">
        <v>17.600000000000001</v>
      </c>
      <c r="Z14" s="330" t="s">
        <v>2024</v>
      </c>
      <c r="AA14" s="387"/>
    </row>
    <row r="15" spans="1:30" hidden="1">
      <c r="A15" s="336" t="s">
        <v>50</v>
      </c>
      <c r="B15" s="84"/>
      <c r="D15" s="84" t="s">
        <v>1840</v>
      </c>
      <c r="E15" s="355" t="s">
        <v>388</v>
      </c>
      <c r="F15" s="356">
        <v>63.27</v>
      </c>
      <c r="G15" s="84"/>
      <c r="H15" s="357" t="s">
        <v>277</v>
      </c>
      <c r="I15" s="358">
        <v>58.28</v>
      </c>
      <c r="J15" s="358">
        <v>59.45</v>
      </c>
      <c r="K15" s="358">
        <v>60.9</v>
      </c>
      <c r="L15" s="358">
        <v>62.38</v>
      </c>
      <c r="M15" s="358">
        <v>63.8</v>
      </c>
      <c r="N15" s="84"/>
      <c r="O15" s="359" t="s">
        <v>2669</v>
      </c>
      <c r="P15" s="360" t="s">
        <v>2676</v>
      </c>
      <c r="Q15" s="362" t="s">
        <v>2662</v>
      </c>
      <c r="R15" s="361">
        <v>98.799999999999983</v>
      </c>
      <c r="S15" s="361"/>
      <c r="T15" s="84"/>
      <c r="U15" s="359" t="s">
        <v>867</v>
      </c>
      <c r="V15" s="362" t="s">
        <v>917</v>
      </c>
      <c r="W15" s="360" t="s">
        <v>941</v>
      </c>
      <c r="X15" s="356">
        <v>7.72</v>
      </c>
      <c r="Z15" s="82" t="s">
        <v>2044</v>
      </c>
      <c r="AA15" s="388"/>
    </row>
    <row r="16" spans="1:30" hidden="1">
      <c r="A16" s="336" t="s">
        <v>181</v>
      </c>
      <c r="B16" s="84"/>
      <c r="D16" s="84" t="s">
        <v>1841</v>
      </c>
      <c r="E16" s="355" t="s">
        <v>389</v>
      </c>
      <c r="F16" s="356">
        <v>63.27</v>
      </c>
      <c r="G16" s="84"/>
      <c r="H16" s="357" t="s">
        <v>278</v>
      </c>
      <c r="I16" s="358">
        <v>69.38</v>
      </c>
      <c r="J16" s="358">
        <v>70.760000000000005</v>
      </c>
      <c r="K16" s="358">
        <v>72.5</v>
      </c>
      <c r="L16" s="358">
        <v>74.25</v>
      </c>
      <c r="M16" s="358">
        <v>75.94</v>
      </c>
      <c r="N16" s="84"/>
      <c r="O16" s="359" t="s">
        <v>2068</v>
      </c>
      <c r="P16" s="360" t="s">
        <v>2069</v>
      </c>
      <c r="Q16" s="362" t="s">
        <v>2070</v>
      </c>
      <c r="R16" s="361">
        <v>1883.66</v>
      </c>
      <c r="S16" s="361">
        <v>1302.69</v>
      </c>
      <c r="T16" s="84"/>
      <c r="U16" s="359" t="s">
        <v>918</v>
      </c>
      <c r="V16" s="362" t="s">
        <v>919</v>
      </c>
      <c r="W16" s="360" t="s">
        <v>942</v>
      </c>
      <c r="X16" s="361">
        <v>25.21</v>
      </c>
      <c r="Z16" s="331" t="s">
        <v>2030</v>
      </c>
      <c r="AA16" s="332">
        <v>2</v>
      </c>
    </row>
    <row r="17" spans="1:30" hidden="1">
      <c r="B17" s="84"/>
      <c r="D17" s="84" t="s">
        <v>1842</v>
      </c>
      <c r="E17" s="355" t="s">
        <v>390</v>
      </c>
      <c r="F17" s="356">
        <v>63.27</v>
      </c>
      <c r="G17" s="84"/>
      <c r="H17" s="357" t="s">
        <v>279</v>
      </c>
      <c r="I17" s="358">
        <v>82.84</v>
      </c>
      <c r="J17" s="358">
        <v>84.49</v>
      </c>
      <c r="K17" s="358">
        <v>86.56</v>
      </c>
      <c r="L17" s="358">
        <v>88.65</v>
      </c>
      <c r="M17" s="358">
        <v>90.67</v>
      </c>
      <c r="N17" s="84"/>
      <c r="O17" s="359"/>
      <c r="P17" s="360" t="s">
        <v>2476</v>
      </c>
      <c r="Q17" s="362"/>
      <c r="R17" s="361"/>
      <c r="S17" s="361"/>
      <c r="T17" s="84"/>
      <c r="U17" s="359" t="s">
        <v>920</v>
      </c>
      <c r="V17" s="362" t="s">
        <v>921</v>
      </c>
      <c r="W17" s="360" t="s">
        <v>943</v>
      </c>
      <c r="X17" s="361">
        <v>21.2</v>
      </c>
      <c r="Z17" s="331" t="s">
        <v>2032</v>
      </c>
      <c r="AA17" s="332">
        <v>3</v>
      </c>
    </row>
    <row r="18" spans="1:30" hidden="1">
      <c r="B18" s="84"/>
      <c r="D18" s="84" t="s">
        <v>1843</v>
      </c>
      <c r="E18" s="355" t="s">
        <v>391</v>
      </c>
      <c r="F18" s="356">
        <v>126.53</v>
      </c>
      <c r="G18" s="84"/>
      <c r="H18" s="357" t="s">
        <v>280</v>
      </c>
      <c r="I18" s="358">
        <v>95.16</v>
      </c>
      <c r="J18" s="358">
        <v>97.05</v>
      </c>
      <c r="K18" s="358">
        <v>99.42</v>
      </c>
      <c r="L18" s="358">
        <v>101.82</v>
      </c>
      <c r="M18" s="358">
        <v>104.13</v>
      </c>
      <c r="N18" s="84"/>
      <c r="O18" s="359" t="s">
        <v>2068</v>
      </c>
      <c r="P18" s="360" t="s">
        <v>2477</v>
      </c>
      <c r="Q18" s="362" t="s">
        <v>2478</v>
      </c>
      <c r="R18" s="361">
        <v>2980.43</v>
      </c>
      <c r="S18" s="361">
        <v>1302.69</v>
      </c>
      <c r="T18" s="84"/>
      <c r="U18" s="359" t="s">
        <v>920</v>
      </c>
      <c r="V18" s="362" t="s">
        <v>922</v>
      </c>
      <c r="W18" s="360" t="s">
        <v>944</v>
      </c>
      <c r="X18" s="356">
        <v>7.22</v>
      </c>
      <c r="Z18" s="331" t="s">
        <v>2046</v>
      </c>
      <c r="AA18" s="332">
        <v>4</v>
      </c>
    </row>
    <row r="19" spans="1:30" hidden="1">
      <c r="D19" s="84" t="s">
        <v>1844</v>
      </c>
      <c r="E19" s="355" t="s">
        <v>2420</v>
      </c>
      <c r="F19" s="356">
        <v>30.48</v>
      </c>
      <c r="G19" s="84"/>
      <c r="H19" s="357" t="s">
        <v>281</v>
      </c>
      <c r="I19" s="358">
        <v>81.58</v>
      </c>
      <c r="J19" s="358">
        <v>83.63</v>
      </c>
      <c r="K19" s="358">
        <v>86.38</v>
      </c>
      <c r="L19" s="358">
        <v>89.15</v>
      </c>
      <c r="M19" s="358">
        <v>91.65</v>
      </c>
      <c r="N19" s="84"/>
      <c r="O19" s="359" t="s">
        <v>2068</v>
      </c>
      <c r="P19" s="360" t="s">
        <v>2479</v>
      </c>
      <c r="Q19" s="362" t="s">
        <v>2480</v>
      </c>
      <c r="R19" s="361">
        <v>4549.78</v>
      </c>
      <c r="S19" s="361">
        <v>1302.69</v>
      </c>
      <c r="T19" s="84"/>
      <c r="U19" s="359" t="s">
        <v>920</v>
      </c>
      <c r="V19" s="362" t="s">
        <v>923</v>
      </c>
      <c r="W19" s="363" t="s">
        <v>945</v>
      </c>
      <c r="X19" s="356">
        <v>0.67</v>
      </c>
      <c r="Z19" s="331" t="s">
        <v>2045</v>
      </c>
      <c r="AA19" s="333">
        <v>4</v>
      </c>
    </row>
    <row r="20" spans="1:30" hidden="1">
      <c r="A20" s="337" t="s">
        <v>380</v>
      </c>
      <c r="D20" s="84" t="s">
        <v>1845</v>
      </c>
      <c r="E20" s="355" t="s">
        <v>2421</v>
      </c>
      <c r="F20" s="356">
        <v>30.48</v>
      </c>
      <c r="G20" s="84"/>
      <c r="H20" s="357" t="s">
        <v>282</v>
      </c>
      <c r="I20" s="358">
        <v>104.89</v>
      </c>
      <c r="J20" s="358">
        <v>107.53</v>
      </c>
      <c r="K20" s="358">
        <v>111.07</v>
      </c>
      <c r="L20" s="358">
        <v>114.63</v>
      </c>
      <c r="M20" s="358">
        <v>117.85</v>
      </c>
      <c r="N20" s="84"/>
      <c r="O20" s="359"/>
      <c r="P20" s="360" t="s">
        <v>2481</v>
      </c>
      <c r="Q20" s="362"/>
      <c r="R20" s="361"/>
      <c r="S20" s="361"/>
      <c r="T20" s="84"/>
      <c r="U20" s="359" t="s">
        <v>920</v>
      </c>
      <c r="V20" s="362" t="s">
        <v>924</v>
      </c>
      <c r="W20" s="360" t="s">
        <v>946</v>
      </c>
      <c r="X20" s="356">
        <v>19.28</v>
      </c>
      <c r="Z20" s="334" t="s">
        <v>2036</v>
      </c>
      <c r="AA20" s="335">
        <v>5</v>
      </c>
    </row>
    <row r="21" spans="1:30" hidden="1">
      <c r="A21" s="336" t="s">
        <v>264</v>
      </c>
      <c r="D21" s="84" t="s">
        <v>1846</v>
      </c>
      <c r="E21" s="355" t="s">
        <v>2422</v>
      </c>
      <c r="F21" s="356">
        <v>30.48</v>
      </c>
      <c r="G21" s="84"/>
      <c r="H21" s="357" t="s">
        <v>283</v>
      </c>
      <c r="I21" s="358">
        <v>124.54</v>
      </c>
      <c r="J21" s="358">
        <v>127.68</v>
      </c>
      <c r="K21" s="358">
        <v>131.88999999999999</v>
      </c>
      <c r="L21" s="358">
        <v>136.12</v>
      </c>
      <c r="M21" s="358">
        <v>139.94</v>
      </c>
      <c r="N21" s="84"/>
      <c r="O21" s="359" t="s">
        <v>2068</v>
      </c>
      <c r="P21" s="360" t="s">
        <v>2482</v>
      </c>
      <c r="Q21" s="362" t="s">
        <v>2483</v>
      </c>
      <c r="R21" s="361">
        <v>2644</v>
      </c>
      <c r="S21" s="361">
        <v>1302.69</v>
      </c>
      <c r="T21" s="84"/>
      <c r="U21" s="359" t="s">
        <v>920</v>
      </c>
      <c r="V21" s="362" t="s">
        <v>925</v>
      </c>
      <c r="W21" s="360" t="s">
        <v>947</v>
      </c>
      <c r="X21" s="356">
        <v>47.62</v>
      </c>
    </row>
    <row r="22" spans="1:30" hidden="1">
      <c r="A22" s="336" t="s">
        <v>265</v>
      </c>
      <c r="D22" s="84" t="s">
        <v>1847</v>
      </c>
      <c r="E22" s="355" t="s">
        <v>2423</v>
      </c>
      <c r="F22" s="356">
        <v>30.48</v>
      </c>
      <c r="G22" s="84"/>
      <c r="H22" s="357" t="s">
        <v>284</v>
      </c>
      <c r="I22" s="358">
        <v>81.58</v>
      </c>
      <c r="J22" s="358">
        <v>83.63</v>
      </c>
      <c r="K22" s="358">
        <v>86.38</v>
      </c>
      <c r="L22" s="358">
        <v>89.15</v>
      </c>
      <c r="M22" s="358">
        <v>91.65</v>
      </c>
      <c r="N22" s="84"/>
      <c r="O22" s="359" t="s">
        <v>2068</v>
      </c>
      <c r="P22" s="360" t="s">
        <v>2484</v>
      </c>
      <c r="Q22" s="362" t="s">
        <v>2485</v>
      </c>
      <c r="R22" s="361">
        <v>4307.5999999999995</v>
      </c>
      <c r="S22" s="361">
        <v>1302.69</v>
      </c>
      <c r="T22" s="84"/>
      <c r="U22" s="359" t="s">
        <v>920</v>
      </c>
      <c r="V22" s="362" t="s">
        <v>926</v>
      </c>
      <c r="W22" s="363" t="s">
        <v>948</v>
      </c>
      <c r="X22" s="356">
        <v>8.19</v>
      </c>
    </row>
    <row r="23" spans="1:30" hidden="1">
      <c r="D23" s="84" t="s">
        <v>1848</v>
      </c>
      <c r="E23" s="355" t="s">
        <v>2424</v>
      </c>
      <c r="F23" s="356">
        <v>30.48</v>
      </c>
      <c r="G23" s="84"/>
      <c r="H23" s="357" t="s">
        <v>285</v>
      </c>
      <c r="I23" s="358">
        <v>81.58</v>
      </c>
      <c r="J23" s="358">
        <v>83.63</v>
      </c>
      <c r="K23" s="358">
        <v>86.38</v>
      </c>
      <c r="L23" s="358">
        <v>89.15</v>
      </c>
      <c r="M23" s="358">
        <v>91.65</v>
      </c>
      <c r="N23" s="84"/>
      <c r="O23" s="359"/>
      <c r="P23" s="360" t="s">
        <v>2486</v>
      </c>
      <c r="Q23" s="362"/>
      <c r="R23" s="361"/>
      <c r="S23" s="361"/>
      <c r="T23" s="84"/>
      <c r="U23" s="359" t="s">
        <v>920</v>
      </c>
      <c r="V23" s="362" t="s">
        <v>927</v>
      </c>
      <c r="W23" s="360" t="s">
        <v>949</v>
      </c>
      <c r="X23" s="361">
        <v>2.64</v>
      </c>
    </row>
    <row r="24" spans="1:30" hidden="1">
      <c r="D24" s="84" t="s">
        <v>1849</v>
      </c>
      <c r="E24" s="355" t="s">
        <v>2425</v>
      </c>
      <c r="F24" s="356">
        <v>30.48</v>
      </c>
      <c r="G24" s="84"/>
      <c r="H24" s="357" t="s">
        <v>286</v>
      </c>
      <c r="I24" s="358">
        <v>81.58</v>
      </c>
      <c r="J24" s="358">
        <v>83.63</v>
      </c>
      <c r="K24" s="358">
        <v>86.38</v>
      </c>
      <c r="L24" s="358">
        <v>89.15</v>
      </c>
      <c r="M24" s="358">
        <v>91.65</v>
      </c>
      <c r="N24" s="84"/>
      <c r="O24" s="359" t="s">
        <v>2068</v>
      </c>
      <c r="P24" s="360" t="s">
        <v>2487</v>
      </c>
      <c r="Q24" s="362" t="s">
        <v>2488</v>
      </c>
      <c r="R24" s="361">
        <v>3228.56</v>
      </c>
      <c r="S24" s="361">
        <v>1302.69</v>
      </c>
      <c r="T24" s="84"/>
      <c r="U24" s="359" t="s">
        <v>920</v>
      </c>
      <c r="V24" s="362" t="s">
        <v>928</v>
      </c>
      <c r="W24" s="360" t="s">
        <v>950</v>
      </c>
      <c r="X24" s="361">
        <v>67.73</v>
      </c>
    </row>
    <row r="25" spans="1:30" hidden="1">
      <c r="D25" s="84" t="s">
        <v>1850</v>
      </c>
      <c r="E25" s="355" t="s">
        <v>2426</v>
      </c>
      <c r="F25" s="356">
        <v>30.48</v>
      </c>
      <c r="G25" s="84"/>
      <c r="H25" s="357" t="s">
        <v>287</v>
      </c>
      <c r="I25" s="358">
        <v>104.89</v>
      </c>
      <c r="J25" s="358">
        <v>107.53</v>
      </c>
      <c r="K25" s="358">
        <v>111.07</v>
      </c>
      <c r="L25" s="358">
        <v>114.63</v>
      </c>
      <c r="M25" s="358">
        <v>117.85</v>
      </c>
      <c r="N25" s="84"/>
      <c r="O25" s="359" t="s">
        <v>2068</v>
      </c>
      <c r="P25" s="360" t="s">
        <v>2489</v>
      </c>
      <c r="Q25" s="362" t="s">
        <v>2490</v>
      </c>
      <c r="R25" s="361">
        <v>5477.6</v>
      </c>
      <c r="S25" s="361">
        <v>1302.69</v>
      </c>
      <c r="T25" s="84"/>
      <c r="U25" s="359" t="s">
        <v>920</v>
      </c>
      <c r="V25" s="362" t="s">
        <v>929</v>
      </c>
      <c r="W25" s="360" t="s">
        <v>951</v>
      </c>
      <c r="X25" s="361">
        <v>69.790000000000006</v>
      </c>
    </row>
    <row r="26" spans="1:30" hidden="1">
      <c r="D26" s="84" t="s">
        <v>1851</v>
      </c>
      <c r="E26" s="355" t="s">
        <v>2427</v>
      </c>
      <c r="F26" s="356">
        <v>30.48</v>
      </c>
      <c r="G26" s="84"/>
      <c r="H26" s="357" t="s">
        <v>288</v>
      </c>
      <c r="I26" s="358">
        <v>124.54</v>
      </c>
      <c r="J26" s="358">
        <v>127.68</v>
      </c>
      <c r="K26" s="358">
        <v>131.88999999999999</v>
      </c>
      <c r="L26" s="358">
        <v>136.12</v>
      </c>
      <c r="M26" s="358">
        <v>139.94</v>
      </c>
      <c r="N26" s="84"/>
      <c r="O26" s="359"/>
      <c r="P26" s="360" t="s">
        <v>2491</v>
      </c>
      <c r="Q26" s="362"/>
      <c r="R26" s="361"/>
      <c r="S26" s="361"/>
      <c r="T26" s="84"/>
      <c r="U26" s="359" t="s">
        <v>920</v>
      </c>
      <c r="V26" s="362" t="s">
        <v>930</v>
      </c>
      <c r="W26" s="360" t="s">
        <v>952</v>
      </c>
      <c r="X26" s="361">
        <v>14.17</v>
      </c>
    </row>
    <row r="27" spans="1:30" hidden="1">
      <c r="D27" s="84" t="s">
        <v>1852</v>
      </c>
      <c r="E27" s="355" t="s">
        <v>392</v>
      </c>
      <c r="F27" s="356">
        <v>30.48</v>
      </c>
      <c r="G27" s="84"/>
      <c r="H27" s="357" t="s">
        <v>289</v>
      </c>
      <c r="I27" s="358">
        <v>39.86</v>
      </c>
      <c r="J27" s="358">
        <v>40.65</v>
      </c>
      <c r="K27" s="358">
        <v>41.62</v>
      </c>
      <c r="L27" s="358">
        <v>42.62</v>
      </c>
      <c r="M27" s="358">
        <v>43.61</v>
      </c>
      <c r="N27" s="84"/>
      <c r="O27" s="359" t="s">
        <v>2068</v>
      </c>
      <c r="P27" s="360" t="s">
        <v>2492</v>
      </c>
      <c r="Q27" s="362" t="s">
        <v>2493</v>
      </c>
      <c r="R27" s="361">
        <v>5026.62</v>
      </c>
      <c r="S27" s="361">
        <v>1302.69</v>
      </c>
      <c r="T27" s="84"/>
      <c r="U27" s="359" t="s">
        <v>920</v>
      </c>
      <c r="V27" s="362" t="s">
        <v>931</v>
      </c>
      <c r="W27" s="360" t="s">
        <v>953</v>
      </c>
      <c r="X27" s="361">
        <v>26.87</v>
      </c>
    </row>
    <row r="28" spans="1:30" hidden="1">
      <c r="D28" s="84" t="s">
        <v>1853</v>
      </c>
      <c r="E28" s="355" t="s">
        <v>393</v>
      </c>
      <c r="F28" s="356">
        <v>30.48</v>
      </c>
      <c r="G28" s="84"/>
      <c r="H28" s="357" t="s">
        <v>290</v>
      </c>
      <c r="I28" s="358">
        <v>51.14</v>
      </c>
      <c r="J28" s="358">
        <v>52.18</v>
      </c>
      <c r="K28" s="358">
        <v>53.49</v>
      </c>
      <c r="L28" s="358">
        <v>54.84</v>
      </c>
      <c r="M28" s="358">
        <v>56.15</v>
      </c>
      <c r="N28" s="84"/>
      <c r="O28" s="359"/>
      <c r="P28" s="360" t="s">
        <v>2494</v>
      </c>
      <c r="Q28" s="362"/>
      <c r="R28" s="361"/>
      <c r="S28" s="361"/>
      <c r="T28" s="84"/>
      <c r="U28" s="359" t="s">
        <v>920</v>
      </c>
      <c r="V28" s="362" t="s">
        <v>932</v>
      </c>
      <c r="W28" s="360" t="s">
        <v>954</v>
      </c>
      <c r="X28" s="356">
        <v>14.39</v>
      </c>
    </row>
    <row r="29" spans="1:30" hidden="1">
      <c r="D29" s="84" t="s">
        <v>1854</v>
      </c>
      <c r="E29" s="355" t="s">
        <v>394</v>
      </c>
      <c r="F29" s="356">
        <v>107.55</v>
      </c>
      <c r="G29" s="84"/>
      <c r="H29" s="357" t="s">
        <v>291</v>
      </c>
      <c r="I29" s="358">
        <v>66.900000000000006</v>
      </c>
      <c r="J29" s="358">
        <v>68.25</v>
      </c>
      <c r="K29" s="358">
        <v>69.97</v>
      </c>
      <c r="L29" s="358">
        <v>71.72</v>
      </c>
      <c r="M29" s="358">
        <v>73.42</v>
      </c>
      <c r="N29" s="84"/>
      <c r="O29" s="359" t="s">
        <v>2068</v>
      </c>
      <c r="P29" s="360" t="s">
        <v>2495</v>
      </c>
      <c r="Q29" s="362" t="s">
        <v>2496</v>
      </c>
      <c r="R29" s="361">
        <v>3270.4299999999994</v>
      </c>
      <c r="S29" s="361">
        <v>1302.69</v>
      </c>
      <c r="T29" s="84"/>
      <c r="U29" s="359" t="s">
        <v>920</v>
      </c>
      <c r="V29" s="362" t="s">
        <v>933</v>
      </c>
      <c r="W29" s="360" t="s">
        <v>955</v>
      </c>
      <c r="X29" s="356">
        <v>28.05</v>
      </c>
      <c r="AB29" s="84"/>
      <c r="AC29" s="84"/>
      <c r="AD29" s="84"/>
    </row>
    <row r="30" spans="1:30" hidden="1">
      <c r="D30" s="84" t="s">
        <v>1855</v>
      </c>
      <c r="E30" s="355" t="s">
        <v>395</v>
      </c>
      <c r="F30" s="356">
        <v>90.67</v>
      </c>
      <c r="G30" s="84"/>
      <c r="H30" s="357" t="s">
        <v>292</v>
      </c>
      <c r="I30" s="358">
        <v>43.93</v>
      </c>
      <c r="J30" s="358">
        <v>44.8</v>
      </c>
      <c r="K30" s="358">
        <v>45.9</v>
      </c>
      <c r="L30" s="358">
        <v>47.01</v>
      </c>
      <c r="M30" s="358">
        <v>48.09</v>
      </c>
      <c r="N30" s="84"/>
      <c r="O30" s="359"/>
      <c r="P30" s="360" t="s">
        <v>2497</v>
      </c>
      <c r="Q30" s="362"/>
      <c r="R30" s="361"/>
      <c r="S30" s="361"/>
      <c r="T30" s="84"/>
      <c r="U30" s="359" t="s">
        <v>920</v>
      </c>
      <c r="V30" s="362" t="s">
        <v>934</v>
      </c>
      <c r="W30" s="360" t="s">
        <v>956</v>
      </c>
      <c r="X30" s="356">
        <v>34.729999999999997</v>
      </c>
      <c r="AC30" s="84"/>
      <c r="AD30" s="84"/>
    </row>
    <row r="31" spans="1:30" hidden="1">
      <c r="D31" s="84" t="s">
        <v>1856</v>
      </c>
      <c r="E31" s="355" t="s">
        <v>396</v>
      </c>
      <c r="F31" s="356">
        <v>113.34</v>
      </c>
      <c r="G31" s="84"/>
      <c r="H31" s="357" t="s">
        <v>293</v>
      </c>
      <c r="I31" s="358">
        <v>52.16</v>
      </c>
      <c r="J31" s="358">
        <v>53.21</v>
      </c>
      <c r="K31" s="358">
        <v>54.51</v>
      </c>
      <c r="L31" s="358">
        <v>55.83</v>
      </c>
      <c r="M31" s="358">
        <v>57.11</v>
      </c>
      <c r="N31" s="84"/>
      <c r="O31" s="359" t="s">
        <v>2068</v>
      </c>
      <c r="P31" s="360" t="s">
        <v>2498</v>
      </c>
      <c r="Q31" s="362" t="s">
        <v>2499</v>
      </c>
      <c r="R31" s="361">
        <v>3858.79</v>
      </c>
      <c r="S31" s="361">
        <v>1302.69</v>
      </c>
      <c r="T31" s="84"/>
      <c r="U31" s="359" t="s">
        <v>1723</v>
      </c>
      <c r="V31" s="362">
        <v>30279</v>
      </c>
      <c r="W31" s="360" t="s">
        <v>1724</v>
      </c>
      <c r="X31" s="356">
        <v>2.25</v>
      </c>
    </row>
    <row r="32" spans="1:30" hidden="1">
      <c r="D32" s="84" t="s">
        <v>1857</v>
      </c>
      <c r="E32" s="355" t="s">
        <v>397</v>
      </c>
      <c r="F32" s="356">
        <v>68</v>
      </c>
      <c r="G32" s="84"/>
      <c r="H32" s="357" t="s">
        <v>294</v>
      </c>
      <c r="I32" s="358">
        <v>58.41</v>
      </c>
      <c r="J32" s="358">
        <v>59.87</v>
      </c>
      <c r="K32" s="358">
        <v>61.84</v>
      </c>
      <c r="L32" s="358">
        <v>63.81</v>
      </c>
      <c r="M32" s="358">
        <v>65.599999999999994</v>
      </c>
      <c r="N32" s="84"/>
      <c r="O32" s="359" t="s">
        <v>2068</v>
      </c>
      <c r="P32" s="360" t="s">
        <v>2500</v>
      </c>
      <c r="Q32" s="362" t="s">
        <v>2501</v>
      </c>
      <c r="R32" s="361">
        <v>6424</v>
      </c>
      <c r="S32" s="361">
        <v>1302.69</v>
      </c>
      <c r="T32" s="84"/>
      <c r="U32" s="359" t="s">
        <v>1723</v>
      </c>
      <c r="V32" s="362">
        <v>101550</v>
      </c>
      <c r="W32" s="360" t="s">
        <v>1725</v>
      </c>
      <c r="X32" s="356">
        <v>6.17</v>
      </c>
    </row>
    <row r="33" spans="4:24" hidden="1">
      <c r="D33" s="84" t="s">
        <v>1858</v>
      </c>
      <c r="E33" s="355" t="s">
        <v>398</v>
      </c>
      <c r="F33" s="356">
        <v>101.22</v>
      </c>
      <c r="G33" s="84"/>
      <c r="H33" s="357" t="s">
        <v>295</v>
      </c>
      <c r="I33" s="358">
        <v>27.3</v>
      </c>
      <c r="J33" s="358">
        <v>27.84</v>
      </c>
      <c r="K33" s="358">
        <v>28.52</v>
      </c>
      <c r="L33" s="358">
        <v>29.2</v>
      </c>
      <c r="M33" s="358">
        <v>29.85</v>
      </c>
      <c r="N33" s="84"/>
      <c r="O33" s="359"/>
      <c r="P33" s="360" t="s">
        <v>2502</v>
      </c>
      <c r="Q33" s="362"/>
      <c r="R33" s="361"/>
      <c r="S33" s="361"/>
      <c r="T33" s="84"/>
      <c r="U33" s="359" t="s">
        <v>1723</v>
      </c>
      <c r="V33" s="362" t="s">
        <v>935</v>
      </c>
      <c r="W33" s="360" t="s">
        <v>1726</v>
      </c>
      <c r="X33" s="361">
        <v>2.15</v>
      </c>
    </row>
    <row r="34" spans="4:24" hidden="1">
      <c r="D34" s="84" t="s">
        <v>1859</v>
      </c>
      <c r="E34" s="355" t="s">
        <v>399</v>
      </c>
      <c r="F34" s="356">
        <v>189.8</v>
      </c>
      <c r="G34" s="84"/>
      <c r="H34" s="357" t="s">
        <v>296</v>
      </c>
      <c r="I34" s="358">
        <v>28.58</v>
      </c>
      <c r="J34" s="358">
        <v>29.16</v>
      </c>
      <c r="K34" s="358">
        <v>29.89</v>
      </c>
      <c r="L34" s="358">
        <v>30.64</v>
      </c>
      <c r="M34" s="358">
        <v>31.37</v>
      </c>
      <c r="N34" s="84"/>
      <c r="O34" s="359" t="s">
        <v>2068</v>
      </c>
      <c r="P34" s="360" t="s">
        <v>2503</v>
      </c>
      <c r="Q34" s="362" t="s">
        <v>2504</v>
      </c>
      <c r="R34" s="361">
        <v>7166.5</v>
      </c>
      <c r="S34" s="361">
        <v>1302.69</v>
      </c>
      <c r="T34" s="84"/>
      <c r="U34" s="359" t="s">
        <v>1723</v>
      </c>
      <c r="V34" s="362" t="s">
        <v>936</v>
      </c>
      <c r="W34" s="360" t="s">
        <v>1727</v>
      </c>
      <c r="X34" s="361">
        <v>2.15</v>
      </c>
    </row>
    <row r="35" spans="4:24" hidden="1">
      <c r="D35" s="84" t="s">
        <v>1860</v>
      </c>
      <c r="E35" s="355" t="s">
        <v>400</v>
      </c>
      <c r="F35" s="356">
        <v>158.16</v>
      </c>
      <c r="G35" s="84"/>
      <c r="H35" s="357" t="s">
        <v>297</v>
      </c>
      <c r="I35" s="358">
        <v>32.89</v>
      </c>
      <c r="J35" s="358">
        <v>33.56</v>
      </c>
      <c r="K35" s="358">
        <v>34.4</v>
      </c>
      <c r="L35" s="358">
        <v>35.270000000000003</v>
      </c>
      <c r="M35" s="358">
        <v>36.11</v>
      </c>
      <c r="N35" s="84"/>
      <c r="O35" s="359"/>
      <c r="P35" s="360" t="s">
        <v>2505</v>
      </c>
      <c r="Q35" s="362"/>
      <c r="R35" s="361"/>
      <c r="S35" s="361"/>
      <c r="T35" s="84"/>
      <c r="U35" s="359" t="s">
        <v>1723</v>
      </c>
      <c r="V35" s="362" t="s">
        <v>937</v>
      </c>
      <c r="W35" s="360" t="s">
        <v>1728</v>
      </c>
      <c r="X35" s="361">
        <v>4.25</v>
      </c>
    </row>
    <row r="36" spans="4:24" hidden="1">
      <c r="D36" s="84" t="s">
        <v>1861</v>
      </c>
      <c r="E36" s="355" t="s">
        <v>2428</v>
      </c>
      <c r="F36" s="356">
        <v>30.48</v>
      </c>
      <c r="G36" s="84"/>
      <c r="H36" s="357" t="s">
        <v>298</v>
      </c>
      <c r="I36" s="358">
        <v>67.14</v>
      </c>
      <c r="J36" s="358">
        <v>68.459999999999994</v>
      </c>
      <c r="K36" s="358">
        <v>70.13</v>
      </c>
      <c r="L36" s="358">
        <v>71.81</v>
      </c>
      <c r="M36" s="358">
        <v>73.44</v>
      </c>
      <c r="N36" s="84"/>
      <c r="O36" s="359" t="s">
        <v>2068</v>
      </c>
      <c r="P36" s="360" t="s">
        <v>2506</v>
      </c>
      <c r="Q36" s="362" t="s">
        <v>2507</v>
      </c>
      <c r="R36" s="361">
        <v>5659</v>
      </c>
      <c r="S36" s="361">
        <v>1302.69</v>
      </c>
      <c r="T36" s="84"/>
      <c r="U36" s="359" t="s">
        <v>965</v>
      </c>
      <c r="V36" s="362" t="s">
        <v>966</v>
      </c>
      <c r="W36" s="360" t="s">
        <v>967</v>
      </c>
      <c r="X36" s="361">
        <v>16.45</v>
      </c>
    </row>
    <row r="37" spans="4:24" hidden="1">
      <c r="D37" s="84" t="s">
        <v>1862</v>
      </c>
      <c r="E37" s="355" t="s">
        <v>2429</v>
      </c>
      <c r="F37" s="356">
        <v>30.48</v>
      </c>
      <c r="G37" s="84"/>
      <c r="H37" s="357" t="s">
        <v>299</v>
      </c>
      <c r="I37" s="358">
        <v>45.34</v>
      </c>
      <c r="J37" s="358">
        <v>46.25</v>
      </c>
      <c r="K37" s="358">
        <v>47.4</v>
      </c>
      <c r="L37" s="358">
        <v>48.56</v>
      </c>
      <c r="M37" s="358">
        <v>49.67</v>
      </c>
      <c r="N37" s="84"/>
      <c r="O37" s="359"/>
      <c r="P37" s="360" t="s">
        <v>2508</v>
      </c>
      <c r="Q37" s="362"/>
      <c r="R37" s="361"/>
      <c r="S37" s="361"/>
      <c r="T37" s="84"/>
      <c r="U37" s="359" t="s">
        <v>965</v>
      </c>
      <c r="V37" s="362" t="s">
        <v>968</v>
      </c>
      <c r="W37" s="360" t="s">
        <v>969</v>
      </c>
      <c r="X37" s="361">
        <v>46.37</v>
      </c>
    </row>
    <row r="38" spans="4:24" hidden="1">
      <c r="D38" s="84" t="s">
        <v>1863</v>
      </c>
      <c r="E38" s="355" t="s">
        <v>401</v>
      </c>
      <c r="F38" s="356">
        <v>30.48</v>
      </c>
      <c r="G38" s="84"/>
      <c r="H38" s="357" t="s">
        <v>300</v>
      </c>
      <c r="I38" s="358">
        <v>60.53</v>
      </c>
      <c r="J38" s="358">
        <v>61.74</v>
      </c>
      <c r="K38" s="358">
        <v>63.27</v>
      </c>
      <c r="L38" s="358">
        <v>64.81</v>
      </c>
      <c r="M38" s="358">
        <v>66.3</v>
      </c>
      <c r="N38" s="84"/>
      <c r="O38" s="359" t="s">
        <v>2068</v>
      </c>
      <c r="P38" s="360" t="s">
        <v>2509</v>
      </c>
      <c r="Q38" s="362" t="s">
        <v>2510</v>
      </c>
      <c r="R38" s="361">
        <v>2869</v>
      </c>
      <c r="S38" s="361">
        <v>1302.69</v>
      </c>
      <c r="T38" s="84"/>
      <c r="U38" s="359" t="s">
        <v>970</v>
      </c>
      <c r="V38" s="362">
        <v>8465</v>
      </c>
      <c r="W38" s="360" t="s">
        <v>971</v>
      </c>
      <c r="X38" s="361">
        <v>2.12</v>
      </c>
    </row>
    <row r="39" spans="4:24" hidden="1">
      <c r="D39" s="84" t="s">
        <v>1864</v>
      </c>
      <c r="E39" s="355" t="s">
        <v>402</v>
      </c>
      <c r="F39" s="356">
        <v>113.34</v>
      </c>
      <c r="G39" s="84"/>
      <c r="H39" s="357" t="s">
        <v>301</v>
      </c>
      <c r="I39" s="358">
        <v>65.91</v>
      </c>
      <c r="J39" s="358">
        <v>67.22</v>
      </c>
      <c r="K39" s="358">
        <v>68.88</v>
      </c>
      <c r="L39" s="358">
        <v>70.55</v>
      </c>
      <c r="M39" s="358">
        <v>72.17</v>
      </c>
      <c r="N39" s="84"/>
      <c r="O39" s="359" t="s">
        <v>2068</v>
      </c>
      <c r="P39" s="360" t="s">
        <v>2511</v>
      </c>
      <c r="Q39" s="362" t="s">
        <v>2512</v>
      </c>
      <c r="R39" s="361">
        <v>4532.5999999999995</v>
      </c>
      <c r="S39" s="361">
        <v>1302.69</v>
      </c>
      <c r="T39" s="84"/>
      <c r="U39" s="359" t="s">
        <v>972</v>
      </c>
      <c r="V39" s="362">
        <v>448</v>
      </c>
      <c r="W39" s="360" t="s">
        <v>973</v>
      </c>
      <c r="X39" s="361">
        <v>5.69</v>
      </c>
    </row>
    <row r="40" spans="4:24" hidden="1">
      <c r="D40" s="84" t="s">
        <v>1865</v>
      </c>
      <c r="E40" s="355" t="s">
        <v>403</v>
      </c>
      <c r="F40" s="356">
        <v>136.01</v>
      </c>
      <c r="G40" s="84"/>
      <c r="H40" s="357" t="s">
        <v>302</v>
      </c>
      <c r="I40" s="358">
        <v>83.24</v>
      </c>
      <c r="J40" s="358">
        <v>84.9</v>
      </c>
      <c r="K40" s="358">
        <v>86.97</v>
      </c>
      <c r="L40" s="358">
        <v>89.06</v>
      </c>
      <c r="M40" s="358">
        <v>91.08</v>
      </c>
      <c r="N40" s="84"/>
      <c r="O40" s="359"/>
      <c r="P40" s="360" t="s">
        <v>2513</v>
      </c>
      <c r="Q40" s="362"/>
      <c r="R40" s="361"/>
      <c r="S40" s="361"/>
      <c r="T40" s="84"/>
      <c r="U40" s="359" t="s">
        <v>972</v>
      </c>
      <c r="V40" s="362" t="s">
        <v>974</v>
      </c>
      <c r="W40" s="360" t="s">
        <v>975</v>
      </c>
      <c r="X40" s="361">
        <v>2.96</v>
      </c>
    </row>
    <row r="41" spans="4:24" hidden="1">
      <c r="D41" s="84" t="s">
        <v>1866</v>
      </c>
      <c r="E41" s="355" t="s">
        <v>198</v>
      </c>
      <c r="F41" s="356">
        <v>90.67</v>
      </c>
      <c r="G41" s="84"/>
      <c r="H41" s="357" t="s">
        <v>303</v>
      </c>
      <c r="I41" s="358">
        <v>107.13</v>
      </c>
      <c r="J41" s="358">
        <v>109.26</v>
      </c>
      <c r="K41" s="358">
        <v>111.92</v>
      </c>
      <c r="L41" s="358">
        <v>114.61</v>
      </c>
      <c r="M41" s="358">
        <v>117.21</v>
      </c>
      <c r="N41" s="84"/>
      <c r="O41" s="359" t="s">
        <v>2068</v>
      </c>
      <c r="P41" s="360" t="s">
        <v>2514</v>
      </c>
      <c r="Q41" s="362" t="s">
        <v>2515</v>
      </c>
      <c r="R41" s="361">
        <v>3453.56</v>
      </c>
      <c r="S41" s="361">
        <v>1302.69</v>
      </c>
      <c r="T41" s="84"/>
      <c r="U41" s="359" t="s">
        <v>972</v>
      </c>
      <c r="V41" s="362" t="s">
        <v>976</v>
      </c>
      <c r="W41" s="360" t="s">
        <v>977</v>
      </c>
      <c r="X41" s="356">
        <v>8.58</v>
      </c>
    </row>
    <row r="42" spans="4:24" hidden="1">
      <c r="D42" s="84" t="s">
        <v>1867</v>
      </c>
      <c r="E42" s="355" t="s">
        <v>199</v>
      </c>
      <c r="F42" s="356">
        <v>163.21</v>
      </c>
      <c r="G42" s="84"/>
      <c r="H42" s="357" t="s">
        <v>304</v>
      </c>
      <c r="I42" s="358">
        <v>83.62</v>
      </c>
      <c r="J42" s="358">
        <v>85.71</v>
      </c>
      <c r="K42" s="358">
        <v>88.53</v>
      </c>
      <c r="L42" s="358">
        <v>91.37</v>
      </c>
      <c r="M42" s="358">
        <v>93.93</v>
      </c>
      <c r="N42" s="84"/>
      <c r="O42" s="359" t="s">
        <v>2068</v>
      </c>
      <c r="P42" s="360" t="s">
        <v>2516</v>
      </c>
      <c r="Q42" s="362" t="s">
        <v>2517</v>
      </c>
      <c r="R42" s="361">
        <v>5702.6</v>
      </c>
      <c r="S42" s="361">
        <v>1302.69</v>
      </c>
      <c r="T42" s="84"/>
      <c r="U42" s="359" t="s">
        <v>972</v>
      </c>
      <c r="V42" s="362" t="s">
        <v>978</v>
      </c>
      <c r="W42" s="360" t="s">
        <v>979</v>
      </c>
      <c r="X42" s="356">
        <v>1.23</v>
      </c>
    </row>
    <row r="43" spans="4:24" hidden="1">
      <c r="D43" s="84" t="s">
        <v>1868</v>
      </c>
      <c r="E43" s="355" t="s">
        <v>200</v>
      </c>
      <c r="F43" s="356">
        <v>272.01</v>
      </c>
      <c r="G43" s="84"/>
      <c r="H43" s="357" t="s">
        <v>305</v>
      </c>
      <c r="I43" s="358">
        <v>83.62</v>
      </c>
      <c r="J43" s="358">
        <v>85.71</v>
      </c>
      <c r="K43" s="358">
        <v>88.53</v>
      </c>
      <c r="L43" s="358">
        <v>91.37</v>
      </c>
      <c r="M43" s="358">
        <v>93.93</v>
      </c>
      <c r="N43" s="84"/>
      <c r="O43" s="359"/>
      <c r="P43" s="360" t="s">
        <v>2518</v>
      </c>
      <c r="Q43" s="362"/>
      <c r="R43" s="361"/>
      <c r="S43" s="361"/>
      <c r="T43" s="84"/>
      <c r="U43" s="359" t="s">
        <v>972</v>
      </c>
      <c r="V43" s="362" t="s">
        <v>980</v>
      </c>
      <c r="W43" s="360" t="s">
        <v>981</v>
      </c>
      <c r="X43" s="356">
        <v>5.18</v>
      </c>
    </row>
    <row r="44" spans="4:24" hidden="1">
      <c r="D44" s="84" t="s">
        <v>1869</v>
      </c>
      <c r="E44" s="355" t="s">
        <v>201</v>
      </c>
      <c r="F44" s="356">
        <v>426.15</v>
      </c>
      <c r="G44" s="84"/>
      <c r="H44" s="357" t="s">
        <v>306</v>
      </c>
      <c r="I44" s="358">
        <v>83.62</v>
      </c>
      <c r="J44" s="358">
        <v>85.71</v>
      </c>
      <c r="K44" s="358">
        <v>88.53</v>
      </c>
      <c r="L44" s="358">
        <v>91.37</v>
      </c>
      <c r="M44" s="358">
        <v>93.93</v>
      </c>
      <c r="N44" s="84"/>
      <c r="O44" s="359" t="s">
        <v>2068</v>
      </c>
      <c r="P44" s="360" t="s">
        <v>2519</v>
      </c>
      <c r="Q44" s="362" t="s">
        <v>2520</v>
      </c>
      <c r="R44" s="361">
        <v>5251.62</v>
      </c>
      <c r="S44" s="361">
        <v>1302.69</v>
      </c>
      <c r="T44" s="84"/>
      <c r="U44" s="359" t="s">
        <v>972</v>
      </c>
      <c r="V44" s="362" t="s">
        <v>982</v>
      </c>
      <c r="W44" s="360" t="s">
        <v>983</v>
      </c>
      <c r="X44" s="356">
        <v>6.39</v>
      </c>
    </row>
    <row r="45" spans="4:24" hidden="1">
      <c r="D45" s="84" t="s">
        <v>1870</v>
      </c>
      <c r="E45" s="355" t="s">
        <v>202</v>
      </c>
      <c r="F45" s="356">
        <v>566.69000000000005</v>
      </c>
      <c r="G45" s="84"/>
      <c r="H45" s="357" t="s">
        <v>307</v>
      </c>
      <c r="I45" s="358">
        <v>67.83</v>
      </c>
      <c r="J45" s="358">
        <v>69.53</v>
      </c>
      <c r="K45" s="358">
        <v>71.819999999999993</v>
      </c>
      <c r="L45" s="358">
        <v>74.11</v>
      </c>
      <c r="M45" s="358">
        <v>76.19</v>
      </c>
      <c r="N45" s="84"/>
      <c r="O45" s="359"/>
      <c r="P45" s="360" t="s">
        <v>2521</v>
      </c>
      <c r="Q45" s="362"/>
      <c r="R45" s="361"/>
      <c r="S45" s="361"/>
      <c r="T45" s="84"/>
      <c r="U45" s="359" t="s">
        <v>972</v>
      </c>
      <c r="V45" s="362" t="s">
        <v>984</v>
      </c>
      <c r="W45" s="360" t="s">
        <v>985</v>
      </c>
      <c r="X45" s="361">
        <v>2.4700000000000002</v>
      </c>
    </row>
    <row r="46" spans="4:24" hidden="1">
      <c r="D46" s="84" t="s">
        <v>1871</v>
      </c>
      <c r="E46" s="355" t="s">
        <v>203</v>
      </c>
      <c r="F46" s="356">
        <v>702.69</v>
      </c>
      <c r="G46" s="84"/>
      <c r="H46" s="357" t="s">
        <v>308</v>
      </c>
      <c r="I46" s="358">
        <v>32.729999999999997</v>
      </c>
      <c r="J46" s="358">
        <v>33.39</v>
      </c>
      <c r="K46" s="358">
        <v>34.22</v>
      </c>
      <c r="L46" s="358">
        <v>35.049999999999997</v>
      </c>
      <c r="M46" s="358">
        <v>35.86</v>
      </c>
      <c r="N46" s="84"/>
      <c r="O46" s="359" t="s">
        <v>2068</v>
      </c>
      <c r="P46" s="360" t="s">
        <v>2522</v>
      </c>
      <c r="Q46" s="362" t="s">
        <v>2523</v>
      </c>
      <c r="R46" s="361">
        <v>3769</v>
      </c>
      <c r="S46" s="361">
        <v>1302.69</v>
      </c>
      <c r="T46" s="84"/>
      <c r="U46" s="359" t="s">
        <v>986</v>
      </c>
      <c r="V46" s="362" t="s">
        <v>987</v>
      </c>
      <c r="W46" s="360" t="s">
        <v>988</v>
      </c>
      <c r="X46" s="361">
        <v>0.49</v>
      </c>
    </row>
    <row r="47" spans="4:24" hidden="1">
      <c r="D47" s="84" t="s">
        <v>1872</v>
      </c>
      <c r="E47" s="355" t="s">
        <v>204</v>
      </c>
      <c r="F47" s="356">
        <v>1156.04</v>
      </c>
      <c r="G47" s="84"/>
      <c r="H47" s="357" t="s">
        <v>309</v>
      </c>
      <c r="I47" s="358">
        <v>46.39</v>
      </c>
      <c r="J47" s="358">
        <v>47.31</v>
      </c>
      <c r="K47" s="358">
        <v>48.47</v>
      </c>
      <c r="L47" s="358">
        <v>49.64</v>
      </c>
      <c r="M47" s="358">
        <v>50.77</v>
      </c>
      <c r="N47" s="84"/>
      <c r="O47" s="359" t="s">
        <v>2068</v>
      </c>
      <c r="P47" s="360" t="s">
        <v>2524</v>
      </c>
      <c r="Q47" s="362" t="s">
        <v>2525</v>
      </c>
      <c r="R47" s="361">
        <v>5432.5999999999995</v>
      </c>
      <c r="S47" s="361">
        <v>1302.69</v>
      </c>
      <c r="T47" s="84"/>
      <c r="U47" s="359" t="s">
        <v>989</v>
      </c>
      <c r="V47" s="362" t="s">
        <v>990</v>
      </c>
      <c r="W47" s="360" t="s">
        <v>991</v>
      </c>
      <c r="X47" s="361">
        <v>5.58</v>
      </c>
    </row>
    <row r="48" spans="4:24" hidden="1">
      <c r="D48" s="84" t="s">
        <v>1873</v>
      </c>
      <c r="E48" s="355" t="s">
        <v>205</v>
      </c>
      <c r="F48" s="356">
        <v>90.67</v>
      </c>
      <c r="G48" s="84"/>
      <c r="H48" s="357" t="s">
        <v>310</v>
      </c>
      <c r="I48" s="358">
        <v>78.400000000000006</v>
      </c>
      <c r="J48" s="358">
        <v>79.98</v>
      </c>
      <c r="K48" s="358">
        <v>81.98</v>
      </c>
      <c r="L48" s="358">
        <v>84.02</v>
      </c>
      <c r="M48" s="358">
        <v>85.99</v>
      </c>
      <c r="N48" s="84"/>
      <c r="O48" s="359"/>
      <c r="P48" s="360" t="s">
        <v>2526</v>
      </c>
      <c r="Q48" s="362"/>
      <c r="R48" s="361"/>
      <c r="S48" s="361"/>
      <c r="T48" s="84"/>
      <c r="U48" s="359" t="s">
        <v>992</v>
      </c>
      <c r="V48" s="362">
        <v>25194566</v>
      </c>
      <c r="W48" s="360" t="s">
        <v>993</v>
      </c>
      <c r="X48" s="361">
        <v>1.91</v>
      </c>
    </row>
    <row r="49" spans="4:24" hidden="1">
      <c r="D49" s="84" t="s">
        <v>1874</v>
      </c>
      <c r="E49" s="355" t="s">
        <v>206</v>
      </c>
      <c r="F49" s="356">
        <v>249.34</v>
      </c>
      <c r="G49" s="84"/>
      <c r="H49" s="357" t="s">
        <v>311</v>
      </c>
      <c r="I49" s="358">
        <v>61.27</v>
      </c>
      <c r="J49" s="358">
        <v>62.49</v>
      </c>
      <c r="K49" s="358">
        <v>64.040000000000006</v>
      </c>
      <c r="L49" s="358">
        <v>65.59</v>
      </c>
      <c r="M49" s="358">
        <v>67.099999999999994</v>
      </c>
      <c r="N49" s="84"/>
      <c r="O49" s="359" t="s">
        <v>2068</v>
      </c>
      <c r="P49" s="360" t="s">
        <v>2527</v>
      </c>
      <c r="Q49" s="362" t="s">
        <v>2528</v>
      </c>
      <c r="R49" s="361">
        <v>4353.5599999999995</v>
      </c>
      <c r="S49" s="361">
        <v>1302.69</v>
      </c>
      <c r="T49" s="84"/>
      <c r="U49" s="359" t="s">
        <v>992</v>
      </c>
      <c r="V49" s="362" t="s">
        <v>994</v>
      </c>
      <c r="W49" s="360" t="s">
        <v>995</v>
      </c>
      <c r="X49" s="361">
        <v>24.6</v>
      </c>
    </row>
    <row r="50" spans="4:24" hidden="1">
      <c r="D50" s="84" t="s">
        <v>1875</v>
      </c>
      <c r="E50" s="355" t="s">
        <v>404</v>
      </c>
      <c r="F50" s="356">
        <v>421.62</v>
      </c>
      <c r="G50" s="84"/>
      <c r="H50" s="357" t="s">
        <v>312</v>
      </c>
      <c r="I50" s="358">
        <v>47.29</v>
      </c>
      <c r="J50" s="358">
        <v>48.23</v>
      </c>
      <c r="K50" s="358">
        <v>49.42</v>
      </c>
      <c r="L50" s="358">
        <v>50.62</v>
      </c>
      <c r="M50" s="358">
        <v>51.78</v>
      </c>
      <c r="N50" s="84"/>
      <c r="O50" s="359" t="s">
        <v>2068</v>
      </c>
      <c r="P50" s="360" t="s">
        <v>2529</v>
      </c>
      <c r="Q50" s="362" t="s">
        <v>2530</v>
      </c>
      <c r="R50" s="361">
        <v>6602.6</v>
      </c>
      <c r="S50" s="361">
        <v>1302.69</v>
      </c>
      <c r="T50" s="84"/>
      <c r="U50" s="359" t="s">
        <v>992</v>
      </c>
      <c r="V50" s="362" t="s">
        <v>996</v>
      </c>
      <c r="W50" s="360" t="s">
        <v>997</v>
      </c>
      <c r="X50" s="361">
        <v>18.68</v>
      </c>
    </row>
    <row r="51" spans="4:24" hidden="1">
      <c r="D51" s="84" t="s">
        <v>1876</v>
      </c>
      <c r="E51" s="355" t="s">
        <v>207</v>
      </c>
      <c r="F51" s="356">
        <v>752.56</v>
      </c>
      <c r="G51" s="84"/>
      <c r="H51" s="357" t="s">
        <v>313</v>
      </c>
      <c r="I51" s="358">
        <v>72.900000000000006</v>
      </c>
      <c r="J51" s="358">
        <v>74.37</v>
      </c>
      <c r="K51" s="358">
        <v>76.209999999999994</v>
      </c>
      <c r="L51" s="358">
        <v>78.08</v>
      </c>
      <c r="M51" s="358">
        <v>79.88</v>
      </c>
      <c r="N51" s="84"/>
      <c r="O51" s="359"/>
      <c r="P51" s="360" t="s">
        <v>2531</v>
      </c>
      <c r="Q51" s="362"/>
      <c r="R51" s="361"/>
      <c r="S51" s="361"/>
      <c r="T51" s="84"/>
      <c r="U51" s="359" t="s">
        <v>992</v>
      </c>
      <c r="V51" s="362" t="s">
        <v>998</v>
      </c>
      <c r="W51" s="360" t="s">
        <v>1713</v>
      </c>
      <c r="X51" s="361">
        <v>7.69</v>
      </c>
    </row>
    <row r="52" spans="4:24" hidden="1">
      <c r="D52" s="84" t="s">
        <v>1877</v>
      </c>
      <c r="E52" s="355" t="s">
        <v>208</v>
      </c>
      <c r="F52" s="356">
        <v>816.03</v>
      </c>
      <c r="G52" s="84"/>
      <c r="H52" s="357" t="s">
        <v>314</v>
      </c>
      <c r="I52" s="358">
        <v>59.72</v>
      </c>
      <c r="J52" s="358">
        <v>60.92</v>
      </c>
      <c r="K52" s="358">
        <v>62.42</v>
      </c>
      <c r="L52" s="358">
        <v>63.94</v>
      </c>
      <c r="M52" s="358">
        <v>65.41</v>
      </c>
      <c r="N52" s="84"/>
      <c r="O52" s="359" t="s">
        <v>2068</v>
      </c>
      <c r="P52" s="360" t="s">
        <v>2532</v>
      </c>
      <c r="Q52" s="362" t="s">
        <v>2533</v>
      </c>
      <c r="R52" s="361">
        <v>6151.62</v>
      </c>
      <c r="S52" s="361">
        <v>1302.69</v>
      </c>
      <c r="T52" s="84"/>
      <c r="U52" s="359" t="s">
        <v>992</v>
      </c>
      <c r="V52" s="362" t="s">
        <v>999</v>
      </c>
      <c r="W52" s="360" t="s">
        <v>1712</v>
      </c>
      <c r="X52" s="361">
        <v>8.7200000000000006</v>
      </c>
    </row>
    <row r="53" spans="4:24" hidden="1">
      <c r="D53" s="84" t="s">
        <v>1878</v>
      </c>
      <c r="E53" s="355" t="s">
        <v>209</v>
      </c>
      <c r="F53" s="356">
        <v>1178.71</v>
      </c>
      <c r="G53" s="84"/>
      <c r="H53" s="357" t="s">
        <v>315</v>
      </c>
      <c r="I53" s="358">
        <v>28.37</v>
      </c>
      <c r="J53" s="358">
        <v>28.93</v>
      </c>
      <c r="K53" s="358">
        <v>29.64</v>
      </c>
      <c r="L53" s="358">
        <v>30.35</v>
      </c>
      <c r="M53" s="358">
        <v>31.05</v>
      </c>
      <c r="N53" s="84"/>
      <c r="O53" s="359"/>
      <c r="P53" s="360" t="s">
        <v>2534</v>
      </c>
      <c r="Q53" s="362"/>
      <c r="R53" s="361"/>
      <c r="S53" s="361"/>
      <c r="T53" s="84"/>
      <c r="U53" s="359" t="s">
        <v>992</v>
      </c>
      <c r="V53" s="362" t="s">
        <v>1000</v>
      </c>
      <c r="W53" s="360" t="s">
        <v>1001</v>
      </c>
      <c r="X53" s="361">
        <v>74.790000000000006</v>
      </c>
    </row>
    <row r="54" spans="4:24" hidden="1">
      <c r="D54" s="84" t="s">
        <v>1879</v>
      </c>
      <c r="E54" s="355" t="s">
        <v>210</v>
      </c>
      <c r="F54" s="356">
        <v>1745.4</v>
      </c>
      <c r="G54" s="84"/>
      <c r="H54" s="357" t="s">
        <v>316</v>
      </c>
      <c r="I54" s="358">
        <v>55.73</v>
      </c>
      <c r="J54" s="358">
        <v>56.85</v>
      </c>
      <c r="K54" s="358">
        <v>58.26</v>
      </c>
      <c r="L54" s="358">
        <v>59.68</v>
      </c>
      <c r="M54" s="358">
        <v>61.05</v>
      </c>
      <c r="N54" s="84"/>
      <c r="O54" s="359" t="s">
        <v>2068</v>
      </c>
      <c r="P54" s="360" t="s">
        <v>2535</v>
      </c>
      <c r="Q54" s="362" t="s">
        <v>2536</v>
      </c>
      <c r="R54" s="361">
        <v>3495.4299999999994</v>
      </c>
      <c r="S54" s="361">
        <v>1302.69</v>
      </c>
      <c r="T54" s="84"/>
      <c r="U54" s="359" t="s">
        <v>1729</v>
      </c>
      <c r="V54" s="362" t="s">
        <v>1002</v>
      </c>
      <c r="W54" s="360" t="s">
        <v>1730</v>
      </c>
      <c r="X54" s="361">
        <v>51.99</v>
      </c>
    </row>
    <row r="55" spans="4:24" hidden="1">
      <c r="D55" s="84" t="s">
        <v>1880</v>
      </c>
      <c r="E55" s="355" t="s">
        <v>515</v>
      </c>
      <c r="F55" s="356">
        <v>3.63</v>
      </c>
      <c r="G55" s="84"/>
      <c r="H55" s="357" t="s">
        <v>317</v>
      </c>
      <c r="I55" s="358">
        <v>66.45</v>
      </c>
      <c r="J55" s="358">
        <v>67.790000000000006</v>
      </c>
      <c r="K55" s="358">
        <v>69.47</v>
      </c>
      <c r="L55" s="358">
        <v>71.180000000000007</v>
      </c>
      <c r="M55" s="358">
        <v>72.819999999999993</v>
      </c>
      <c r="N55" s="84"/>
      <c r="O55" s="359"/>
      <c r="P55" s="360" t="s">
        <v>2537</v>
      </c>
      <c r="Q55" s="362"/>
      <c r="R55" s="361"/>
      <c r="S55" s="361"/>
      <c r="T55" s="84"/>
      <c r="U55" s="359" t="s">
        <v>1003</v>
      </c>
      <c r="V55" s="362">
        <v>322</v>
      </c>
      <c r="W55" s="360" t="s">
        <v>1004</v>
      </c>
      <c r="X55" s="361">
        <v>0.5</v>
      </c>
    </row>
    <row r="56" spans="4:24" hidden="1">
      <c r="D56" s="84" t="s">
        <v>1881</v>
      </c>
      <c r="E56" s="355" t="s">
        <v>516</v>
      </c>
      <c r="F56" s="356">
        <v>3.63</v>
      </c>
      <c r="G56" s="84"/>
      <c r="H56" s="357" t="s">
        <v>318</v>
      </c>
      <c r="I56" s="358">
        <v>37.99</v>
      </c>
      <c r="J56" s="358">
        <v>38.94</v>
      </c>
      <c r="K56" s="358">
        <v>40.22</v>
      </c>
      <c r="L56" s="358">
        <v>41.5</v>
      </c>
      <c r="M56" s="358">
        <v>42.66</v>
      </c>
      <c r="N56" s="84"/>
      <c r="O56" s="359" t="s">
        <v>2068</v>
      </c>
      <c r="P56" s="360" t="s">
        <v>2538</v>
      </c>
      <c r="Q56" s="362" t="s">
        <v>2539</v>
      </c>
      <c r="R56" s="361">
        <v>4646.29</v>
      </c>
      <c r="S56" s="361">
        <v>1302.69</v>
      </c>
      <c r="T56" s="84"/>
      <c r="U56" s="359" t="s">
        <v>1003</v>
      </c>
      <c r="V56" s="362">
        <v>323</v>
      </c>
      <c r="W56" s="360" t="s">
        <v>1005</v>
      </c>
      <c r="X56" s="361">
        <v>1.8</v>
      </c>
    </row>
    <row r="57" spans="4:24" hidden="1">
      <c r="D57" s="84" t="s">
        <v>1882</v>
      </c>
      <c r="E57" s="355" t="s">
        <v>517</v>
      </c>
      <c r="F57" s="356">
        <v>3.63</v>
      </c>
      <c r="G57" s="84"/>
      <c r="H57" s="357" t="s">
        <v>319</v>
      </c>
      <c r="I57" s="358">
        <v>52.4</v>
      </c>
      <c r="J57" s="358">
        <v>53.71</v>
      </c>
      <c r="K57" s="358">
        <v>55.47</v>
      </c>
      <c r="L57" s="358">
        <v>57.24</v>
      </c>
      <c r="M57" s="358">
        <v>58.84</v>
      </c>
      <c r="N57" s="84"/>
      <c r="O57" s="359" t="s">
        <v>2068</v>
      </c>
      <c r="P57" s="360" t="s">
        <v>2540</v>
      </c>
      <c r="Q57" s="362" t="s">
        <v>2541</v>
      </c>
      <c r="R57" s="361">
        <v>6649</v>
      </c>
      <c r="S57" s="361">
        <v>1302.69</v>
      </c>
      <c r="T57" s="84"/>
      <c r="U57" s="359" t="s">
        <v>1003</v>
      </c>
      <c r="V57" s="362">
        <v>326</v>
      </c>
      <c r="W57" s="360" t="s">
        <v>1006</v>
      </c>
      <c r="X57" s="361">
        <v>1.01</v>
      </c>
    </row>
    <row r="58" spans="4:24" hidden="1">
      <c r="D58" s="84" t="s">
        <v>1883</v>
      </c>
      <c r="E58" s="355" t="s">
        <v>518</v>
      </c>
      <c r="F58" s="356">
        <v>3.63</v>
      </c>
      <c r="G58" s="84"/>
      <c r="H58" s="357" t="s">
        <v>320</v>
      </c>
      <c r="I58" s="358">
        <v>52.4</v>
      </c>
      <c r="J58" s="358">
        <v>53.71</v>
      </c>
      <c r="K58" s="358">
        <v>55.47</v>
      </c>
      <c r="L58" s="358">
        <v>57.24</v>
      </c>
      <c r="M58" s="358">
        <v>58.84</v>
      </c>
      <c r="N58" s="84"/>
      <c r="O58" s="359"/>
      <c r="P58" s="360" t="s">
        <v>2542</v>
      </c>
      <c r="Q58" s="362"/>
      <c r="R58" s="361"/>
      <c r="S58" s="361"/>
      <c r="T58" s="84"/>
      <c r="U58" s="359" t="s">
        <v>1003</v>
      </c>
      <c r="V58" s="362">
        <v>330</v>
      </c>
      <c r="W58" s="360" t="s">
        <v>1714</v>
      </c>
      <c r="X58" s="361">
        <v>1.58</v>
      </c>
    </row>
    <row r="59" spans="4:24" hidden="1">
      <c r="D59" s="84" t="s">
        <v>1884</v>
      </c>
      <c r="E59" s="355" t="s">
        <v>519</v>
      </c>
      <c r="F59" s="356">
        <v>4.53</v>
      </c>
      <c r="G59" s="84"/>
      <c r="H59" s="357" t="s">
        <v>321</v>
      </c>
      <c r="I59" s="358">
        <v>52.4</v>
      </c>
      <c r="J59" s="358">
        <v>53.71</v>
      </c>
      <c r="K59" s="358">
        <v>55.47</v>
      </c>
      <c r="L59" s="358">
        <v>57.24</v>
      </c>
      <c r="M59" s="358">
        <v>58.84</v>
      </c>
      <c r="N59" s="84"/>
      <c r="O59" s="359" t="s">
        <v>2068</v>
      </c>
      <c r="P59" s="360" t="s">
        <v>2543</v>
      </c>
      <c r="Q59" s="362" t="s">
        <v>2544</v>
      </c>
      <c r="R59" s="361">
        <v>7391.5</v>
      </c>
      <c r="S59" s="361">
        <v>1302.69</v>
      </c>
      <c r="T59" s="84"/>
      <c r="U59" s="359" t="s">
        <v>1003</v>
      </c>
      <c r="V59" s="362">
        <v>332</v>
      </c>
      <c r="W59" s="360" t="s">
        <v>1715</v>
      </c>
      <c r="X59" s="361">
        <v>0.5</v>
      </c>
    </row>
    <row r="60" spans="4:24" hidden="1">
      <c r="D60" s="84" t="s">
        <v>1885</v>
      </c>
      <c r="E60" s="355" t="s">
        <v>520</v>
      </c>
      <c r="F60" s="356">
        <v>4.53</v>
      </c>
      <c r="G60" s="84"/>
      <c r="H60" s="357" t="s">
        <v>322</v>
      </c>
      <c r="I60" s="358">
        <v>67.2</v>
      </c>
      <c r="J60" s="358">
        <v>68.53</v>
      </c>
      <c r="K60" s="358">
        <v>70.19</v>
      </c>
      <c r="L60" s="358">
        <v>71.87</v>
      </c>
      <c r="M60" s="358">
        <v>73.5</v>
      </c>
      <c r="N60" s="84"/>
      <c r="O60" s="359"/>
      <c r="P60" s="360" t="s">
        <v>2545</v>
      </c>
      <c r="Q60" s="362"/>
      <c r="R60" s="361"/>
      <c r="S60" s="361"/>
      <c r="T60" s="84"/>
      <c r="U60" s="359" t="s">
        <v>1003</v>
      </c>
      <c r="V60" s="362">
        <v>2110</v>
      </c>
      <c r="W60" s="360" t="s">
        <v>1007</v>
      </c>
      <c r="X60" s="361">
        <v>0.5</v>
      </c>
    </row>
    <row r="61" spans="4:24" hidden="1">
      <c r="D61" s="84" t="s">
        <v>1886</v>
      </c>
      <c r="E61" s="355" t="s">
        <v>521</v>
      </c>
      <c r="F61" s="356">
        <v>5.44</v>
      </c>
      <c r="G61" s="84"/>
      <c r="H61" s="357" t="s">
        <v>323</v>
      </c>
      <c r="I61" s="358">
        <v>116.55</v>
      </c>
      <c r="J61" s="358">
        <v>119.48</v>
      </c>
      <c r="K61" s="358">
        <v>123.42</v>
      </c>
      <c r="L61" s="358">
        <v>127.38</v>
      </c>
      <c r="M61" s="358">
        <v>130.96</v>
      </c>
      <c r="N61" s="84"/>
      <c r="O61" s="359" t="s">
        <v>2068</v>
      </c>
      <c r="P61" s="360" t="s">
        <v>2546</v>
      </c>
      <c r="Q61" s="362" t="s">
        <v>2547</v>
      </c>
      <c r="R61" s="361">
        <v>5884</v>
      </c>
      <c r="S61" s="361">
        <v>1302.69</v>
      </c>
      <c r="T61" s="84"/>
      <c r="U61" s="359" t="s">
        <v>1003</v>
      </c>
      <c r="V61" s="362">
        <v>2150</v>
      </c>
      <c r="W61" s="360" t="s">
        <v>1008</v>
      </c>
      <c r="X61" s="361">
        <v>1.1299999999999999</v>
      </c>
    </row>
    <row r="62" spans="4:24" hidden="1">
      <c r="D62" s="84" t="s">
        <v>1887</v>
      </c>
      <c r="E62" s="355" t="s">
        <v>522</v>
      </c>
      <c r="F62" s="356">
        <v>5.44</v>
      </c>
      <c r="G62" s="84"/>
      <c r="H62" s="357" t="s">
        <v>324</v>
      </c>
      <c r="I62" s="358">
        <v>116.55</v>
      </c>
      <c r="J62" s="358">
        <v>119.48</v>
      </c>
      <c r="K62" s="358">
        <v>123.42</v>
      </c>
      <c r="L62" s="358">
        <v>127.38</v>
      </c>
      <c r="M62" s="358">
        <v>130.96</v>
      </c>
      <c r="N62" s="84"/>
      <c r="O62" s="359"/>
      <c r="P62" s="360" t="s">
        <v>2548</v>
      </c>
      <c r="Q62" s="362"/>
      <c r="R62" s="361"/>
      <c r="S62" s="361"/>
      <c r="T62" s="84"/>
      <c r="U62" s="359" t="s">
        <v>1003</v>
      </c>
      <c r="V62" s="362">
        <v>2190</v>
      </c>
      <c r="W62" s="360" t="s">
        <v>1009</v>
      </c>
      <c r="X62" s="361">
        <v>4.75</v>
      </c>
    </row>
    <row r="63" spans="4:24" hidden="1">
      <c r="D63" s="84" t="s">
        <v>1888</v>
      </c>
      <c r="E63" s="355" t="s">
        <v>523</v>
      </c>
      <c r="F63" s="356">
        <v>6.35</v>
      </c>
      <c r="G63" s="84"/>
      <c r="H63" s="357" t="s">
        <v>325</v>
      </c>
      <c r="I63" s="358">
        <v>116.55</v>
      </c>
      <c r="J63" s="358">
        <v>119.48</v>
      </c>
      <c r="K63" s="358">
        <v>123.42</v>
      </c>
      <c r="L63" s="358">
        <v>127.38</v>
      </c>
      <c r="M63" s="358">
        <v>130.96</v>
      </c>
      <c r="N63" s="84"/>
      <c r="O63" s="359" t="s">
        <v>2068</v>
      </c>
      <c r="P63" s="360" t="s">
        <v>2549</v>
      </c>
      <c r="Q63" s="362" t="s">
        <v>2550</v>
      </c>
      <c r="R63" s="361">
        <v>4395.4299999999994</v>
      </c>
      <c r="S63" s="361">
        <v>1302.69</v>
      </c>
      <c r="T63" s="84"/>
      <c r="U63" s="359" t="s">
        <v>1003</v>
      </c>
      <c r="V63" s="362" t="s">
        <v>1010</v>
      </c>
      <c r="W63" s="360" t="s">
        <v>1011</v>
      </c>
      <c r="X63" s="361">
        <v>0.65</v>
      </c>
    </row>
    <row r="64" spans="4:24" hidden="1">
      <c r="D64" s="84" t="s">
        <v>1889</v>
      </c>
      <c r="E64" s="355" t="s">
        <v>524</v>
      </c>
      <c r="F64" s="356">
        <v>6.35</v>
      </c>
      <c r="G64" s="84"/>
      <c r="H64" s="357" t="s">
        <v>326</v>
      </c>
      <c r="I64" s="358">
        <v>116.55</v>
      </c>
      <c r="J64" s="358">
        <v>119.48</v>
      </c>
      <c r="K64" s="358">
        <v>123.42</v>
      </c>
      <c r="L64" s="358">
        <v>127.38</v>
      </c>
      <c r="M64" s="358">
        <v>130.96</v>
      </c>
      <c r="N64" s="84"/>
      <c r="O64" s="359"/>
      <c r="P64" s="360" t="s">
        <v>2551</v>
      </c>
      <c r="Q64" s="362"/>
      <c r="R64" s="361"/>
      <c r="S64" s="361"/>
      <c r="T64" s="84"/>
      <c r="U64" s="359" t="s">
        <v>1003</v>
      </c>
      <c r="V64" s="362" t="s">
        <v>1012</v>
      </c>
      <c r="W64" s="360" t="s">
        <v>1013</v>
      </c>
      <c r="X64" s="361">
        <v>10.33</v>
      </c>
    </row>
    <row r="65" spans="4:24" hidden="1">
      <c r="D65" s="84" t="s">
        <v>1890</v>
      </c>
      <c r="E65" s="355" t="s">
        <v>525</v>
      </c>
      <c r="F65" s="356">
        <v>3.63</v>
      </c>
      <c r="G65" s="84"/>
      <c r="H65" s="357" t="s">
        <v>327</v>
      </c>
      <c r="I65" s="358">
        <v>54.27</v>
      </c>
      <c r="J65" s="358">
        <v>55.3</v>
      </c>
      <c r="K65" s="358">
        <v>56.58</v>
      </c>
      <c r="L65" s="358">
        <v>57.88</v>
      </c>
      <c r="M65" s="358">
        <v>59.14</v>
      </c>
      <c r="N65" s="84"/>
      <c r="O65" s="359" t="s">
        <v>2068</v>
      </c>
      <c r="P65" s="360" t="s">
        <v>2552</v>
      </c>
      <c r="Q65" s="362" t="s">
        <v>2553</v>
      </c>
      <c r="R65" s="361">
        <v>4983.79</v>
      </c>
      <c r="S65" s="361">
        <v>1302.69</v>
      </c>
      <c r="T65" s="84"/>
      <c r="U65" s="359" t="s">
        <v>1003</v>
      </c>
      <c r="V65" s="362" t="s">
        <v>1014</v>
      </c>
      <c r="W65" s="360" t="s">
        <v>1015</v>
      </c>
      <c r="X65" s="361">
        <v>0.88</v>
      </c>
    </row>
    <row r="66" spans="4:24" hidden="1">
      <c r="D66" s="84" t="s">
        <v>1891</v>
      </c>
      <c r="E66" s="355" t="s">
        <v>526</v>
      </c>
      <c r="F66" s="356">
        <v>3.63</v>
      </c>
      <c r="G66" s="84"/>
      <c r="H66" s="357" t="s">
        <v>328</v>
      </c>
      <c r="I66" s="358">
        <v>70.48</v>
      </c>
      <c r="J66" s="358">
        <v>72.25</v>
      </c>
      <c r="K66" s="358">
        <v>74.62</v>
      </c>
      <c r="L66" s="358">
        <v>77.010000000000005</v>
      </c>
      <c r="M66" s="358">
        <v>79.17</v>
      </c>
      <c r="N66" s="84"/>
      <c r="O66" s="359" t="s">
        <v>2068</v>
      </c>
      <c r="P66" s="360" t="s">
        <v>2554</v>
      </c>
      <c r="Q66" s="362" t="s">
        <v>2555</v>
      </c>
      <c r="R66" s="361">
        <v>7549</v>
      </c>
      <c r="S66" s="361">
        <v>1302.69</v>
      </c>
      <c r="T66" s="84"/>
      <c r="U66" s="359" t="s">
        <v>1003</v>
      </c>
      <c r="V66" s="362" t="s">
        <v>1016</v>
      </c>
      <c r="W66" s="360" t="s">
        <v>1017</v>
      </c>
      <c r="X66" s="361">
        <v>1.37</v>
      </c>
    </row>
    <row r="67" spans="4:24" hidden="1">
      <c r="D67" s="84" t="s">
        <v>1892</v>
      </c>
      <c r="E67" s="355" t="s">
        <v>527</v>
      </c>
      <c r="F67" s="356">
        <v>3.63</v>
      </c>
      <c r="G67" s="84"/>
      <c r="H67" s="357" t="s">
        <v>329</v>
      </c>
      <c r="I67" s="358">
        <v>81.58</v>
      </c>
      <c r="J67" s="358">
        <v>83.63</v>
      </c>
      <c r="K67" s="358">
        <v>86.38</v>
      </c>
      <c r="L67" s="358">
        <v>89.15</v>
      </c>
      <c r="M67" s="358">
        <v>91.65</v>
      </c>
      <c r="N67" s="84"/>
      <c r="O67" s="359"/>
      <c r="P67" s="360" t="s">
        <v>2556</v>
      </c>
      <c r="Q67" s="362"/>
      <c r="R67" s="361"/>
      <c r="S67" s="361"/>
      <c r="T67" s="84"/>
      <c r="U67" s="359" t="s">
        <v>1003</v>
      </c>
      <c r="V67" s="362" t="s">
        <v>1018</v>
      </c>
      <c r="W67" s="360" t="s">
        <v>1019</v>
      </c>
      <c r="X67" s="361">
        <v>0.45</v>
      </c>
    </row>
    <row r="68" spans="4:24" hidden="1">
      <c r="D68" s="84" t="s">
        <v>1893</v>
      </c>
      <c r="E68" s="355" t="s">
        <v>528</v>
      </c>
      <c r="F68" s="356">
        <v>3.63</v>
      </c>
      <c r="G68" s="84"/>
      <c r="H68" s="357" t="s">
        <v>330</v>
      </c>
      <c r="I68" s="358">
        <v>104.89</v>
      </c>
      <c r="J68" s="358">
        <v>107.53</v>
      </c>
      <c r="K68" s="358">
        <v>111.07</v>
      </c>
      <c r="L68" s="358">
        <v>114.63</v>
      </c>
      <c r="M68" s="358">
        <v>117.85</v>
      </c>
      <c r="N68" s="84"/>
      <c r="O68" s="359" t="s">
        <v>2068</v>
      </c>
      <c r="P68" s="360" t="s">
        <v>2557</v>
      </c>
      <c r="Q68" s="362" t="s">
        <v>2558</v>
      </c>
      <c r="R68" s="361">
        <v>8291.5</v>
      </c>
      <c r="S68" s="361">
        <v>1302.69</v>
      </c>
      <c r="T68" s="84"/>
      <c r="U68" s="359" t="s">
        <v>1003</v>
      </c>
      <c r="V68" s="362" t="s">
        <v>1020</v>
      </c>
      <c r="W68" s="360" t="s">
        <v>1021</v>
      </c>
      <c r="X68" s="356">
        <v>0.3</v>
      </c>
    </row>
    <row r="69" spans="4:24" hidden="1">
      <c r="D69" s="84" t="s">
        <v>1894</v>
      </c>
      <c r="E69" s="355" t="s">
        <v>529</v>
      </c>
      <c r="F69" s="356">
        <v>4.53</v>
      </c>
      <c r="G69" s="84"/>
      <c r="H69" s="357" t="s">
        <v>331</v>
      </c>
      <c r="I69" s="358">
        <v>70.48</v>
      </c>
      <c r="J69" s="358">
        <v>72.25</v>
      </c>
      <c r="K69" s="358">
        <v>74.62</v>
      </c>
      <c r="L69" s="358">
        <v>77.010000000000005</v>
      </c>
      <c r="M69" s="358">
        <v>79.17</v>
      </c>
      <c r="N69" s="84"/>
      <c r="O69" s="359"/>
      <c r="P69" s="360" t="s">
        <v>2559</v>
      </c>
      <c r="Q69" s="362"/>
      <c r="R69" s="361"/>
      <c r="S69" s="361"/>
      <c r="T69" s="84"/>
      <c r="U69" s="359" t="s">
        <v>1022</v>
      </c>
      <c r="V69" s="362" t="s">
        <v>1023</v>
      </c>
      <c r="W69" s="360" t="s">
        <v>1024</v>
      </c>
      <c r="X69" s="361">
        <v>9.66</v>
      </c>
    </row>
    <row r="70" spans="4:24" hidden="1">
      <c r="D70" s="84" t="s">
        <v>1895</v>
      </c>
      <c r="E70" s="355" t="s">
        <v>530</v>
      </c>
      <c r="F70" s="356">
        <v>4.53</v>
      </c>
      <c r="G70" s="84"/>
      <c r="H70" s="357" t="s">
        <v>332</v>
      </c>
      <c r="I70" s="358">
        <v>81.58</v>
      </c>
      <c r="J70" s="358">
        <v>83.63</v>
      </c>
      <c r="K70" s="358">
        <v>86.38</v>
      </c>
      <c r="L70" s="358">
        <v>89.15</v>
      </c>
      <c r="M70" s="358">
        <v>91.65</v>
      </c>
      <c r="N70" s="84"/>
      <c r="O70" s="359" t="s">
        <v>2068</v>
      </c>
      <c r="P70" s="360" t="s">
        <v>2560</v>
      </c>
      <c r="Q70" s="362" t="s">
        <v>2561</v>
      </c>
      <c r="R70" s="361">
        <v>6784</v>
      </c>
      <c r="S70" s="361">
        <v>1302.69</v>
      </c>
      <c r="T70" s="84"/>
      <c r="U70" s="359" t="s">
        <v>1022</v>
      </c>
      <c r="V70" s="362" t="s">
        <v>1025</v>
      </c>
      <c r="W70" s="360" t="s">
        <v>1716</v>
      </c>
      <c r="X70" s="361">
        <v>17.5</v>
      </c>
    </row>
    <row r="71" spans="4:24" hidden="1">
      <c r="D71" s="84" t="s">
        <v>1896</v>
      </c>
      <c r="E71" s="355" t="s">
        <v>514</v>
      </c>
      <c r="F71" s="356">
        <v>5.44</v>
      </c>
      <c r="G71" s="84"/>
      <c r="H71" s="357" t="s">
        <v>333</v>
      </c>
      <c r="I71" s="358">
        <v>104.89</v>
      </c>
      <c r="J71" s="358">
        <v>107.53</v>
      </c>
      <c r="K71" s="358">
        <v>111.07</v>
      </c>
      <c r="L71" s="358">
        <v>114.63</v>
      </c>
      <c r="M71" s="358">
        <v>117.85</v>
      </c>
      <c r="N71" s="84"/>
      <c r="O71" s="359"/>
      <c r="P71" s="360" t="s">
        <v>2562</v>
      </c>
      <c r="Q71" s="362"/>
      <c r="R71" s="361"/>
      <c r="S71" s="361"/>
      <c r="T71" s="84"/>
      <c r="U71" s="359" t="s">
        <v>1026</v>
      </c>
      <c r="V71" s="362" t="s">
        <v>1027</v>
      </c>
      <c r="W71" s="360" t="s">
        <v>1028</v>
      </c>
      <c r="X71" s="361">
        <v>0.56000000000000005</v>
      </c>
    </row>
    <row r="72" spans="4:24" hidden="1">
      <c r="D72" s="84" t="s">
        <v>1897</v>
      </c>
      <c r="E72" s="355" t="s">
        <v>513</v>
      </c>
      <c r="F72" s="356">
        <v>5.44</v>
      </c>
      <c r="G72" s="84"/>
      <c r="H72" s="357" t="s">
        <v>334</v>
      </c>
      <c r="I72" s="358">
        <v>70.48</v>
      </c>
      <c r="J72" s="358">
        <v>72.25</v>
      </c>
      <c r="K72" s="358">
        <v>74.62</v>
      </c>
      <c r="L72" s="358">
        <v>77.010000000000005</v>
      </c>
      <c r="M72" s="358">
        <v>79.17</v>
      </c>
      <c r="N72" s="84"/>
      <c r="O72" s="359" t="s">
        <v>2068</v>
      </c>
      <c r="P72" s="360" t="s">
        <v>2563</v>
      </c>
      <c r="Q72" s="362" t="s">
        <v>2564</v>
      </c>
      <c r="R72" s="361">
        <v>4802.12</v>
      </c>
      <c r="S72" s="361">
        <v>1302.69</v>
      </c>
      <c r="T72" s="84"/>
      <c r="U72" s="359" t="s">
        <v>1026</v>
      </c>
      <c r="V72" s="362" t="s">
        <v>1029</v>
      </c>
      <c r="W72" s="360" t="s">
        <v>1030</v>
      </c>
      <c r="X72" s="361">
        <v>1.8</v>
      </c>
    </row>
    <row r="73" spans="4:24" hidden="1">
      <c r="D73" s="84" t="s">
        <v>1898</v>
      </c>
      <c r="E73" s="355" t="s">
        <v>512</v>
      </c>
      <c r="F73" s="356">
        <v>6.35</v>
      </c>
      <c r="G73" s="84"/>
      <c r="H73" s="357" t="s">
        <v>335</v>
      </c>
      <c r="I73" s="358">
        <v>81.58</v>
      </c>
      <c r="J73" s="358">
        <v>83.63</v>
      </c>
      <c r="K73" s="358">
        <v>86.38</v>
      </c>
      <c r="L73" s="358">
        <v>89.15</v>
      </c>
      <c r="M73" s="358">
        <v>91.65</v>
      </c>
      <c r="N73" s="84"/>
      <c r="O73" s="359"/>
      <c r="P73" s="360" t="s">
        <v>2565</v>
      </c>
      <c r="Q73" s="362"/>
      <c r="R73" s="361"/>
      <c r="S73" s="361"/>
      <c r="T73" s="84"/>
      <c r="U73" s="359" t="s">
        <v>1026</v>
      </c>
      <c r="V73" s="362" t="s">
        <v>1031</v>
      </c>
      <c r="W73" s="360" t="s">
        <v>1032</v>
      </c>
      <c r="X73" s="361">
        <v>7.94</v>
      </c>
    </row>
    <row r="74" spans="4:24" hidden="1">
      <c r="D74" s="84" t="s">
        <v>1899</v>
      </c>
      <c r="E74" s="355" t="s">
        <v>511</v>
      </c>
      <c r="F74" s="356">
        <v>6.35</v>
      </c>
      <c r="G74" s="84"/>
      <c r="H74" s="357" t="s">
        <v>336</v>
      </c>
      <c r="I74" s="358">
        <v>104.89</v>
      </c>
      <c r="J74" s="358">
        <v>107.53</v>
      </c>
      <c r="K74" s="358">
        <v>111.07</v>
      </c>
      <c r="L74" s="358">
        <v>114.63</v>
      </c>
      <c r="M74" s="358">
        <v>117.85</v>
      </c>
      <c r="N74" s="84"/>
      <c r="O74" s="359" t="s">
        <v>2068</v>
      </c>
      <c r="P74" s="360" t="s">
        <v>2566</v>
      </c>
      <c r="Q74" s="362" t="s">
        <v>2567</v>
      </c>
      <c r="R74" s="361">
        <v>5704</v>
      </c>
      <c r="S74" s="361">
        <v>1302.69</v>
      </c>
      <c r="T74" s="84"/>
      <c r="U74" s="359" t="s">
        <v>1026</v>
      </c>
      <c r="V74" s="362" t="s">
        <v>1033</v>
      </c>
      <c r="W74" s="360" t="s">
        <v>1034</v>
      </c>
      <c r="X74" s="361">
        <v>10.94</v>
      </c>
    </row>
    <row r="75" spans="4:24" hidden="1">
      <c r="D75" s="84" t="s">
        <v>1900</v>
      </c>
      <c r="E75" s="355" t="s">
        <v>405</v>
      </c>
      <c r="F75" s="356">
        <v>340.01</v>
      </c>
      <c r="G75" s="84"/>
      <c r="H75" s="357" t="s">
        <v>337</v>
      </c>
      <c r="I75" s="358">
        <v>70.48</v>
      </c>
      <c r="J75" s="358">
        <v>72.25</v>
      </c>
      <c r="K75" s="358">
        <v>74.62</v>
      </c>
      <c r="L75" s="358">
        <v>77.010000000000005</v>
      </c>
      <c r="M75" s="358">
        <v>79.17</v>
      </c>
      <c r="N75" s="84"/>
      <c r="O75" s="359"/>
      <c r="P75" s="360" t="s">
        <v>2568</v>
      </c>
      <c r="Q75" s="362"/>
      <c r="R75" s="361"/>
      <c r="S75" s="361"/>
      <c r="T75" s="84"/>
      <c r="U75" s="359" t="s">
        <v>1035</v>
      </c>
      <c r="V75" s="362">
        <v>10279</v>
      </c>
      <c r="W75" s="360" t="s">
        <v>1036</v>
      </c>
      <c r="X75" s="361">
        <v>0.21</v>
      </c>
    </row>
    <row r="76" spans="4:24" hidden="1">
      <c r="D76" s="84" t="s">
        <v>1901</v>
      </c>
      <c r="E76" s="355" t="s">
        <v>509</v>
      </c>
      <c r="F76" s="356">
        <v>4.53</v>
      </c>
      <c r="G76" s="84"/>
      <c r="H76" s="357" t="s">
        <v>338</v>
      </c>
      <c r="I76" s="358">
        <v>81.58</v>
      </c>
      <c r="J76" s="358">
        <v>83.63</v>
      </c>
      <c r="K76" s="358">
        <v>86.38</v>
      </c>
      <c r="L76" s="358">
        <v>89.15</v>
      </c>
      <c r="M76" s="358">
        <v>91.65</v>
      </c>
      <c r="N76" s="84"/>
      <c r="O76" s="359" t="s">
        <v>2068</v>
      </c>
      <c r="P76" s="360" t="s">
        <v>2569</v>
      </c>
      <c r="Q76" s="362" t="s">
        <v>2570</v>
      </c>
      <c r="R76" s="361">
        <v>5027.12</v>
      </c>
      <c r="S76" s="361">
        <v>1302.69</v>
      </c>
      <c r="T76" s="84"/>
      <c r="U76" s="359" t="s">
        <v>1035</v>
      </c>
      <c r="V76" s="362">
        <v>27350</v>
      </c>
      <c r="W76" s="360" t="s">
        <v>1037</v>
      </c>
      <c r="X76" s="361">
        <v>0.2</v>
      </c>
    </row>
    <row r="77" spans="4:24" hidden="1">
      <c r="D77" s="84" t="s">
        <v>1902</v>
      </c>
      <c r="E77" s="355" t="s">
        <v>510</v>
      </c>
      <c r="F77" s="356">
        <v>4.53</v>
      </c>
      <c r="G77" s="84"/>
      <c r="H77" s="357" t="s">
        <v>339</v>
      </c>
      <c r="I77" s="358">
        <v>104.89</v>
      </c>
      <c r="J77" s="358">
        <v>107.53</v>
      </c>
      <c r="K77" s="358">
        <v>111.07</v>
      </c>
      <c r="L77" s="358">
        <v>114.63</v>
      </c>
      <c r="M77" s="358">
        <v>117.85</v>
      </c>
      <c r="N77" s="84"/>
      <c r="O77" s="359"/>
      <c r="P77" s="360" t="s">
        <v>2571</v>
      </c>
      <c r="Q77" s="362"/>
      <c r="R77" s="361"/>
      <c r="S77" s="361"/>
      <c r="T77" s="84"/>
      <c r="U77" s="359" t="s">
        <v>1038</v>
      </c>
      <c r="V77" s="362">
        <v>1020</v>
      </c>
      <c r="W77" s="360" t="s">
        <v>1039</v>
      </c>
      <c r="X77" s="361">
        <v>210</v>
      </c>
    </row>
    <row r="78" spans="4:24" hidden="1">
      <c r="D78" s="84" t="s">
        <v>1903</v>
      </c>
      <c r="E78" s="355" t="s">
        <v>2430</v>
      </c>
      <c r="F78" s="356">
        <v>5.44</v>
      </c>
      <c r="G78" s="84"/>
      <c r="H78" s="357" t="s">
        <v>340</v>
      </c>
      <c r="I78" s="358">
        <v>34.89</v>
      </c>
      <c r="J78" s="358">
        <v>35.590000000000003</v>
      </c>
      <c r="K78" s="358">
        <v>36.46</v>
      </c>
      <c r="L78" s="358">
        <v>37.340000000000003</v>
      </c>
      <c r="M78" s="358">
        <v>38.19</v>
      </c>
      <c r="N78" s="84"/>
      <c r="O78" s="359" t="s">
        <v>2068</v>
      </c>
      <c r="P78" s="360" t="s">
        <v>2572</v>
      </c>
      <c r="Q78" s="362" t="s">
        <v>2573</v>
      </c>
      <c r="R78" s="361">
        <v>5929</v>
      </c>
      <c r="S78" s="361">
        <v>1302.69</v>
      </c>
      <c r="T78" s="84"/>
      <c r="U78" s="359" t="s">
        <v>1038</v>
      </c>
      <c r="V78" s="362">
        <v>2346</v>
      </c>
      <c r="W78" s="360" t="s">
        <v>1040</v>
      </c>
      <c r="X78" s="361">
        <v>1440</v>
      </c>
    </row>
    <row r="79" spans="4:24" hidden="1">
      <c r="D79" s="84" t="s">
        <v>1904</v>
      </c>
      <c r="E79" s="355" t="s">
        <v>2431</v>
      </c>
      <c r="F79" s="356">
        <v>5.44</v>
      </c>
      <c r="G79" s="84"/>
      <c r="H79" s="357" t="s">
        <v>341</v>
      </c>
      <c r="I79" s="358">
        <v>49.9</v>
      </c>
      <c r="J79" s="358">
        <v>50.89</v>
      </c>
      <c r="K79" s="358">
        <v>52.14</v>
      </c>
      <c r="L79" s="358">
        <v>53.4</v>
      </c>
      <c r="M79" s="358">
        <v>54.61</v>
      </c>
      <c r="N79" s="84"/>
      <c r="O79" s="359"/>
      <c r="P79" s="360" t="s">
        <v>2574</v>
      </c>
      <c r="Q79" s="362"/>
      <c r="R79" s="361"/>
      <c r="S79" s="361"/>
      <c r="T79" s="84"/>
      <c r="U79" s="359" t="s">
        <v>1041</v>
      </c>
      <c r="V79" s="362" t="s">
        <v>1042</v>
      </c>
      <c r="W79" s="360" t="s">
        <v>1043</v>
      </c>
      <c r="X79" s="361">
        <v>1.18</v>
      </c>
    </row>
    <row r="80" spans="4:24" hidden="1">
      <c r="D80" s="84" t="s">
        <v>1905</v>
      </c>
      <c r="E80" s="355" t="s">
        <v>2432</v>
      </c>
      <c r="F80" s="356">
        <v>7.25</v>
      </c>
      <c r="G80" s="84"/>
      <c r="H80" s="357" t="s">
        <v>342</v>
      </c>
      <c r="I80" s="358">
        <v>51.36</v>
      </c>
      <c r="J80" s="358">
        <v>52.34</v>
      </c>
      <c r="K80" s="358">
        <v>53.55</v>
      </c>
      <c r="L80" s="358">
        <v>54.77</v>
      </c>
      <c r="M80" s="358">
        <v>55.97</v>
      </c>
      <c r="N80" s="84"/>
      <c r="O80" s="359" t="s">
        <v>2068</v>
      </c>
      <c r="P80" s="360" t="s">
        <v>2575</v>
      </c>
      <c r="Q80" s="362" t="s">
        <v>2576</v>
      </c>
      <c r="R80" s="361">
        <v>5927.12</v>
      </c>
      <c r="S80" s="361">
        <v>1302.69</v>
      </c>
      <c r="T80" s="84"/>
      <c r="U80" s="359" t="s">
        <v>1041</v>
      </c>
      <c r="V80" s="362" t="s">
        <v>1044</v>
      </c>
      <c r="W80" s="360" t="s">
        <v>1045</v>
      </c>
      <c r="X80" s="361">
        <v>2.0299999999999998</v>
      </c>
    </row>
    <row r="81" spans="4:24" hidden="1">
      <c r="D81" s="84" t="s">
        <v>1906</v>
      </c>
      <c r="E81" s="355" t="s">
        <v>2433</v>
      </c>
      <c r="F81" s="356">
        <v>7.25</v>
      </c>
      <c r="G81" s="84"/>
      <c r="H81" s="357" t="s">
        <v>343</v>
      </c>
      <c r="I81" s="358">
        <v>65.05</v>
      </c>
      <c r="J81" s="358">
        <v>66.349999999999994</v>
      </c>
      <c r="K81" s="358">
        <v>67.97</v>
      </c>
      <c r="L81" s="358">
        <v>69.62</v>
      </c>
      <c r="M81" s="358">
        <v>71.209999999999994</v>
      </c>
      <c r="N81" s="84"/>
      <c r="O81" s="359"/>
      <c r="P81" s="360" t="s">
        <v>2577</v>
      </c>
      <c r="Q81" s="362"/>
      <c r="R81" s="361"/>
      <c r="S81" s="361"/>
      <c r="T81" s="84"/>
      <c r="U81" s="359" t="s">
        <v>1041</v>
      </c>
      <c r="V81" s="362" t="s">
        <v>1046</v>
      </c>
      <c r="W81" s="360" t="s">
        <v>1047</v>
      </c>
      <c r="X81" s="361">
        <v>4.92</v>
      </c>
    </row>
    <row r="82" spans="4:24" hidden="1">
      <c r="D82" s="84" t="s">
        <v>1907</v>
      </c>
      <c r="E82" s="355" t="s">
        <v>2434</v>
      </c>
      <c r="F82" s="356">
        <v>11.79</v>
      </c>
      <c r="G82" s="84"/>
      <c r="H82" s="357" t="s">
        <v>344</v>
      </c>
      <c r="I82" s="358">
        <v>57.36</v>
      </c>
      <c r="J82" s="358">
        <v>58.5</v>
      </c>
      <c r="K82" s="358">
        <v>59.92</v>
      </c>
      <c r="L82" s="358">
        <v>61.36</v>
      </c>
      <c r="M82" s="358">
        <v>62.75</v>
      </c>
      <c r="N82" s="84"/>
      <c r="O82" s="359" t="s">
        <v>2068</v>
      </c>
      <c r="P82" s="360" t="s">
        <v>2578</v>
      </c>
      <c r="Q82" s="362" t="s">
        <v>2579</v>
      </c>
      <c r="R82" s="361">
        <v>6829</v>
      </c>
      <c r="S82" s="361">
        <v>1302.69</v>
      </c>
      <c r="T82" s="84"/>
      <c r="U82" s="359" t="s">
        <v>1048</v>
      </c>
      <c r="V82" s="362" t="s">
        <v>1049</v>
      </c>
      <c r="W82" s="360" t="s">
        <v>1050</v>
      </c>
      <c r="X82" s="361">
        <v>67.55</v>
      </c>
    </row>
    <row r="83" spans="4:24" hidden="1">
      <c r="D83" s="84" t="s">
        <v>1908</v>
      </c>
      <c r="E83" s="355" t="s">
        <v>2435</v>
      </c>
      <c r="F83" s="356">
        <v>11.79</v>
      </c>
      <c r="G83" s="84"/>
      <c r="H83" s="357" t="s">
        <v>345</v>
      </c>
      <c r="I83" s="358">
        <v>77.22</v>
      </c>
      <c r="J83" s="358">
        <v>78.760000000000005</v>
      </c>
      <c r="K83" s="358">
        <v>80.680000000000007</v>
      </c>
      <c r="L83" s="358">
        <v>82.62</v>
      </c>
      <c r="M83" s="358">
        <v>84.49</v>
      </c>
      <c r="N83" s="84"/>
      <c r="O83" s="359" t="s">
        <v>2068</v>
      </c>
      <c r="P83" s="360" t="s">
        <v>2071</v>
      </c>
      <c r="Q83" s="362" t="s">
        <v>2072</v>
      </c>
      <c r="R83" s="361">
        <v>9000</v>
      </c>
      <c r="S83" s="361">
        <v>1302.69</v>
      </c>
      <c r="T83" s="84"/>
      <c r="U83" s="359" t="s">
        <v>1051</v>
      </c>
      <c r="V83" s="362" t="s">
        <v>1052</v>
      </c>
      <c r="W83" s="360" t="s">
        <v>1053</v>
      </c>
      <c r="X83" s="361">
        <v>15.7</v>
      </c>
    </row>
    <row r="84" spans="4:24" hidden="1">
      <c r="D84" s="84" t="s">
        <v>1909</v>
      </c>
      <c r="E84" s="355" t="s">
        <v>2436</v>
      </c>
      <c r="F84" s="356">
        <v>12.69</v>
      </c>
      <c r="G84" s="84"/>
      <c r="H84" s="357" t="s">
        <v>346</v>
      </c>
      <c r="I84" s="358">
        <v>102.01</v>
      </c>
      <c r="J84" s="358">
        <v>104.03</v>
      </c>
      <c r="K84" s="358">
        <v>106.56</v>
      </c>
      <c r="L84" s="358">
        <v>109.12</v>
      </c>
      <c r="M84" s="358">
        <v>111.6</v>
      </c>
      <c r="N84" s="84"/>
      <c r="O84" s="359" t="s">
        <v>2068</v>
      </c>
      <c r="P84" s="360" t="s">
        <v>2073</v>
      </c>
      <c r="Q84" s="362" t="s">
        <v>2074</v>
      </c>
      <c r="R84" s="361">
        <v>6741</v>
      </c>
      <c r="S84" s="361">
        <v>1807.85</v>
      </c>
      <c r="T84" s="84"/>
      <c r="U84" s="359" t="s">
        <v>1051</v>
      </c>
      <c r="V84" s="362" t="s">
        <v>1054</v>
      </c>
      <c r="W84" s="360" t="s">
        <v>1055</v>
      </c>
      <c r="X84" s="361">
        <v>4.9400000000000004</v>
      </c>
    </row>
    <row r="85" spans="4:24" hidden="1">
      <c r="D85" s="84" t="s">
        <v>1910</v>
      </c>
      <c r="E85" s="355" t="s">
        <v>2437</v>
      </c>
      <c r="F85" s="356">
        <v>12.69</v>
      </c>
      <c r="G85" s="84"/>
      <c r="H85" s="357" t="s">
        <v>347</v>
      </c>
      <c r="I85" s="358">
        <v>51.38</v>
      </c>
      <c r="J85" s="358">
        <v>52.41</v>
      </c>
      <c r="K85" s="358">
        <v>53.7</v>
      </c>
      <c r="L85" s="358">
        <v>55</v>
      </c>
      <c r="M85" s="358">
        <v>56.27</v>
      </c>
      <c r="N85" s="84"/>
      <c r="O85" s="359" t="s">
        <v>2068</v>
      </c>
      <c r="P85" s="360" t="s">
        <v>2075</v>
      </c>
      <c r="Q85" s="362" t="s">
        <v>2076</v>
      </c>
      <c r="R85" s="361">
        <v>10030.709999999999</v>
      </c>
      <c r="S85" s="361">
        <v>1807.85</v>
      </c>
      <c r="T85" s="84"/>
      <c r="U85" s="359" t="s">
        <v>1051</v>
      </c>
      <c r="V85" s="362" t="s">
        <v>1056</v>
      </c>
      <c r="W85" s="360" t="s">
        <v>1057</v>
      </c>
      <c r="X85" s="361">
        <v>77.41</v>
      </c>
    </row>
    <row r="86" spans="4:24" hidden="1">
      <c r="D86" s="84" t="s">
        <v>1911</v>
      </c>
      <c r="E86" s="355" t="s">
        <v>2438</v>
      </c>
      <c r="F86" s="356">
        <v>18.13</v>
      </c>
      <c r="G86" s="84"/>
      <c r="H86" s="357" t="s">
        <v>348</v>
      </c>
      <c r="I86" s="358">
        <v>79.27</v>
      </c>
      <c r="J86" s="358">
        <v>80.86</v>
      </c>
      <c r="K86" s="358">
        <v>82.85</v>
      </c>
      <c r="L86" s="358">
        <v>84.85</v>
      </c>
      <c r="M86" s="358">
        <v>86.79</v>
      </c>
      <c r="N86" s="84"/>
      <c r="O86" s="359" t="s">
        <v>2068</v>
      </c>
      <c r="P86" s="360" t="s">
        <v>2077</v>
      </c>
      <c r="Q86" s="362" t="s">
        <v>2078</v>
      </c>
      <c r="R86" s="361">
        <v>8541</v>
      </c>
      <c r="S86" s="361">
        <v>1807.85</v>
      </c>
      <c r="T86" s="84"/>
      <c r="U86" s="359" t="s">
        <v>1051</v>
      </c>
      <c r="V86" s="362" t="s">
        <v>1058</v>
      </c>
      <c r="W86" s="360" t="s">
        <v>1059</v>
      </c>
      <c r="X86" s="361">
        <v>57.29</v>
      </c>
    </row>
    <row r="87" spans="4:24" hidden="1">
      <c r="D87" s="84" t="s">
        <v>1912</v>
      </c>
      <c r="E87" s="355" t="s">
        <v>2439</v>
      </c>
      <c r="F87" s="356">
        <v>18.13</v>
      </c>
      <c r="G87" s="84"/>
      <c r="H87" s="357" t="s">
        <v>349</v>
      </c>
      <c r="I87" s="358">
        <v>48.37</v>
      </c>
      <c r="J87" s="358">
        <v>49.33</v>
      </c>
      <c r="K87" s="358">
        <v>50.54</v>
      </c>
      <c r="L87" s="358">
        <v>51.76</v>
      </c>
      <c r="M87" s="358">
        <v>52.95</v>
      </c>
      <c r="N87" s="84"/>
      <c r="O87" s="359" t="s">
        <v>2068</v>
      </c>
      <c r="P87" s="360" t="s">
        <v>2079</v>
      </c>
      <c r="Q87" s="362" t="s">
        <v>2080</v>
      </c>
      <c r="R87" s="361">
        <v>11830.71</v>
      </c>
      <c r="S87" s="361">
        <v>1807.85</v>
      </c>
      <c r="T87" s="84"/>
      <c r="U87" s="359" t="s">
        <v>1051</v>
      </c>
      <c r="V87" s="362" t="s">
        <v>1060</v>
      </c>
      <c r="W87" s="360" t="s">
        <v>1061</v>
      </c>
      <c r="X87" s="361">
        <v>4.8099999999999996</v>
      </c>
    </row>
    <row r="88" spans="4:24" hidden="1">
      <c r="D88" s="84" t="s">
        <v>1913</v>
      </c>
      <c r="E88" s="355" t="s">
        <v>211</v>
      </c>
      <c r="F88" s="356">
        <v>362.68</v>
      </c>
      <c r="G88" s="84"/>
      <c r="H88" s="357" t="s">
        <v>350</v>
      </c>
      <c r="I88" s="358">
        <v>73.48</v>
      </c>
      <c r="J88" s="358">
        <v>74.94</v>
      </c>
      <c r="K88" s="358">
        <v>76.75</v>
      </c>
      <c r="L88" s="358">
        <v>78.59</v>
      </c>
      <c r="M88" s="358">
        <v>80.37</v>
      </c>
      <c r="N88" s="84"/>
      <c r="O88" s="359" t="s">
        <v>2068</v>
      </c>
      <c r="P88" s="360" t="s">
        <v>2081</v>
      </c>
      <c r="Q88" s="362" t="s">
        <v>2082</v>
      </c>
      <c r="R88" s="361">
        <v>9441</v>
      </c>
      <c r="S88" s="361">
        <v>1807.85</v>
      </c>
      <c r="T88" s="84"/>
      <c r="U88" s="359" t="s">
        <v>1062</v>
      </c>
      <c r="V88" s="362" t="s">
        <v>1063</v>
      </c>
      <c r="W88" s="360" t="s">
        <v>1064</v>
      </c>
      <c r="X88" s="361">
        <v>0.15</v>
      </c>
    </row>
    <row r="89" spans="4:24" hidden="1">
      <c r="D89" s="84" t="s">
        <v>1914</v>
      </c>
      <c r="E89" s="355" t="s">
        <v>406</v>
      </c>
      <c r="F89" s="356">
        <v>940.52</v>
      </c>
      <c r="G89" s="84"/>
      <c r="H89" s="357" t="s">
        <v>351</v>
      </c>
      <c r="I89" s="358">
        <v>33.71</v>
      </c>
      <c r="J89" s="358">
        <v>34.42</v>
      </c>
      <c r="K89" s="358">
        <v>35.32</v>
      </c>
      <c r="L89" s="358">
        <v>36.24</v>
      </c>
      <c r="M89" s="358">
        <v>37.119999999999997</v>
      </c>
      <c r="N89" s="84"/>
      <c r="O89" s="359" t="s">
        <v>2068</v>
      </c>
      <c r="P89" s="360" t="s">
        <v>2083</v>
      </c>
      <c r="Q89" s="362" t="s">
        <v>2084</v>
      </c>
      <c r="R89" s="361">
        <v>12730.71</v>
      </c>
      <c r="S89" s="361">
        <v>1807.85</v>
      </c>
      <c r="T89" s="84"/>
      <c r="U89" s="359" t="s">
        <v>1065</v>
      </c>
      <c r="V89" s="362" t="s">
        <v>1066</v>
      </c>
      <c r="W89" s="360" t="s">
        <v>1067</v>
      </c>
      <c r="X89" s="361">
        <v>1.63</v>
      </c>
    </row>
    <row r="90" spans="4:24" hidden="1">
      <c r="D90" s="84" t="s">
        <v>1915</v>
      </c>
      <c r="E90" s="355" t="s">
        <v>407</v>
      </c>
      <c r="F90" s="356">
        <v>940.52</v>
      </c>
      <c r="G90" s="84"/>
      <c r="H90" s="357" t="s">
        <v>352</v>
      </c>
      <c r="I90" s="358">
        <v>38.44</v>
      </c>
      <c r="J90" s="358">
        <v>39.25</v>
      </c>
      <c r="K90" s="358">
        <v>40.29</v>
      </c>
      <c r="L90" s="358">
        <v>41.34</v>
      </c>
      <c r="M90" s="358">
        <v>42.34</v>
      </c>
      <c r="N90" s="84"/>
      <c r="O90" s="359" t="s">
        <v>2068</v>
      </c>
      <c r="P90" s="360" t="s">
        <v>2085</v>
      </c>
      <c r="Q90" s="362" t="s">
        <v>2086</v>
      </c>
      <c r="R90" s="361">
        <v>10341</v>
      </c>
      <c r="S90" s="361">
        <v>1807.85</v>
      </c>
      <c r="T90" s="84"/>
      <c r="U90" s="359" t="s">
        <v>1068</v>
      </c>
      <c r="V90" s="362">
        <v>39200</v>
      </c>
      <c r="W90" s="360" t="s">
        <v>1069</v>
      </c>
      <c r="X90" s="361">
        <v>0.27</v>
      </c>
    </row>
    <row r="91" spans="4:24" hidden="1">
      <c r="D91" s="84" t="s">
        <v>1916</v>
      </c>
      <c r="E91" s="355" t="s">
        <v>531</v>
      </c>
      <c r="F91" s="356">
        <v>3.63</v>
      </c>
      <c r="G91" s="84"/>
      <c r="H91" s="357" t="s">
        <v>353</v>
      </c>
      <c r="I91" s="358">
        <v>53.3</v>
      </c>
      <c r="J91" s="358">
        <v>54.37</v>
      </c>
      <c r="K91" s="358">
        <v>55.7</v>
      </c>
      <c r="L91" s="358">
        <v>57.05</v>
      </c>
      <c r="M91" s="358">
        <v>58.36</v>
      </c>
      <c r="N91" s="84"/>
      <c r="O91" s="359" t="s">
        <v>2068</v>
      </c>
      <c r="P91" s="360" t="s">
        <v>2087</v>
      </c>
      <c r="Q91" s="362" t="s">
        <v>2088</v>
      </c>
      <c r="R91" s="361">
        <v>13630.71</v>
      </c>
      <c r="S91" s="361">
        <v>1807.85</v>
      </c>
      <c r="T91" s="84"/>
      <c r="U91" s="359" t="s">
        <v>1068</v>
      </c>
      <c r="V91" s="362">
        <v>43608</v>
      </c>
      <c r="W91" s="360" t="s">
        <v>1070</v>
      </c>
      <c r="X91" s="361">
        <v>0.27</v>
      </c>
    </row>
    <row r="92" spans="4:24" hidden="1">
      <c r="D92" s="84" t="s">
        <v>1917</v>
      </c>
      <c r="E92" s="355" t="s">
        <v>532</v>
      </c>
      <c r="F92" s="356">
        <v>9.49</v>
      </c>
      <c r="G92" s="84"/>
      <c r="H92" s="357" t="s">
        <v>354</v>
      </c>
      <c r="I92" s="358">
        <v>85.77</v>
      </c>
      <c r="J92" s="358">
        <v>87.46</v>
      </c>
      <c r="K92" s="358">
        <v>89.59</v>
      </c>
      <c r="L92" s="358">
        <v>91.73</v>
      </c>
      <c r="M92" s="358">
        <v>93.8</v>
      </c>
      <c r="N92" s="84"/>
      <c r="O92" s="359" t="s">
        <v>2068</v>
      </c>
      <c r="P92" s="360" t="s">
        <v>2651</v>
      </c>
      <c r="Q92" s="362" t="s">
        <v>2089</v>
      </c>
      <c r="R92" s="361">
        <v>9441</v>
      </c>
      <c r="S92" s="361">
        <v>1807.85</v>
      </c>
      <c r="T92" s="84"/>
      <c r="U92" s="359" t="s">
        <v>1068</v>
      </c>
      <c r="V92" s="362">
        <v>293655</v>
      </c>
      <c r="W92" s="360" t="s">
        <v>1071</v>
      </c>
      <c r="X92" s="361">
        <v>0.27</v>
      </c>
    </row>
    <row r="93" spans="4:24" hidden="1">
      <c r="D93" s="84" t="s">
        <v>1918</v>
      </c>
      <c r="E93" s="355" t="s">
        <v>533</v>
      </c>
      <c r="F93" s="356">
        <v>7.59</v>
      </c>
      <c r="G93" s="84"/>
      <c r="H93" s="357" t="s">
        <v>355</v>
      </c>
      <c r="I93" s="358">
        <v>64.7</v>
      </c>
      <c r="J93" s="358">
        <v>65.98</v>
      </c>
      <c r="K93" s="358">
        <v>67.569999999999993</v>
      </c>
      <c r="L93" s="358">
        <v>69.180000000000007</v>
      </c>
      <c r="M93" s="358">
        <v>70.739999999999995</v>
      </c>
      <c r="N93" s="84"/>
      <c r="O93" s="359" t="s">
        <v>2068</v>
      </c>
      <c r="P93" s="360" t="s">
        <v>2652</v>
      </c>
      <c r="Q93" s="362" t="s">
        <v>2090</v>
      </c>
      <c r="R93" s="361">
        <v>12730.71</v>
      </c>
      <c r="S93" s="361">
        <v>1807.85</v>
      </c>
      <c r="T93" s="84"/>
      <c r="U93" s="359" t="s">
        <v>1072</v>
      </c>
      <c r="V93" s="362" t="s">
        <v>1073</v>
      </c>
      <c r="W93" s="360" t="s">
        <v>1074</v>
      </c>
      <c r="X93" s="361">
        <v>0.78</v>
      </c>
    </row>
    <row r="94" spans="4:24" hidden="1">
      <c r="D94" s="84" t="s">
        <v>1919</v>
      </c>
      <c r="E94" s="355" t="s">
        <v>534</v>
      </c>
      <c r="F94" s="356">
        <v>5.44</v>
      </c>
      <c r="G94" s="84"/>
      <c r="H94" s="357" t="s">
        <v>356</v>
      </c>
      <c r="I94" s="358">
        <v>92.74</v>
      </c>
      <c r="J94" s="358">
        <v>94.57</v>
      </c>
      <c r="K94" s="358">
        <v>96.87</v>
      </c>
      <c r="L94" s="358">
        <v>99.19</v>
      </c>
      <c r="M94" s="358">
        <v>101.44</v>
      </c>
      <c r="N94" s="84"/>
      <c r="O94" s="359" t="s">
        <v>2068</v>
      </c>
      <c r="P94" s="360" t="s">
        <v>2653</v>
      </c>
      <c r="Q94" s="362" t="s">
        <v>2091</v>
      </c>
      <c r="R94" s="361">
        <v>10341</v>
      </c>
      <c r="S94" s="361">
        <v>1807.85</v>
      </c>
      <c r="T94" s="84"/>
      <c r="U94" s="359" t="s">
        <v>1072</v>
      </c>
      <c r="V94" s="362" t="s">
        <v>1075</v>
      </c>
      <c r="W94" s="360" t="s">
        <v>1076</v>
      </c>
      <c r="X94" s="361">
        <v>0.53</v>
      </c>
    </row>
    <row r="95" spans="4:24" hidden="1">
      <c r="D95" s="84" t="s">
        <v>1920</v>
      </c>
      <c r="E95" s="355" t="s">
        <v>535</v>
      </c>
      <c r="F95" s="356">
        <v>4.53</v>
      </c>
      <c r="G95" s="84"/>
      <c r="H95" s="357" t="s">
        <v>357</v>
      </c>
      <c r="I95" s="358">
        <v>109.76</v>
      </c>
      <c r="J95" s="358">
        <v>111.93</v>
      </c>
      <c r="K95" s="358">
        <v>114.65</v>
      </c>
      <c r="L95" s="358">
        <v>117.39</v>
      </c>
      <c r="M95" s="358">
        <v>120.05</v>
      </c>
      <c r="N95" s="84"/>
      <c r="O95" s="359" t="s">
        <v>2068</v>
      </c>
      <c r="P95" s="360" t="s">
        <v>2654</v>
      </c>
      <c r="Q95" s="362" t="s">
        <v>2092</v>
      </c>
      <c r="R95" s="361">
        <v>13630.71</v>
      </c>
      <c r="S95" s="361">
        <v>1807.85</v>
      </c>
      <c r="T95" s="84"/>
      <c r="U95" s="359" t="s">
        <v>1072</v>
      </c>
      <c r="V95" s="362" t="s">
        <v>1077</v>
      </c>
      <c r="W95" s="360" t="s">
        <v>1078</v>
      </c>
      <c r="X95" s="361">
        <v>1.1299999999999999</v>
      </c>
    </row>
    <row r="96" spans="4:24" hidden="1">
      <c r="D96" s="84" t="s">
        <v>1921</v>
      </c>
      <c r="E96" s="355" t="s">
        <v>230</v>
      </c>
      <c r="F96" s="356">
        <v>30.48</v>
      </c>
      <c r="G96" s="84"/>
      <c r="H96" s="357" t="s">
        <v>358</v>
      </c>
      <c r="I96" s="358">
        <v>53.86</v>
      </c>
      <c r="J96" s="358">
        <v>54.93</v>
      </c>
      <c r="K96" s="358">
        <v>56.27</v>
      </c>
      <c r="L96" s="358">
        <v>57.63</v>
      </c>
      <c r="M96" s="358">
        <v>58.94</v>
      </c>
      <c r="N96" s="84"/>
      <c r="O96" s="359" t="s">
        <v>2068</v>
      </c>
      <c r="P96" s="360" t="s">
        <v>2655</v>
      </c>
      <c r="Q96" s="362" t="s">
        <v>2093</v>
      </c>
      <c r="R96" s="361">
        <v>11241</v>
      </c>
      <c r="S96" s="361">
        <v>1807.85</v>
      </c>
      <c r="T96" s="84"/>
      <c r="U96" s="359" t="s">
        <v>1072</v>
      </c>
      <c r="V96" s="362" t="s">
        <v>1079</v>
      </c>
      <c r="W96" s="360" t="s">
        <v>1080</v>
      </c>
      <c r="X96" s="361">
        <v>0.52</v>
      </c>
    </row>
    <row r="97" spans="4:24" hidden="1">
      <c r="D97" s="84" t="s">
        <v>1922</v>
      </c>
      <c r="E97" s="355" t="s">
        <v>231</v>
      </c>
      <c r="F97" s="356">
        <v>30.48</v>
      </c>
      <c r="G97" s="84"/>
      <c r="H97" s="357" t="s">
        <v>359</v>
      </c>
      <c r="I97" s="358">
        <v>86.3</v>
      </c>
      <c r="J97" s="358">
        <v>88</v>
      </c>
      <c r="K97" s="358">
        <v>90.14</v>
      </c>
      <c r="L97" s="358">
        <v>92.29</v>
      </c>
      <c r="M97" s="358">
        <v>94.37</v>
      </c>
      <c r="N97" s="84"/>
      <c r="O97" s="359" t="s">
        <v>2068</v>
      </c>
      <c r="P97" s="360" t="s">
        <v>2656</v>
      </c>
      <c r="Q97" s="362" t="s">
        <v>2094</v>
      </c>
      <c r="R97" s="361">
        <v>14530.71</v>
      </c>
      <c r="S97" s="361">
        <v>1807.85</v>
      </c>
      <c r="T97" s="84"/>
      <c r="U97" s="359" t="s">
        <v>1072</v>
      </c>
      <c r="V97" s="362" t="s">
        <v>1081</v>
      </c>
      <c r="W97" s="360" t="s">
        <v>1082</v>
      </c>
      <c r="X97" s="361">
        <v>0.43</v>
      </c>
    </row>
    <row r="98" spans="4:24" hidden="1">
      <c r="D98" s="84" t="s">
        <v>1923</v>
      </c>
      <c r="E98" s="355" t="s">
        <v>232</v>
      </c>
      <c r="F98" s="356">
        <v>30.48</v>
      </c>
      <c r="G98" s="84"/>
      <c r="H98" s="357" t="s">
        <v>360</v>
      </c>
      <c r="I98" s="358">
        <v>50.37</v>
      </c>
      <c r="J98" s="358">
        <v>51.4</v>
      </c>
      <c r="K98" s="358">
        <v>52.7</v>
      </c>
      <c r="L98" s="358">
        <v>54.02</v>
      </c>
      <c r="M98" s="358">
        <v>55.29</v>
      </c>
      <c r="N98" s="84"/>
      <c r="O98" s="359" t="s">
        <v>2068</v>
      </c>
      <c r="P98" s="360" t="s">
        <v>2095</v>
      </c>
      <c r="Q98" s="362" t="s">
        <v>2096</v>
      </c>
      <c r="R98" s="361">
        <v>3152.45</v>
      </c>
      <c r="S98" s="361">
        <v>138.38999999999999</v>
      </c>
      <c r="T98" s="84"/>
      <c r="U98" s="359" t="s">
        <v>1072</v>
      </c>
      <c r="V98" s="362" t="s">
        <v>1083</v>
      </c>
      <c r="W98" s="360" t="s">
        <v>1084</v>
      </c>
      <c r="X98" s="361">
        <v>0.85</v>
      </c>
    </row>
    <row r="99" spans="4:24" hidden="1">
      <c r="D99" s="84" t="s">
        <v>1924</v>
      </c>
      <c r="E99" s="355" t="s">
        <v>233</v>
      </c>
      <c r="F99" s="356">
        <v>30.48</v>
      </c>
      <c r="G99" s="84"/>
      <c r="H99" s="357" t="s">
        <v>361</v>
      </c>
      <c r="I99" s="358">
        <v>81.58</v>
      </c>
      <c r="J99" s="358">
        <v>83.63</v>
      </c>
      <c r="K99" s="358">
        <v>86.38</v>
      </c>
      <c r="L99" s="358">
        <v>89.15</v>
      </c>
      <c r="M99" s="358">
        <v>91.65</v>
      </c>
      <c r="N99" s="84"/>
      <c r="O99" s="359" t="s">
        <v>2068</v>
      </c>
      <c r="P99" s="360" t="s">
        <v>2097</v>
      </c>
      <c r="Q99" s="362" t="s">
        <v>2098</v>
      </c>
      <c r="R99" s="361">
        <v>4052.66</v>
      </c>
      <c r="S99" s="361">
        <v>138.38999999999999</v>
      </c>
      <c r="T99" s="84"/>
      <c r="U99" s="359" t="s">
        <v>1072</v>
      </c>
      <c r="V99" s="362" t="s">
        <v>1085</v>
      </c>
      <c r="W99" s="360" t="s">
        <v>1086</v>
      </c>
      <c r="X99" s="361">
        <v>48.81</v>
      </c>
    </row>
    <row r="100" spans="4:24" hidden="1">
      <c r="D100" s="84" t="s">
        <v>1925</v>
      </c>
      <c r="E100" s="355" t="s">
        <v>234</v>
      </c>
      <c r="F100" s="356">
        <v>30.48</v>
      </c>
      <c r="G100" s="84"/>
      <c r="H100" s="357" t="s">
        <v>362</v>
      </c>
      <c r="I100" s="358">
        <v>81.58</v>
      </c>
      <c r="J100" s="358">
        <v>83.63</v>
      </c>
      <c r="K100" s="358">
        <v>86.38</v>
      </c>
      <c r="L100" s="358">
        <v>89.15</v>
      </c>
      <c r="M100" s="358">
        <v>91.65</v>
      </c>
      <c r="N100" s="84"/>
      <c r="O100" s="359" t="s">
        <v>2068</v>
      </c>
      <c r="P100" s="360" t="s">
        <v>2099</v>
      </c>
      <c r="Q100" s="362" t="s">
        <v>2100</v>
      </c>
      <c r="R100" s="361">
        <v>12152.45</v>
      </c>
      <c r="S100" s="361">
        <v>138.38999999999999</v>
      </c>
      <c r="T100" s="84"/>
      <c r="U100" s="359" t="s">
        <v>1072</v>
      </c>
      <c r="V100" s="362" t="s">
        <v>1087</v>
      </c>
      <c r="W100" s="360" t="s">
        <v>1088</v>
      </c>
      <c r="X100" s="361">
        <v>38.46</v>
      </c>
    </row>
    <row r="101" spans="4:24" hidden="1">
      <c r="D101" s="84" t="s">
        <v>1926</v>
      </c>
      <c r="E101" s="355" t="s">
        <v>222</v>
      </c>
      <c r="F101" s="356">
        <v>30.48</v>
      </c>
      <c r="G101" s="84"/>
      <c r="H101" s="357" t="s">
        <v>363</v>
      </c>
      <c r="I101" s="358">
        <v>56.55</v>
      </c>
      <c r="J101" s="358">
        <v>57.66</v>
      </c>
      <c r="K101" s="358">
        <v>59.04</v>
      </c>
      <c r="L101" s="358">
        <v>60.44</v>
      </c>
      <c r="M101" s="358">
        <v>61.81</v>
      </c>
      <c r="N101" s="84"/>
      <c r="O101" s="359" t="s">
        <v>2068</v>
      </c>
      <c r="P101" s="360" t="s">
        <v>2644</v>
      </c>
      <c r="Q101" s="361" t="s">
        <v>2462</v>
      </c>
      <c r="R101" s="361"/>
      <c r="S101" s="361">
        <v>138.38999999999999</v>
      </c>
      <c r="T101" s="84"/>
      <c r="U101" s="359" t="s">
        <v>1072</v>
      </c>
      <c r="V101" s="362" t="s">
        <v>1089</v>
      </c>
      <c r="W101" s="360" t="s">
        <v>1090</v>
      </c>
      <c r="X101" s="361">
        <v>10.35</v>
      </c>
    </row>
    <row r="102" spans="4:24" hidden="1">
      <c r="D102" s="84" t="s">
        <v>1927</v>
      </c>
      <c r="E102" s="355" t="s">
        <v>223</v>
      </c>
      <c r="F102" s="356">
        <v>30.48</v>
      </c>
      <c r="G102" s="84"/>
      <c r="H102" s="357" t="s">
        <v>364</v>
      </c>
      <c r="I102" s="358">
        <v>57.29</v>
      </c>
      <c r="J102" s="358">
        <v>58.42</v>
      </c>
      <c r="K102" s="358">
        <v>59.85</v>
      </c>
      <c r="L102" s="358">
        <v>61.3</v>
      </c>
      <c r="M102" s="358">
        <v>62.7</v>
      </c>
      <c r="N102" s="84"/>
      <c r="O102" s="359" t="s">
        <v>2068</v>
      </c>
      <c r="P102" s="360" t="s">
        <v>2101</v>
      </c>
      <c r="Q102" s="361" t="s">
        <v>2462</v>
      </c>
      <c r="R102" s="361"/>
      <c r="S102" s="361">
        <v>138.38999999999999</v>
      </c>
      <c r="T102" s="84"/>
      <c r="U102" s="359" t="s">
        <v>1072</v>
      </c>
      <c r="V102" s="362" t="s">
        <v>1091</v>
      </c>
      <c r="W102" s="360" t="s">
        <v>1092</v>
      </c>
      <c r="X102" s="361">
        <v>13.29</v>
      </c>
    </row>
    <row r="103" spans="4:24" hidden="1">
      <c r="D103" s="84" t="s">
        <v>1928</v>
      </c>
      <c r="E103" s="355" t="s">
        <v>224</v>
      </c>
      <c r="F103" s="356">
        <v>30.48</v>
      </c>
      <c r="G103" s="84"/>
      <c r="H103" s="357" t="s">
        <v>365</v>
      </c>
      <c r="I103" s="358">
        <v>54.88</v>
      </c>
      <c r="J103" s="358">
        <v>55.96</v>
      </c>
      <c r="K103" s="358">
        <v>57.32</v>
      </c>
      <c r="L103" s="358">
        <v>58.7</v>
      </c>
      <c r="M103" s="358">
        <v>60.03</v>
      </c>
      <c r="N103" s="84"/>
      <c r="O103" s="359" t="s">
        <v>2068</v>
      </c>
      <c r="P103" s="360" t="s">
        <v>2102</v>
      </c>
      <c r="Q103" s="362" t="s">
        <v>2103</v>
      </c>
      <c r="R103" s="361">
        <v>8982.2800000000007</v>
      </c>
      <c r="S103" s="361">
        <v>138.38999999999999</v>
      </c>
      <c r="T103" s="84"/>
      <c r="U103" s="359" t="s">
        <v>1072</v>
      </c>
      <c r="V103" s="362" t="s">
        <v>1093</v>
      </c>
      <c r="W103" s="360" t="s">
        <v>1094</v>
      </c>
      <c r="X103" s="361">
        <v>13.89</v>
      </c>
    </row>
    <row r="104" spans="4:24" hidden="1">
      <c r="D104" s="84" t="s">
        <v>1929</v>
      </c>
      <c r="E104" s="355" t="s">
        <v>225</v>
      </c>
      <c r="F104" s="356">
        <v>30.48</v>
      </c>
      <c r="G104" s="84"/>
      <c r="H104" s="357" t="s">
        <v>366</v>
      </c>
      <c r="I104" s="358">
        <v>65.94</v>
      </c>
      <c r="J104" s="358">
        <v>67.239999999999995</v>
      </c>
      <c r="K104" s="358">
        <v>68.87</v>
      </c>
      <c r="L104" s="358">
        <v>70.52</v>
      </c>
      <c r="M104" s="358">
        <v>72.11</v>
      </c>
      <c r="N104" s="84"/>
      <c r="O104" s="359" t="s">
        <v>2068</v>
      </c>
      <c r="P104" s="360" t="s">
        <v>2104</v>
      </c>
      <c r="Q104" s="362" t="s">
        <v>2105</v>
      </c>
      <c r="R104" s="361">
        <v>14805.690000000002</v>
      </c>
      <c r="S104" s="361">
        <v>4066.51</v>
      </c>
      <c r="T104" s="84"/>
      <c r="U104" s="359" t="s">
        <v>1072</v>
      </c>
      <c r="V104" s="362" t="s">
        <v>1095</v>
      </c>
      <c r="W104" s="360" t="s">
        <v>1096</v>
      </c>
      <c r="X104" s="361">
        <v>6.92</v>
      </c>
    </row>
    <row r="105" spans="4:24" hidden="1">
      <c r="D105" s="84" t="s">
        <v>1930</v>
      </c>
      <c r="E105" s="355" t="s">
        <v>226</v>
      </c>
      <c r="F105" s="356">
        <v>30.48</v>
      </c>
      <c r="G105" s="84"/>
      <c r="H105" s="357" t="s">
        <v>367</v>
      </c>
      <c r="I105" s="358">
        <v>94.36</v>
      </c>
      <c r="J105" s="358">
        <v>96.23</v>
      </c>
      <c r="K105" s="358">
        <v>98.57</v>
      </c>
      <c r="L105" s="358">
        <v>100.94</v>
      </c>
      <c r="M105" s="358">
        <v>103.24</v>
      </c>
      <c r="N105" s="84"/>
      <c r="O105" s="359" t="s">
        <v>2068</v>
      </c>
      <c r="P105" s="360" t="s">
        <v>2106</v>
      </c>
      <c r="Q105" s="362" t="s">
        <v>2107</v>
      </c>
      <c r="R105" s="361">
        <v>17235.800000000003</v>
      </c>
      <c r="S105" s="361">
        <v>4066.51</v>
      </c>
      <c r="T105" s="84"/>
      <c r="U105" s="359" t="s">
        <v>1072</v>
      </c>
      <c r="V105" s="362" t="s">
        <v>1097</v>
      </c>
      <c r="W105" s="360" t="s">
        <v>1098</v>
      </c>
      <c r="X105" s="361">
        <v>6.92</v>
      </c>
    </row>
    <row r="106" spans="4:24" hidden="1">
      <c r="D106" s="84" t="s">
        <v>1931</v>
      </c>
      <c r="E106" s="355" t="s">
        <v>536</v>
      </c>
      <c r="F106" s="356">
        <v>30.48</v>
      </c>
      <c r="G106" s="84"/>
      <c r="H106" s="357" t="s">
        <v>368</v>
      </c>
      <c r="I106" s="358">
        <v>56.25</v>
      </c>
      <c r="J106" s="358">
        <v>57.37</v>
      </c>
      <c r="K106" s="358">
        <v>58.76</v>
      </c>
      <c r="L106" s="358">
        <v>60.16</v>
      </c>
      <c r="M106" s="358">
        <v>61.52</v>
      </c>
      <c r="N106" s="84"/>
      <c r="O106" s="359" t="s">
        <v>2068</v>
      </c>
      <c r="P106" s="360" t="s">
        <v>2108</v>
      </c>
      <c r="Q106" s="362" t="s">
        <v>2109</v>
      </c>
      <c r="R106" s="361">
        <v>19787.420000000002</v>
      </c>
      <c r="S106" s="361">
        <v>4066.51</v>
      </c>
      <c r="T106" s="84"/>
      <c r="U106" s="359" t="s">
        <v>1072</v>
      </c>
      <c r="V106" s="362" t="s">
        <v>1099</v>
      </c>
      <c r="W106" s="360" t="s">
        <v>1100</v>
      </c>
      <c r="X106" s="361">
        <v>10.77</v>
      </c>
    </row>
    <row r="107" spans="4:24" hidden="1">
      <c r="D107" s="84" t="s">
        <v>1932</v>
      </c>
      <c r="E107" s="355" t="s">
        <v>537</v>
      </c>
      <c r="F107" s="356">
        <v>30.48</v>
      </c>
      <c r="G107" s="84"/>
      <c r="H107" s="357" t="s">
        <v>369</v>
      </c>
      <c r="I107" s="358">
        <v>87.62</v>
      </c>
      <c r="J107" s="358">
        <v>89.36</v>
      </c>
      <c r="K107" s="358">
        <v>91.54</v>
      </c>
      <c r="L107" s="358">
        <v>93.75</v>
      </c>
      <c r="M107" s="358">
        <v>95.89</v>
      </c>
      <c r="N107" s="84"/>
      <c r="O107" s="359" t="s">
        <v>2068</v>
      </c>
      <c r="P107" s="360" t="s">
        <v>2110</v>
      </c>
      <c r="Q107" s="362" t="s">
        <v>2111</v>
      </c>
      <c r="R107" s="361">
        <v>19034.050000000003</v>
      </c>
      <c r="S107" s="361">
        <v>4066.51</v>
      </c>
      <c r="T107" s="84"/>
      <c r="U107" s="359" t="s">
        <v>1072</v>
      </c>
      <c r="V107" s="362" t="s">
        <v>1101</v>
      </c>
      <c r="W107" s="360" t="s">
        <v>1711</v>
      </c>
      <c r="X107" s="361">
        <v>7.4</v>
      </c>
    </row>
    <row r="108" spans="4:24" hidden="1">
      <c r="D108" s="84"/>
      <c r="E108" s="84"/>
      <c r="F108" s="84"/>
      <c r="G108" s="84"/>
      <c r="H108" s="357" t="s">
        <v>370</v>
      </c>
      <c r="I108" s="358">
        <v>84.11</v>
      </c>
      <c r="J108" s="358">
        <v>85.78</v>
      </c>
      <c r="K108" s="358">
        <v>87.88</v>
      </c>
      <c r="L108" s="358">
        <v>90</v>
      </c>
      <c r="M108" s="358">
        <v>92.05</v>
      </c>
      <c r="N108" s="84"/>
      <c r="O108" s="359" t="s">
        <v>2068</v>
      </c>
      <c r="P108" s="360" t="s">
        <v>2112</v>
      </c>
      <c r="Q108" s="362" t="s">
        <v>2113</v>
      </c>
      <c r="R108" s="361">
        <v>21585.670000000002</v>
      </c>
      <c r="S108" s="361">
        <v>4066.51</v>
      </c>
      <c r="T108" s="84"/>
      <c r="U108" s="359" t="s">
        <v>1072</v>
      </c>
      <c r="V108" s="362" t="s">
        <v>1102</v>
      </c>
      <c r="W108" s="360" t="s">
        <v>1103</v>
      </c>
      <c r="X108" s="361">
        <v>116.8</v>
      </c>
    </row>
    <row r="109" spans="4:24" hidden="1">
      <c r="D109" s="84"/>
      <c r="E109" s="84"/>
      <c r="F109" s="84"/>
      <c r="G109" s="84"/>
      <c r="H109" s="357" t="s">
        <v>371</v>
      </c>
      <c r="I109" s="358">
        <v>70.180000000000007</v>
      </c>
      <c r="J109" s="358">
        <v>71.569999999999993</v>
      </c>
      <c r="K109" s="358">
        <v>73.33</v>
      </c>
      <c r="L109" s="358">
        <v>75.09</v>
      </c>
      <c r="M109" s="358">
        <v>76.8</v>
      </c>
      <c r="N109" s="84"/>
      <c r="O109" s="359" t="s">
        <v>2068</v>
      </c>
      <c r="P109" s="360" t="s">
        <v>2114</v>
      </c>
      <c r="Q109" s="362" t="s">
        <v>2115</v>
      </c>
      <c r="R109" s="361">
        <v>19350</v>
      </c>
      <c r="S109" s="361">
        <v>138.38999999999999</v>
      </c>
      <c r="T109" s="84"/>
      <c r="U109" s="359" t="s">
        <v>1072</v>
      </c>
      <c r="V109" s="362" t="s">
        <v>1104</v>
      </c>
      <c r="W109" s="360" t="s">
        <v>1105</v>
      </c>
      <c r="X109" s="361">
        <v>257.2</v>
      </c>
    </row>
    <row r="110" spans="4:24" hidden="1">
      <c r="D110" s="84"/>
      <c r="E110" s="328" t="s">
        <v>5</v>
      </c>
      <c r="F110" s="329"/>
      <c r="G110" s="84"/>
      <c r="H110" s="357" t="s">
        <v>372</v>
      </c>
      <c r="I110" s="358">
        <v>47.56</v>
      </c>
      <c r="J110" s="358">
        <v>48.51</v>
      </c>
      <c r="K110" s="358">
        <v>49.71</v>
      </c>
      <c r="L110" s="358">
        <v>50.92</v>
      </c>
      <c r="M110" s="358">
        <v>52.09</v>
      </c>
      <c r="N110" s="84"/>
      <c r="O110" s="359" t="s">
        <v>2068</v>
      </c>
      <c r="P110" s="360" t="s">
        <v>2116</v>
      </c>
      <c r="Q110" s="362" t="s">
        <v>2117</v>
      </c>
      <c r="R110" s="361">
        <v>6754.78</v>
      </c>
      <c r="S110" s="361">
        <v>138.38999999999999</v>
      </c>
      <c r="T110" s="84"/>
      <c r="U110" s="359" t="s">
        <v>1072</v>
      </c>
      <c r="V110" s="362" t="s">
        <v>1106</v>
      </c>
      <c r="W110" s="360" t="s">
        <v>1107</v>
      </c>
      <c r="X110" s="361">
        <v>176.76</v>
      </c>
    </row>
    <row r="111" spans="4:24" hidden="1">
      <c r="D111" s="84"/>
      <c r="E111" s="80" t="s">
        <v>6</v>
      </c>
      <c r="F111" s="81" t="s">
        <v>123</v>
      </c>
      <c r="G111" s="84"/>
      <c r="H111" s="357" t="s">
        <v>373</v>
      </c>
      <c r="I111" s="358">
        <v>71.11</v>
      </c>
      <c r="J111" s="358">
        <v>72.52</v>
      </c>
      <c r="K111" s="358">
        <v>74.3</v>
      </c>
      <c r="L111" s="358">
        <v>76.099999999999994</v>
      </c>
      <c r="M111" s="358">
        <v>77.84</v>
      </c>
      <c r="N111" s="84"/>
      <c r="O111" s="359" t="s">
        <v>2068</v>
      </c>
      <c r="P111" s="360" t="s">
        <v>2118</v>
      </c>
      <c r="Q111" s="362" t="s">
        <v>2119</v>
      </c>
      <c r="R111" s="361">
        <v>6755.75</v>
      </c>
      <c r="S111" s="361">
        <v>138.38999999999999</v>
      </c>
      <c r="T111" s="84"/>
      <c r="U111" s="359" t="s">
        <v>1072</v>
      </c>
      <c r="V111" s="362" t="s">
        <v>1108</v>
      </c>
      <c r="W111" s="360" t="s">
        <v>1109</v>
      </c>
      <c r="X111" s="361">
        <v>54.85</v>
      </c>
    </row>
    <row r="112" spans="4:24" hidden="1">
      <c r="D112" s="84"/>
      <c r="E112" s="361" t="s">
        <v>548</v>
      </c>
      <c r="F112" s="364">
        <v>128.02000000000001</v>
      </c>
      <c r="G112" s="84"/>
      <c r="H112" s="357" t="s">
        <v>374</v>
      </c>
      <c r="I112" s="358">
        <v>81.58</v>
      </c>
      <c r="J112" s="358">
        <v>83.63</v>
      </c>
      <c r="K112" s="358">
        <v>86.38</v>
      </c>
      <c r="L112" s="358">
        <v>89.15</v>
      </c>
      <c r="M112" s="358">
        <v>91.65</v>
      </c>
      <c r="N112" s="84"/>
      <c r="O112" s="359" t="s">
        <v>2068</v>
      </c>
      <c r="P112" s="360" t="s">
        <v>2120</v>
      </c>
      <c r="Q112" s="362" t="s">
        <v>2121</v>
      </c>
      <c r="R112" s="361">
        <v>11250</v>
      </c>
      <c r="S112" s="361">
        <v>138.38999999999999</v>
      </c>
      <c r="T112" s="84"/>
      <c r="U112" s="359" t="s">
        <v>1072</v>
      </c>
      <c r="V112" s="362" t="s">
        <v>1110</v>
      </c>
      <c r="W112" s="360" t="s">
        <v>1111</v>
      </c>
      <c r="X112" s="361">
        <v>43.43</v>
      </c>
    </row>
    <row r="113" spans="3:24" hidden="1">
      <c r="D113" s="84"/>
      <c r="E113" s="361" t="s">
        <v>549</v>
      </c>
      <c r="F113" s="364">
        <v>113.63</v>
      </c>
      <c r="G113" s="84"/>
      <c r="H113" s="357" t="s">
        <v>375</v>
      </c>
      <c r="I113" s="358">
        <v>81.58</v>
      </c>
      <c r="J113" s="358">
        <v>83.63</v>
      </c>
      <c r="K113" s="358">
        <v>86.38</v>
      </c>
      <c r="L113" s="358">
        <v>89.15</v>
      </c>
      <c r="M113" s="358">
        <v>91.65</v>
      </c>
      <c r="N113" s="84"/>
      <c r="O113" s="359" t="s">
        <v>2068</v>
      </c>
      <c r="P113" s="360" t="s">
        <v>2122</v>
      </c>
      <c r="Q113" s="361" t="s">
        <v>2462</v>
      </c>
      <c r="R113" s="361"/>
      <c r="S113" s="361">
        <v>138.38999999999999</v>
      </c>
      <c r="T113" s="84"/>
      <c r="U113" s="359" t="s">
        <v>1072</v>
      </c>
      <c r="V113" s="362" t="s">
        <v>1112</v>
      </c>
      <c r="W113" s="360" t="s">
        <v>1113</v>
      </c>
      <c r="X113" s="356">
        <v>32.85</v>
      </c>
    </row>
    <row r="114" spans="3:24" hidden="1">
      <c r="C114" s="257"/>
      <c r="D114" s="84" t="s">
        <v>1933</v>
      </c>
      <c r="E114" s="361" t="s">
        <v>2440</v>
      </c>
      <c r="F114" s="361">
        <v>1449.9</v>
      </c>
      <c r="G114" s="84"/>
      <c r="H114" s="357" t="s">
        <v>376</v>
      </c>
      <c r="I114" s="358">
        <v>69.58</v>
      </c>
      <c r="J114" s="358">
        <v>70.95</v>
      </c>
      <c r="K114" s="358">
        <v>72.67</v>
      </c>
      <c r="L114" s="358">
        <v>74.41</v>
      </c>
      <c r="M114" s="358">
        <v>76.09</v>
      </c>
      <c r="N114" s="84"/>
      <c r="O114" s="359"/>
      <c r="P114" s="360" t="s">
        <v>257</v>
      </c>
      <c r="Q114" s="389" t="s">
        <v>131</v>
      </c>
      <c r="R114" s="361"/>
      <c r="S114" s="361"/>
      <c r="T114" s="84"/>
      <c r="U114" s="359" t="s">
        <v>1072</v>
      </c>
      <c r="V114" s="362" t="s">
        <v>1114</v>
      </c>
      <c r="W114" s="360" t="s">
        <v>1115</v>
      </c>
      <c r="X114" s="356">
        <v>54.45</v>
      </c>
    </row>
    <row r="115" spans="3:24" hidden="1">
      <c r="C115" s="257"/>
      <c r="D115" s="84" t="s">
        <v>1934</v>
      </c>
      <c r="E115" s="361" t="s">
        <v>2441</v>
      </c>
      <c r="F115" s="361">
        <v>1208.25</v>
      </c>
      <c r="G115" s="84"/>
      <c r="H115" s="357" t="s">
        <v>377</v>
      </c>
      <c r="I115" s="358">
        <v>74.12</v>
      </c>
      <c r="J115" s="358">
        <v>75.59</v>
      </c>
      <c r="K115" s="358">
        <v>77.42</v>
      </c>
      <c r="L115" s="358">
        <v>79.27</v>
      </c>
      <c r="M115" s="358">
        <v>81.06</v>
      </c>
      <c r="N115" s="84"/>
      <c r="O115" s="359" t="s">
        <v>2451</v>
      </c>
      <c r="P115" s="360" t="s">
        <v>2452</v>
      </c>
      <c r="Q115" s="389" t="s">
        <v>2453</v>
      </c>
      <c r="R115" s="361">
        <v>1431.7</v>
      </c>
      <c r="S115" s="361">
        <v>10.87</v>
      </c>
      <c r="T115" s="84"/>
      <c r="U115" s="359" t="s">
        <v>1072</v>
      </c>
      <c r="V115" s="362" t="s">
        <v>1116</v>
      </c>
      <c r="W115" s="360" t="s">
        <v>1117</v>
      </c>
      <c r="X115" s="361">
        <v>32.85</v>
      </c>
    </row>
    <row r="116" spans="3:24" hidden="1">
      <c r="C116" s="257"/>
      <c r="D116" s="84" t="s">
        <v>1935</v>
      </c>
      <c r="E116" s="361" t="s">
        <v>2442</v>
      </c>
      <c r="F116" s="361">
        <v>1208.25</v>
      </c>
      <c r="G116" s="84"/>
      <c r="H116" s="357" t="s">
        <v>378</v>
      </c>
      <c r="I116" s="358">
        <v>34.74</v>
      </c>
      <c r="J116" s="358">
        <v>35.47</v>
      </c>
      <c r="K116" s="358">
        <v>36.4</v>
      </c>
      <c r="L116" s="358">
        <v>37.340000000000003</v>
      </c>
      <c r="M116" s="358">
        <v>38.24</v>
      </c>
      <c r="N116" s="84"/>
      <c r="O116" s="359" t="s">
        <v>2451</v>
      </c>
      <c r="P116" s="360" t="s">
        <v>2449</v>
      </c>
      <c r="Q116" s="389" t="s">
        <v>2450</v>
      </c>
      <c r="R116" s="361">
        <v>576.29999999999995</v>
      </c>
      <c r="S116" s="361">
        <v>10.87</v>
      </c>
      <c r="T116" s="84"/>
      <c r="U116" s="359" t="s">
        <v>1072</v>
      </c>
      <c r="V116" s="362" t="s">
        <v>1118</v>
      </c>
      <c r="W116" s="360" t="s">
        <v>1119</v>
      </c>
      <c r="X116" s="361">
        <v>13.63</v>
      </c>
    </row>
    <row r="117" spans="3:24" hidden="1">
      <c r="C117" s="257"/>
      <c r="D117" s="84" t="s">
        <v>1936</v>
      </c>
      <c r="E117" s="361" t="s">
        <v>2443</v>
      </c>
      <c r="F117" s="361">
        <v>966.6</v>
      </c>
      <c r="G117" s="84"/>
      <c r="H117" s="357" t="s">
        <v>379</v>
      </c>
      <c r="I117" s="358">
        <v>38.44</v>
      </c>
      <c r="J117" s="358">
        <v>39.25</v>
      </c>
      <c r="K117" s="358">
        <v>40.29</v>
      </c>
      <c r="L117" s="358">
        <v>41.34</v>
      </c>
      <c r="M117" s="358">
        <v>42.34</v>
      </c>
      <c r="N117" s="84"/>
      <c r="O117" s="359" t="s">
        <v>215</v>
      </c>
      <c r="P117" s="360" t="s">
        <v>2470</v>
      </c>
      <c r="Q117" s="389" t="s">
        <v>2473</v>
      </c>
      <c r="R117" s="361">
        <v>1431.7</v>
      </c>
      <c r="S117" s="361">
        <v>10.87</v>
      </c>
      <c r="T117" s="84"/>
      <c r="U117" s="359" t="s">
        <v>1072</v>
      </c>
      <c r="V117" s="362" t="s">
        <v>1120</v>
      </c>
      <c r="W117" s="360" t="s">
        <v>1121</v>
      </c>
      <c r="X117" s="356">
        <v>44.69</v>
      </c>
    </row>
    <row r="118" spans="3:24" hidden="1">
      <c r="C118" s="257"/>
      <c r="D118" s="84" t="s">
        <v>1937</v>
      </c>
      <c r="E118" s="361" t="s">
        <v>2444</v>
      </c>
      <c r="F118" s="361">
        <v>6.4</v>
      </c>
      <c r="G118" s="84"/>
      <c r="H118" s="84"/>
      <c r="I118" s="84"/>
      <c r="J118" s="84"/>
      <c r="K118" s="84"/>
      <c r="L118" s="84"/>
      <c r="M118" s="84"/>
      <c r="N118" s="84"/>
      <c r="O118" s="359" t="s">
        <v>215</v>
      </c>
      <c r="P118" s="360" t="s">
        <v>2645</v>
      </c>
      <c r="Q118" s="389" t="s">
        <v>2646</v>
      </c>
      <c r="R118" s="361">
        <v>498.3</v>
      </c>
      <c r="S118" s="361">
        <v>10.87</v>
      </c>
      <c r="T118" s="84"/>
      <c r="U118" s="359" t="s">
        <v>1072</v>
      </c>
      <c r="V118" s="362" t="s">
        <v>1122</v>
      </c>
      <c r="W118" s="363" t="s">
        <v>1123</v>
      </c>
      <c r="X118" s="356">
        <v>2.63</v>
      </c>
    </row>
    <row r="119" spans="3:24" hidden="1">
      <c r="C119" s="257"/>
      <c r="D119" s="84" t="s">
        <v>1938</v>
      </c>
      <c r="E119" s="361" t="s">
        <v>2445</v>
      </c>
      <c r="F119" s="361">
        <v>6.4</v>
      </c>
      <c r="G119" s="84"/>
      <c r="H119" s="84"/>
      <c r="I119" s="84"/>
      <c r="J119" s="84"/>
      <c r="K119" s="84"/>
      <c r="L119" s="84"/>
      <c r="M119" s="84"/>
      <c r="N119" s="84"/>
      <c r="O119" s="359" t="s">
        <v>215</v>
      </c>
      <c r="P119" s="360" t="s">
        <v>2471</v>
      </c>
      <c r="Q119" s="389" t="s">
        <v>2474</v>
      </c>
      <c r="R119" s="361">
        <v>105.7</v>
      </c>
      <c r="S119" s="361">
        <v>10.87</v>
      </c>
      <c r="T119" s="84"/>
      <c r="U119" s="359" t="s">
        <v>1072</v>
      </c>
      <c r="V119" s="362" t="s">
        <v>1124</v>
      </c>
      <c r="W119" s="360" t="s">
        <v>1125</v>
      </c>
      <c r="X119" s="356">
        <v>2.57</v>
      </c>
    </row>
    <row r="120" spans="3:24" hidden="1">
      <c r="C120" s="257"/>
      <c r="D120" s="84" t="s">
        <v>1939</v>
      </c>
      <c r="E120" s="361" t="s">
        <v>235</v>
      </c>
      <c r="F120" s="361">
        <v>483.3</v>
      </c>
      <c r="G120" s="84"/>
      <c r="H120" s="84"/>
      <c r="I120" s="84"/>
      <c r="J120" s="84"/>
      <c r="K120" s="84"/>
      <c r="L120" s="84"/>
      <c r="M120" s="84"/>
      <c r="N120" s="84"/>
      <c r="O120" s="359" t="s">
        <v>215</v>
      </c>
      <c r="P120" s="360" t="s">
        <v>2472</v>
      </c>
      <c r="Q120" s="389" t="s">
        <v>2475</v>
      </c>
      <c r="R120" s="361">
        <v>576.29999999999995</v>
      </c>
      <c r="S120" s="361">
        <v>10.87</v>
      </c>
      <c r="T120" s="84"/>
      <c r="U120" s="359" t="s">
        <v>1072</v>
      </c>
      <c r="V120" s="362" t="s">
        <v>1126</v>
      </c>
      <c r="W120" s="360" t="s">
        <v>1127</v>
      </c>
      <c r="X120" s="356">
        <v>1.61</v>
      </c>
    </row>
    <row r="121" spans="3:24" hidden="1">
      <c r="C121" s="257"/>
      <c r="D121" s="84" t="s">
        <v>1940</v>
      </c>
      <c r="E121" s="361" t="s">
        <v>408</v>
      </c>
      <c r="F121" s="361">
        <v>241.65</v>
      </c>
      <c r="G121" s="84"/>
      <c r="H121" s="84"/>
      <c r="I121" s="84"/>
      <c r="J121" s="84"/>
      <c r="K121" s="84"/>
      <c r="L121" s="84"/>
      <c r="M121" s="84"/>
      <c r="N121" s="84"/>
      <c r="O121" s="359" t="s">
        <v>215</v>
      </c>
      <c r="P121" s="360" t="s">
        <v>2647</v>
      </c>
      <c r="Q121" s="389" t="s">
        <v>2649</v>
      </c>
      <c r="R121" s="361">
        <v>277.3</v>
      </c>
      <c r="S121" s="361">
        <v>10.87</v>
      </c>
      <c r="T121" s="84"/>
      <c r="U121" s="359" t="s">
        <v>1072</v>
      </c>
      <c r="V121" s="362" t="s">
        <v>1128</v>
      </c>
      <c r="W121" s="363" t="s">
        <v>1129</v>
      </c>
      <c r="X121" s="356">
        <v>0.68</v>
      </c>
    </row>
    <row r="122" spans="3:24" hidden="1">
      <c r="C122" s="257"/>
      <c r="D122" s="84" t="s">
        <v>1941</v>
      </c>
      <c r="E122" s="361" t="s">
        <v>409</v>
      </c>
      <c r="F122" s="361">
        <v>416.07</v>
      </c>
      <c r="G122" s="84"/>
      <c r="H122" s="84"/>
      <c r="I122" s="84"/>
      <c r="J122" s="84"/>
      <c r="K122" s="84"/>
      <c r="L122" s="84"/>
      <c r="M122" s="84"/>
      <c r="N122" s="84"/>
      <c r="O122" s="359" t="s">
        <v>215</v>
      </c>
      <c r="P122" s="360" t="s">
        <v>2648</v>
      </c>
      <c r="Q122" s="389" t="s">
        <v>2650</v>
      </c>
      <c r="R122" s="361">
        <v>191.50000000000003</v>
      </c>
      <c r="S122" s="361">
        <v>10.87</v>
      </c>
      <c r="T122" s="84"/>
      <c r="U122" s="359" t="s">
        <v>1072</v>
      </c>
      <c r="V122" s="362" t="s">
        <v>1130</v>
      </c>
      <c r="W122" s="360" t="s">
        <v>1131</v>
      </c>
      <c r="X122" s="361">
        <v>50.57</v>
      </c>
    </row>
    <row r="123" spans="3:24" hidden="1">
      <c r="C123" s="257"/>
      <c r="D123" s="84" t="s">
        <v>1942</v>
      </c>
      <c r="E123" s="361" t="s">
        <v>193</v>
      </c>
      <c r="F123" s="361">
        <v>241.65</v>
      </c>
      <c r="G123" s="84"/>
      <c r="H123" s="84"/>
      <c r="I123" s="84"/>
      <c r="J123" s="84"/>
      <c r="K123" s="84"/>
      <c r="L123" s="84"/>
      <c r="M123" s="84"/>
      <c r="N123" s="84"/>
      <c r="O123" s="359" t="s">
        <v>2068</v>
      </c>
      <c r="P123" s="360" t="s">
        <v>2123</v>
      </c>
      <c r="Q123" s="362" t="s">
        <v>2124</v>
      </c>
      <c r="R123" s="361">
        <v>114.15</v>
      </c>
      <c r="S123" s="361">
        <v>10.87</v>
      </c>
      <c r="T123" s="84"/>
      <c r="U123" s="359" t="s">
        <v>1132</v>
      </c>
      <c r="V123" s="362">
        <v>16</v>
      </c>
      <c r="W123" s="360" t="s">
        <v>1133</v>
      </c>
      <c r="X123" s="361">
        <v>1.03</v>
      </c>
    </row>
    <row r="124" spans="3:24" hidden="1">
      <c r="C124" s="257"/>
      <c r="D124" s="84" t="s">
        <v>1943</v>
      </c>
      <c r="E124" s="361" t="s">
        <v>410</v>
      </c>
      <c r="F124" s="361">
        <v>302.06</v>
      </c>
      <c r="G124" s="84"/>
      <c r="H124" s="84"/>
      <c r="I124" s="84"/>
      <c r="J124" s="84"/>
      <c r="K124" s="84"/>
      <c r="L124" s="84"/>
      <c r="M124" s="84"/>
      <c r="N124" s="84"/>
      <c r="O124" s="359" t="s">
        <v>2068</v>
      </c>
      <c r="P124" s="360" t="s">
        <v>2125</v>
      </c>
      <c r="Q124" s="362" t="s">
        <v>2126</v>
      </c>
      <c r="R124" s="361">
        <v>510.15</v>
      </c>
      <c r="S124" s="361">
        <v>10.87</v>
      </c>
      <c r="T124" s="84"/>
      <c r="U124" s="359" t="s">
        <v>1132</v>
      </c>
      <c r="V124" s="362">
        <v>20</v>
      </c>
      <c r="W124" s="360" t="s">
        <v>1134</v>
      </c>
      <c r="X124" s="361">
        <v>5.29</v>
      </c>
    </row>
    <row r="125" spans="3:24" hidden="1">
      <c r="C125" s="257"/>
      <c r="D125" s="84" t="s">
        <v>1944</v>
      </c>
      <c r="E125" s="361" t="s">
        <v>194</v>
      </c>
      <c r="F125" s="361">
        <v>256.04000000000002</v>
      </c>
      <c r="G125" s="84"/>
      <c r="H125" s="84"/>
      <c r="I125" s="84"/>
      <c r="J125" s="84"/>
      <c r="K125" s="84"/>
      <c r="L125" s="84"/>
      <c r="M125" s="84"/>
      <c r="N125" s="84"/>
      <c r="O125" s="359" t="s">
        <v>2068</v>
      </c>
      <c r="P125" s="360" t="s">
        <v>2127</v>
      </c>
      <c r="Q125" s="362" t="s">
        <v>2128</v>
      </c>
      <c r="R125" s="361">
        <v>264.3</v>
      </c>
      <c r="S125" s="361">
        <v>10.87</v>
      </c>
      <c r="T125" s="84"/>
      <c r="U125" s="359" t="s">
        <v>1132</v>
      </c>
      <c r="V125" s="362">
        <v>457</v>
      </c>
      <c r="W125" s="360" t="s">
        <v>1135</v>
      </c>
      <c r="X125" s="361">
        <v>10.39</v>
      </c>
    </row>
    <row r="126" spans="3:24" hidden="1">
      <c r="C126" s="257"/>
      <c r="D126" s="84" t="s">
        <v>1945</v>
      </c>
      <c r="E126" s="361" t="s">
        <v>2446</v>
      </c>
      <c r="F126" s="361">
        <v>181.81</v>
      </c>
      <c r="G126" s="84"/>
      <c r="H126" s="84"/>
      <c r="I126" s="84"/>
      <c r="J126" s="84"/>
      <c r="K126" s="84"/>
      <c r="L126" s="84"/>
      <c r="M126" s="84"/>
      <c r="N126" s="84"/>
      <c r="O126" s="359" t="s">
        <v>2068</v>
      </c>
      <c r="P126" s="360" t="s">
        <v>2129</v>
      </c>
      <c r="Q126" s="362" t="s">
        <v>2130</v>
      </c>
      <c r="R126" s="361">
        <v>209.7</v>
      </c>
      <c r="S126" s="361">
        <v>10.87</v>
      </c>
      <c r="T126" s="84"/>
      <c r="U126" s="359" t="s">
        <v>1132</v>
      </c>
      <c r="V126" s="362" t="s">
        <v>1136</v>
      </c>
      <c r="W126" s="360" t="s">
        <v>1137</v>
      </c>
      <c r="X126" s="361">
        <v>11.92</v>
      </c>
    </row>
    <row r="127" spans="3:24" hidden="1">
      <c r="C127" s="257"/>
      <c r="D127" s="84" t="s">
        <v>1946</v>
      </c>
      <c r="E127" s="361" t="s">
        <v>553</v>
      </c>
      <c r="F127" s="361">
        <v>98.86</v>
      </c>
      <c r="G127" s="84"/>
      <c r="H127" s="84"/>
      <c r="I127" s="84"/>
      <c r="J127" s="84"/>
      <c r="K127" s="84"/>
      <c r="L127" s="84"/>
      <c r="M127" s="84"/>
      <c r="N127" s="84"/>
      <c r="O127" s="359" t="s">
        <v>2068</v>
      </c>
      <c r="P127" s="360" t="s">
        <v>2131</v>
      </c>
      <c r="Q127" s="362" t="s">
        <v>2132</v>
      </c>
      <c r="R127" s="361">
        <v>2081.6999999999998</v>
      </c>
      <c r="S127" s="361">
        <v>10.87</v>
      </c>
      <c r="T127" s="84"/>
      <c r="U127" s="359" t="s">
        <v>1132</v>
      </c>
      <c r="V127" s="362">
        <v>652</v>
      </c>
      <c r="W127" s="360" t="s">
        <v>1138</v>
      </c>
      <c r="X127" s="356">
        <v>0.85</v>
      </c>
    </row>
    <row r="128" spans="3:24" hidden="1">
      <c r="C128" s="257"/>
      <c r="D128" s="84" t="s">
        <v>1947</v>
      </c>
      <c r="E128" s="361" t="s">
        <v>411</v>
      </c>
      <c r="F128" s="361">
        <v>284.08</v>
      </c>
      <c r="G128" s="84"/>
      <c r="H128" s="84"/>
      <c r="I128" s="84"/>
      <c r="J128" s="84"/>
      <c r="K128" s="84"/>
      <c r="L128" s="84"/>
      <c r="M128" s="84"/>
      <c r="N128" s="84"/>
      <c r="O128" s="359" t="s">
        <v>2068</v>
      </c>
      <c r="P128" s="360" t="s">
        <v>2133</v>
      </c>
      <c r="Q128" s="362" t="s">
        <v>2134</v>
      </c>
      <c r="R128" s="361">
        <v>521.70000000000005</v>
      </c>
      <c r="S128" s="361">
        <v>10.87</v>
      </c>
      <c r="T128" s="84"/>
      <c r="U128" s="359" t="s">
        <v>1132</v>
      </c>
      <c r="V128" s="362">
        <v>655</v>
      </c>
      <c r="W128" s="360" t="s">
        <v>1139</v>
      </c>
      <c r="X128" s="356">
        <v>4.78</v>
      </c>
    </row>
    <row r="129" spans="3:24" hidden="1">
      <c r="C129" s="257"/>
      <c r="D129" s="84" t="s">
        <v>1948</v>
      </c>
      <c r="E129" s="361" t="s">
        <v>554</v>
      </c>
      <c r="F129" s="361">
        <v>98.86</v>
      </c>
      <c r="G129" s="84"/>
      <c r="H129" s="84"/>
      <c r="I129" s="84"/>
      <c r="J129" s="84"/>
      <c r="K129" s="84"/>
      <c r="L129" s="84"/>
      <c r="M129" s="84"/>
      <c r="N129" s="84"/>
      <c r="O129" s="359" t="s">
        <v>2068</v>
      </c>
      <c r="P129" s="360" t="s">
        <v>2135</v>
      </c>
      <c r="Q129" s="362" t="s">
        <v>2136</v>
      </c>
      <c r="R129" s="361">
        <v>2084.3000000000002</v>
      </c>
      <c r="S129" s="361">
        <v>10.87</v>
      </c>
      <c r="T129" s="84"/>
      <c r="U129" s="359" t="s">
        <v>1132</v>
      </c>
      <c r="V129" s="362">
        <v>659</v>
      </c>
      <c r="W129" s="360" t="s">
        <v>1140</v>
      </c>
      <c r="X129" s="356">
        <v>15.9</v>
      </c>
    </row>
    <row r="130" spans="3:24" hidden="1">
      <c r="C130" s="257"/>
      <c r="D130" s="84" t="s">
        <v>1949</v>
      </c>
      <c r="E130" s="361" t="s">
        <v>412</v>
      </c>
      <c r="F130" s="361">
        <v>198.85</v>
      </c>
      <c r="G130" s="84"/>
      <c r="H130" s="84"/>
      <c r="I130" s="84"/>
      <c r="J130" s="84"/>
      <c r="K130" s="84"/>
      <c r="L130" s="84"/>
      <c r="M130" s="84"/>
      <c r="N130" s="84"/>
      <c r="O130" s="359" t="s">
        <v>2068</v>
      </c>
      <c r="P130" s="360" t="s">
        <v>2137</v>
      </c>
      <c r="Q130" s="362" t="s">
        <v>2138</v>
      </c>
      <c r="R130" s="361">
        <v>1042.83</v>
      </c>
      <c r="S130" s="361">
        <v>10.87</v>
      </c>
      <c r="T130" s="84"/>
      <c r="U130" s="359" t="s">
        <v>1132</v>
      </c>
      <c r="V130" s="362">
        <v>936</v>
      </c>
      <c r="W130" s="360" t="s">
        <v>1141</v>
      </c>
      <c r="X130" s="356">
        <v>0.7</v>
      </c>
    </row>
    <row r="131" spans="3:24" hidden="1">
      <c r="C131" s="257"/>
      <c r="D131" s="84" t="s">
        <v>1950</v>
      </c>
      <c r="E131" s="361" t="s">
        <v>1734</v>
      </c>
      <c r="F131" s="361">
        <v>2416.5</v>
      </c>
      <c r="G131" s="84"/>
      <c r="H131" s="84"/>
      <c r="I131" s="84"/>
      <c r="J131" s="84"/>
      <c r="K131" s="84"/>
      <c r="L131" s="84"/>
      <c r="M131" s="84"/>
      <c r="N131" s="84"/>
      <c r="O131" s="359" t="s">
        <v>2068</v>
      </c>
      <c r="P131" s="360" t="s">
        <v>2139</v>
      </c>
      <c r="Q131" s="362" t="s">
        <v>2140</v>
      </c>
      <c r="R131" s="361">
        <v>1041.7</v>
      </c>
      <c r="S131" s="361">
        <v>10.87</v>
      </c>
      <c r="T131" s="84"/>
      <c r="U131" s="359" t="s">
        <v>1132</v>
      </c>
      <c r="V131" s="362">
        <v>938</v>
      </c>
      <c r="W131" s="360" t="s">
        <v>1142</v>
      </c>
      <c r="X131" s="356">
        <v>3.19</v>
      </c>
    </row>
    <row r="132" spans="3:24" hidden="1">
      <c r="C132" s="257"/>
      <c r="D132" s="84" t="s">
        <v>1951</v>
      </c>
      <c r="E132" s="361" t="s">
        <v>1735</v>
      </c>
      <c r="F132" s="361">
        <v>2054.0300000000002</v>
      </c>
      <c r="G132" s="84"/>
      <c r="H132" s="84"/>
      <c r="I132" s="84"/>
      <c r="J132" s="84"/>
      <c r="K132" s="84"/>
      <c r="L132" s="84"/>
      <c r="M132" s="84"/>
      <c r="N132" s="84"/>
      <c r="O132" s="359" t="s">
        <v>383</v>
      </c>
      <c r="P132" s="360" t="s">
        <v>2141</v>
      </c>
      <c r="Q132" s="362" t="s">
        <v>2142</v>
      </c>
      <c r="R132" s="361">
        <v>297.29000000000002</v>
      </c>
      <c r="S132" s="361">
        <v>10.87</v>
      </c>
      <c r="T132" s="84"/>
      <c r="U132" s="359" t="s">
        <v>1132</v>
      </c>
      <c r="V132" s="362">
        <v>1129</v>
      </c>
      <c r="W132" s="360" t="s">
        <v>1143</v>
      </c>
      <c r="X132" s="361">
        <v>1.61</v>
      </c>
    </row>
    <row r="133" spans="3:24" hidden="1">
      <c r="C133" s="257"/>
      <c r="D133" s="84" t="s">
        <v>1952</v>
      </c>
      <c r="E133" s="361" t="s">
        <v>1736</v>
      </c>
      <c r="F133" s="361">
        <v>4833</v>
      </c>
      <c r="G133" s="84"/>
      <c r="H133" s="84"/>
      <c r="I133" s="84"/>
      <c r="J133" s="84"/>
      <c r="K133" s="84"/>
      <c r="L133" s="84"/>
      <c r="M133" s="84"/>
      <c r="N133" s="84"/>
      <c r="O133" s="359"/>
      <c r="P133" s="360" t="s">
        <v>2143</v>
      </c>
      <c r="Q133" s="389" t="s">
        <v>131</v>
      </c>
      <c r="R133" s="361"/>
      <c r="S133" s="361"/>
      <c r="T133" s="84"/>
      <c r="U133" s="359" t="s">
        <v>1132</v>
      </c>
      <c r="V133" s="362" t="s">
        <v>1144</v>
      </c>
      <c r="W133" s="360" t="s">
        <v>1145</v>
      </c>
      <c r="X133" s="361">
        <v>0.35</v>
      </c>
    </row>
    <row r="134" spans="3:24" hidden="1">
      <c r="C134" s="257"/>
      <c r="D134" s="84" t="s">
        <v>1953</v>
      </c>
      <c r="E134" s="361" t="s">
        <v>1737</v>
      </c>
      <c r="F134" s="361">
        <v>5074.6499999999996</v>
      </c>
      <c r="G134" s="84"/>
      <c r="H134" s="84"/>
      <c r="I134" s="84"/>
      <c r="J134" s="84"/>
      <c r="K134" s="84"/>
      <c r="L134" s="84"/>
      <c r="M134" s="84"/>
      <c r="N134" s="84"/>
      <c r="O134" s="359" t="s">
        <v>2068</v>
      </c>
      <c r="P134" s="360" t="s">
        <v>2581</v>
      </c>
      <c r="Q134" s="362" t="s">
        <v>2146</v>
      </c>
      <c r="R134" s="361">
        <v>1545.18</v>
      </c>
      <c r="S134" s="361">
        <v>1448.33</v>
      </c>
      <c r="T134" s="84"/>
      <c r="U134" s="359" t="s">
        <v>1132</v>
      </c>
      <c r="V134" s="362" t="s">
        <v>1146</v>
      </c>
      <c r="W134" s="360" t="s">
        <v>1147</v>
      </c>
      <c r="X134" s="361">
        <v>0.46</v>
      </c>
    </row>
    <row r="135" spans="3:24" hidden="1">
      <c r="C135" s="257"/>
      <c r="D135" s="84" t="s">
        <v>1954</v>
      </c>
      <c r="E135" s="361" t="s">
        <v>1738</v>
      </c>
      <c r="F135" s="361">
        <v>2899.8</v>
      </c>
      <c r="G135" s="84"/>
      <c r="H135" s="84"/>
      <c r="I135" s="84"/>
      <c r="J135" s="84"/>
      <c r="K135" s="84"/>
      <c r="L135" s="84"/>
      <c r="M135" s="84"/>
      <c r="N135" s="84"/>
      <c r="O135" s="359" t="s">
        <v>2068</v>
      </c>
      <c r="P135" s="360" t="s">
        <v>2582</v>
      </c>
      <c r="Q135" s="362" t="s">
        <v>2147</v>
      </c>
      <c r="R135" s="361">
        <v>2175.75</v>
      </c>
      <c r="S135" s="361">
        <v>1448.33</v>
      </c>
      <c r="T135" s="84"/>
      <c r="U135" s="359" t="s">
        <v>1132</v>
      </c>
      <c r="V135" s="362" t="s">
        <v>1148</v>
      </c>
      <c r="W135" s="360" t="s">
        <v>1149</v>
      </c>
      <c r="X135" s="361">
        <v>4.75</v>
      </c>
    </row>
    <row r="136" spans="3:24" hidden="1">
      <c r="C136" s="257"/>
      <c r="D136" s="84" t="s">
        <v>1955</v>
      </c>
      <c r="E136" s="361" t="s">
        <v>1739</v>
      </c>
      <c r="F136" s="361">
        <v>2658.15</v>
      </c>
      <c r="G136" s="84"/>
      <c r="H136" s="84"/>
      <c r="I136" s="84"/>
      <c r="J136" s="84"/>
      <c r="K136" s="84"/>
      <c r="L136" s="84"/>
      <c r="M136" s="84"/>
      <c r="N136" s="84"/>
      <c r="O136" s="359" t="s">
        <v>2068</v>
      </c>
      <c r="P136" s="360" t="s">
        <v>2583</v>
      </c>
      <c r="Q136" s="362" t="s">
        <v>2148</v>
      </c>
      <c r="R136" s="361">
        <v>1747.59</v>
      </c>
      <c r="S136" s="361">
        <v>1448.33</v>
      </c>
      <c r="T136" s="84"/>
      <c r="U136" s="359" t="s">
        <v>1132</v>
      </c>
      <c r="V136" s="362" t="s">
        <v>1150</v>
      </c>
      <c r="W136" s="360" t="s">
        <v>1151</v>
      </c>
      <c r="X136" s="361">
        <v>0.73</v>
      </c>
    </row>
    <row r="137" spans="3:24" hidden="1">
      <c r="C137" s="257"/>
      <c r="D137" s="84" t="s">
        <v>1956</v>
      </c>
      <c r="E137" s="361" t="s">
        <v>236</v>
      </c>
      <c r="F137" s="361">
        <v>193.45</v>
      </c>
      <c r="G137" s="84"/>
      <c r="H137" s="84"/>
      <c r="I137" s="84"/>
      <c r="J137" s="84"/>
      <c r="K137" s="84"/>
      <c r="L137" s="84"/>
      <c r="M137" s="84"/>
      <c r="N137" s="84"/>
      <c r="O137" s="359" t="s">
        <v>2068</v>
      </c>
      <c r="P137" s="360" t="s">
        <v>2584</v>
      </c>
      <c r="Q137" s="362" t="s">
        <v>2149</v>
      </c>
      <c r="R137" s="361">
        <v>2387.59</v>
      </c>
      <c r="S137" s="361">
        <v>1448.33</v>
      </c>
      <c r="T137" s="84"/>
      <c r="U137" s="359" t="s">
        <v>1132</v>
      </c>
      <c r="V137" s="362" t="s">
        <v>1152</v>
      </c>
      <c r="W137" s="360" t="s">
        <v>1153</v>
      </c>
      <c r="X137" s="361">
        <v>5.63</v>
      </c>
    </row>
    <row r="138" spans="3:24" hidden="1">
      <c r="C138" s="257"/>
      <c r="D138" s="84" t="s">
        <v>1957</v>
      </c>
      <c r="E138" s="361" t="s">
        <v>237</v>
      </c>
      <c r="F138" s="361">
        <v>221.08</v>
      </c>
      <c r="G138" s="84"/>
      <c r="H138" s="84"/>
      <c r="I138" s="84"/>
      <c r="J138" s="84"/>
      <c r="K138" s="84"/>
      <c r="L138" s="84"/>
      <c r="M138" s="84"/>
      <c r="N138" s="84"/>
      <c r="O138" s="359" t="s">
        <v>2068</v>
      </c>
      <c r="P138" s="360" t="s">
        <v>2666</v>
      </c>
      <c r="Q138" s="362" t="s">
        <v>2663</v>
      </c>
      <c r="R138" s="361">
        <v>3277.87</v>
      </c>
      <c r="S138" s="361">
        <v>1448.33</v>
      </c>
      <c r="T138" s="84"/>
      <c r="U138" s="359" t="s">
        <v>1132</v>
      </c>
      <c r="V138" s="362" t="s">
        <v>1154</v>
      </c>
      <c r="W138" s="360" t="s">
        <v>1155</v>
      </c>
      <c r="X138" s="361">
        <v>8.11</v>
      </c>
    </row>
    <row r="139" spans="3:24" hidden="1">
      <c r="C139" s="257"/>
      <c r="D139" s="84" t="s">
        <v>1958</v>
      </c>
      <c r="E139" s="361" t="s">
        <v>220</v>
      </c>
      <c r="F139" s="361">
        <v>165.81</v>
      </c>
      <c r="G139" s="84"/>
      <c r="H139" s="84"/>
      <c r="I139" s="84"/>
      <c r="J139" s="84"/>
      <c r="K139" s="84"/>
      <c r="L139" s="84"/>
      <c r="M139" s="84"/>
      <c r="N139" s="84"/>
      <c r="O139" s="359" t="s">
        <v>2068</v>
      </c>
      <c r="P139" s="360" t="s">
        <v>2586</v>
      </c>
      <c r="Q139" s="362" t="s">
        <v>2585</v>
      </c>
      <c r="R139" s="361">
        <v>3562.2799999999997</v>
      </c>
      <c r="S139" s="361">
        <v>1448.33</v>
      </c>
      <c r="T139" s="84"/>
      <c r="U139" s="359" t="s">
        <v>1132</v>
      </c>
      <c r="V139" s="362" t="s">
        <v>1156</v>
      </c>
      <c r="W139" s="360" t="s">
        <v>1157</v>
      </c>
      <c r="X139" s="361">
        <v>3.66</v>
      </c>
    </row>
    <row r="140" spans="3:24" hidden="1">
      <c r="C140" s="257"/>
      <c r="D140" s="84" t="s">
        <v>1959</v>
      </c>
      <c r="E140" s="361" t="s">
        <v>221</v>
      </c>
      <c r="F140" s="361">
        <v>82.91</v>
      </c>
      <c r="G140" s="84"/>
      <c r="H140" s="84"/>
      <c r="I140" s="84"/>
      <c r="J140" s="84"/>
      <c r="K140" s="84"/>
      <c r="L140" s="84"/>
      <c r="M140" s="84"/>
      <c r="N140" s="84"/>
      <c r="O140" s="359" t="s">
        <v>2068</v>
      </c>
      <c r="P140" s="360" t="s">
        <v>2150</v>
      </c>
      <c r="Q140" s="362" t="s">
        <v>2151</v>
      </c>
      <c r="R140" s="361">
        <v>2511.25</v>
      </c>
      <c r="S140" s="361">
        <v>1448.33</v>
      </c>
      <c r="T140" s="84"/>
      <c r="U140" s="359" t="s">
        <v>1158</v>
      </c>
      <c r="V140" s="362">
        <v>1692</v>
      </c>
      <c r="W140" s="360" t="s">
        <v>1159</v>
      </c>
      <c r="X140" s="356">
        <v>34.119999999999997</v>
      </c>
    </row>
    <row r="141" spans="3:24" hidden="1">
      <c r="E141" s="84"/>
      <c r="F141" s="84"/>
      <c r="G141" s="84"/>
      <c r="H141" s="84"/>
      <c r="I141" s="84"/>
      <c r="J141" s="84"/>
      <c r="K141" s="84"/>
      <c r="L141" s="84"/>
      <c r="M141" s="84"/>
      <c r="N141" s="84"/>
      <c r="O141" s="359" t="s">
        <v>2068</v>
      </c>
      <c r="P141" s="360" t="s">
        <v>2152</v>
      </c>
      <c r="Q141" s="362" t="s">
        <v>2153</v>
      </c>
      <c r="R141" s="361">
        <v>5053.25</v>
      </c>
      <c r="S141" s="361">
        <v>1851.94</v>
      </c>
      <c r="T141" s="84"/>
      <c r="U141" s="359" t="s">
        <v>1160</v>
      </c>
      <c r="V141" s="362" t="s">
        <v>1161</v>
      </c>
      <c r="W141" s="360" t="s">
        <v>1162</v>
      </c>
      <c r="X141" s="356">
        <v>7.38</v>
      </c>
    </row>
    <row r="142" spans="3:24" hidden="1">
      <c r="E142" s="328" t="s">
        <v>1978</v>
      </c>
      <c r="F142" s="329"/>
      <c r="G142" s="84"/>
      <c r="H142" s="84"/>
      <c r="I142" s="84"/>
      <c r="J142" s="84"/>
      <c r="K142" s="84"/>
      <c r="L142" s="84"/>
      <c r="M142" s="84"/>
      <c r="N142" s="84"/>
      <c r="O142" s="359" t="s">
        <v>2068</v>
      </c>
      <c r="P142" s="360" t="s">
        <v>2154</v>
      </c>
      <c r="Q142" s="362" t="s">
        <v>2153</v>
      </c>
      <c r="R142" s="361">
        <v>6333.25</v>
      </c>
      <c r="S142" s="361">
        <v>1851.94</v>
      </c>
      <c r="T142" s="84"/>
      <c r="U142" s="359" t="s">
        <v>1160</v>
      </c>
      <c r="V142" s="362" t="s">
        <v>1163</v>
      </c>
      <c r="W142" s="360" t="s">
        <v>1717</v>
      </c>
      <c r="X142" s="356">
        <v>8.65</v>
      </c>
    </row>
    <row r="143" spans="3:24" hidden="1">
      <c r="E143" s="365" t="s">
        <v>1979</v>
      </c>
      <c r="F143" s="366">
        <v>347.22</v>
      </c>
      <c r="G143" s="84"/>
      <c r="H143" s="84"/>
      <c r="I143" s="84"/>
      <c r="J143" s="84"/>
      <c r="K143" s="84"/>
      <c r="L143" s="84"/>
      <c r="M143" s="84"/>
      <c r="N143" s="84"/>
      <c r="O143" s="359" t="s">
        <v>2068</v>
      </c>
      <c r="P143" s="360" t="s">
        <v>2155</v>
      </c>
      <c r="Q143" s="362" t="s">
        <v>2156</v>
      </c>
      <c r="R143" s="361">
        <v>5053.25</v>
      </c>
      <c r="S143" s="361">
        <v>1851.94</v>
      </c>
      <c r="T143" s="84"/>
      <c r="U143" s="359" t="s">
        <v>1160</v>
      </c>
      <c r="V143" s="362" t="s">
        <v>1164</v>
      </c>
      <c r="W143" s="360" t="s">
        <v>1718</v>
      </c>
      <c r="X143" s="356">
        <v>55.47</v>
      </c>
    </row>
    <row r="144" spans="3:24" hidden="1">
      <c r="E144" s="365" t="s">
        <v>1980</v>
      </c>
      <c r="F144" s="366">
        <v>347.22</v>
      </c>
      <c r="G144" s="84"/>
      <c r="H144" s="84"/>
      <c r="I144" s="84"/>
      <c r="J144" s="84"/>
      <c r="K144" s="84"/>
      <c r="L144" s="84"/>
      <c r="M144" s="84"/>
      <c r="N144" s="84"/>
      <c r="O144" s="359" t="s">
        <v>2068</v>
      </c>
      <c r="P144" s="360" t="s">
        <v>2157</v>
      </c>
      <c r="Q144" s="362" t="s">
        <v>2158</v>
      </c>
      <c r="R144" s="361">
        <v>6333.25</v>
      </c>
      <c r="S144" s="361">
        <v>1851.94</v>
      </c>
      <c r="T144" s="84"/>
      <c r="U144" s="359" t="s">
        <v>1165</v>
      </c>
      <c r="V144" s="362" t="s">
        <v>1166</v>
      </c>
      <c r="W144" s="360" t="s">
        <v>1167</v>
      </c>
      <c r="X144" s="361">
        <v>7.32</v>
      </c>
    </row>
    <row r="145" spans="5:24" hidden="1">
      <c r="E145" s="365" t="s">
        <v>1983</v>
      </c>
      <c r="F145" s="366">
        <v>372.86</v>
      </c>
      <c r="G145" s="84"/>
      <c r="H145" s="84"/>
      <c r="I145" s="84"/>
      <c r="J145" s="84"/>
      <c r="K145" s="84"/>
      <c r="L145" s="84"/>
      <c r="M145" s="84"/>
      <c r="N145" s="84"/>
      <c r="O145" s="359" t="s">
        <v>2068</v>
      </c>
      <c r="P145" s="360" t="s">
        <v>2144</v>
      </c>
      <c r="Q145" s="362" t="s">
        <v>2145</v>
      </c>
      <c r="R145" s="361">
        <v>13381.060000000001</v>
      </c>
      <c r="S145" s="361">
        <v>1851.94</v>
      </c>
      <c r="T145" s="84"/>
      <c r="U145" s="359" t="s">
        <v>1165</v>
      </c>
      <c r="V145" s="362" t="s">
        <v>1052</v>
      </c>
      <c r="W145" s="360" t="s">
        <v>1168</v>
      </c>
      <c r="X145" s="361">
        <v>11.11</v>
      </c>
    </row>
    <row r="146" spans="5:24" hidden="1">
      <c r="E146" s="365" t="s">
        <v>1981</v>
      </c>
      <c r="F146" s="366">
        <v>372.86</v>
      </c>
      <c r="G146" s="84"/>
      <c r="H146" s="84"/>
      <c r="I146" s="84"/>
      <c r="J146" s="84"/>
      <c r="K146" s="84"/>
      <c r="L146" s="84"/>
      <c r="M146" s="84"/>
      <c r="N146" s="84"/>
      <c r="O146" s="359" t="s">
        <v>2068</v>
      </c>
      <c r="P146" s="360" t="s">
        <v>2159</v>
      </c>
      <c r="Q146" s="362" t="s">
        <v>2160</v>
      </c>
      <c r="R146" s="361">
        <v>19930</v>
      </c>
      <c r="S146" s="361">
        <v>1851.94</v>
      </c>
      <c r="T146" s="84"/>
      <c r="U146" s="359" t="s">
        <v>1165</v>
      </c>
      <c r="V146" s="362" t="s">
        <v>1169</v>
      </c>
      <c r="W146" s="360" t="s">
        <v>1170</v>
      </c>
      <c r="X146" s="361">
        <v>6.17</v>
      </c>
    </row>
    <row r="147" spans="5:24" hidden="1">
      <c r="E147" s="365" t="s">
        <v>1984</v>
      </c>
      <c r="F147" s="366">
        <v>1534.4</v>
      </c>
      <c r="G147" s="84"/>
      <c r="H147" s="84"/>
      <c r="I147" s="84"/>
      <c r="J147" s="84"/>
      <c r="K147" s="84"/>
      <c r="L147" s="84"/>
      <c r="M147" s="84"/>
      <c r="N147" s="84"/>
      <c r="O147" s="359" t="s">
        <v>2068</v>
      </c>
      <c r="P147" s="360" t="s">
        <v>2161</v>
      </c>
      <c r="Q147" s="362" t="s">
        <v>2162</v>
      </c>
      <c r="R147" s="361">
        <v>373.3</v>
      </c>
      <c r="S147" s="361">
        <v>138.38999999999999</v>
      </c>
      <c r="T147" s="84"/>
      <c r="U147" s="359" t="s">
        <v>1165</v>
      </c>
      <c r="V147" s="362" t="s">
        <v>1171</v>
      </c>
      <c r="W147" s="360" t="s">
        <v>1172</v>
      </c>
      <c r="X147" s="361">
        <v>1.74</v>
      </c>
    </row>
    <row r="148" spans="5:24" hidden="1">
      <c r="E148" s="365" t="s">
        <v>1982</v>
      </c>
      <c r="F148" s="366">
        <v>1534.4</v>
      </c>
      <c r="G148" s="84"/>
      <c r="H148" s="84"/>
      <c r="I148" s="84"/>
      <c r="J148" s="84"/>
      <c r="K148" s="84"/>
      <c r="L148" s="84"/>
      <c r="M148" s="84"/>
      <c r="N148" s="84"/>
      <c r="O148" s="359" t="s">
        <v>2068</v>
      </c>
      <c r="P148" s="360" t="s">
        <v>2163</v>
      </c>
      <c r="Q148" s="362" t="s">
        <v>2164</v>
      </c>
      <c r="R148" s="361">
        <v>1042.21</v>
      </c>
      <c r="S148" s="361">
        <v>138.38999999999999</v>
      </c>
      <c r="T148" s="84"/>
      <c r="U148" s="359" t="s">
        <v>1173</v>
      </c>
      <c r="V148" s="362" t="s">
        <v>1174</v>
      </c>
      <c r="W148" s="360" t="s">
        <v>1175</v>
      </c>
      <c r="X148" s="361">
        <v>1.38</v>
      </c>
    </row>
    <row r="149" spans="5:24" hidden="1">
      <c r="E149" s="84"/>
      <c r="F149" s="84"/>
      <c r="G149" s="84"/>
      <c r="H149" s="84"/>
      <c r="I149" s="84"/>
      <c r="J149" s="84"/>
      <c r="K149" s="84"/>
      <c r="L149" s="84"/>
      <c r="M149" s="84"/>
      <c r="N149" s="84"/>
      <c r="O149" s="359" t="s">
        <v>2068</v>
      </c>
      <c r="P149" s="360" t="s">
        <v>2165</v>
      </c>
      <c r="Q149" s="362" t="s">
        <v>2166</v>
      </c>
      <c r="R149" s="361">
        <v>476.12</v>
      </c>
      <c r="S149" s="361">
        <v>138.38999999999999</v>
      </c>
      <c r="T149" s="84"/>
      <c r="U149" s="359" t="s">
        <v>1176</v>
      </c>
      <c r="V149" s="362" t="s">
        <v>1177</v>
      </c>
      <c r="W149" s="360" t="s">
        <v>1178</v>
      </c>
      <c r="X149" s="361">
        <v>1.01</v>
      </c>
    </row>
    <row r="150" spans="5:24" hidden="1">
      <c r="E150" s="84"/>
      <c r="F150" s="84"/>
      <c r="G150" s="84"/>
      <c r="H150" s="84"/>
      <c r="I150" s="84"/>
      <c r="J150" s="84"/>
      <c r="K150" s="84"/>
      <c r="L150" s="84"/>
      <c r="M150" s="84"/>
      <c r="N150" s="84"/>
      <c r="O150" s="359" t="s">
        <v>2068</v>
      </c>
      <c r="P150" s="360" t="s">
        <v>2167</v>
      </c>
      <c r="Q150" s="362" t="s">
        <v>2168</v>
      </c>
      <c r="R150" s="361">
        <v>4411.8</v>
      </c>
      <c r="S150" s="361">
        <v>138.38999999999999</v>
      </c>
      <c r="T150" s="84"/>
      <c r="U150" s="359" t="s">
        <v>1176</v>
      </c>
      <c r="V150" s="362" t="s">
        <v>1179</v>
      </c>
      <c r="W150" s="360" t="s">
        <v>1180</v>
      </c>
      <c r="X150" s="361">
        <v>2.82</v>
      </c>
    </row>
    <row r="151" spans="5:24" hidden="1">
      <c r="E151" s="84"/>
      <c r="F151" s="84"/>
      <c r="G151" s="84"/>
      <c r="H151" s="84"/>
      <c r="I151" s="84"/>
      <c r="J151" s="84"/>
      <c r="K151" s="84"/>
      <c r="L151" s="84"/>
      <c r="M151" s="84"/>
      <c r="N151" s="84"/>
      <c r="O151" s="359" t="s">
        <v>2068</v>
      </c>
      <c r="P151" s="360" t="s">
        <v>2169</v>
      </c>
      <c r="Q151" s="362" t="s">
        <v>2170</v>
      </c>
      <c r="R151" s="361">
        <v>744</v>
      </c>
      <c r="S151" s="361">
        <v>134.44</v>
      </c>
      <c r="T151" s="84"/>
      <c r="U151" s="359" t="s">
        <v>1176</v>
      </c>
      <c r="V151" s="362" t="s">
        <v>1181</v>
      </c>
      <c r="W151" s="360" t="s">
        <v>1182</v>
      </c>
      <c r="X151" s="361">
        <v>4.0999999999999996</v>
      </c>
    </row>
    <row r="152" spans="5:24" hidden="1">
      <c r="E152" s="84"/>
      <c r="F152" s="84"/>
      <c r="G152" s="84"/>
      <c r="H152" s="84"/>
      <c r="I152" s="84"/>
      <c r="J152" s="84"/>
      <c r="K152" s="84"/>
      <c r="L152" s="84"/>
      <c r="M152" s="84"/>
      <c r="N152" s="84"/>
      <c r="O152" s="359" t="s">
        <v>2068</v>
      </c>
      <c r="P152" s="360" t="s">
        <v>2171</v>
      </c>
      <c r="Q152" s="362" t="s">
        <v>2172</v>
      </c>
      <c r="R152" s="361">
        <v>1703.7599999999998</v>
      </c>
      <c r="S152" s="361">
        <v>134.44</v>
      </c>
      <c r="T152" s="84"/>
      <c r="U152" s="359" t="s">
        <v>1176</v>
      </c>
      <c r="V152" s="362" t="s">
        <v>1183</v>
      </c>
      <c r="W152" s="360" t="s">
        <v>1184</v>
      </c>
      <c r="X152" s="361">
        <v>0.53</v>
      </c>
    </row>
    <row r="153" spans="5:24" hidden="1">
      <c r="E153" s="84"/>
      <c r="F153" s="84"/>
      <c r="G153" s="84"/>
      <c r="H153" s="84"/>
      <c r="I153" s="84"/>
      <c r="J153" s="84"/>
      <c r="K153" s="84"/>
      <c r="L153" s="84"/>
      <c r="M153" s="84"/>
      <c r="N153" s="84"/>
      <c r="O153" s="359" t="s">
        <v>2068</v>
      </c>
      <c r="P153" s="360" t="s">
        <v>2173</v>
      </c>
      <c r="Q153" s="362" t="s">
        <v>2174</v>
      </c>
      <c r="R153" s="361">
        <v>2376.14</v>
      </c>
      <c r="S153" s="361">
        <v>134.44</v>
      </c>
      <c r="T153" s="84"/>
      <c r="U153" s="359" t="s">
        <v>1176</v>
      </c>
      <c r="V153" s="362" t="s">
        <v>1185</v>
      </c>
      <c r="W153" s="360" t="s">
        <v>1186</v>
      </c>
      <c r="X153" s="361">
        <v>2.5</v>
      </c>
    </row>
    <row r="154" spans="5:24" hidden="1">
      <c r="E154" s="84"/>
      <c r="F154" s="84"/>
      <c r="G154" s="84"/>
      <c r="H154" s="84"/>
      <c r="I154" s="84"/>
      <c r="J154" s="84"/>
      <c r="K154" s="84"/>
      <c r="L154" s="84"/>
      <c r="M154" s="84"/>
      <c r="N154" s="84"/>
      <c r="O154" s="359" t="s">
        <v>383</v>
      </c>
      <c r="P154" s="360" t="s">
        <v>2175</v>
      </c>
      <c r="Q154" s="362" t="s">
        <v>2176</v>
      </c>
      <c r="R154" s="361">
        <v>1057.8900000000001</v>
      </c>
      <c r="S154" s="361">
        <v>1215.78</v>
      </c>
      <c r="T154" s="84"/>
      <c r="U154" s="359" t="s">
        <v>1187</v>
      </c>
      <c r="V154" s="362">
        <v>31059</v>
      </c>
      <c r="W154" s="360" t="s">
        <v>1188</v>
      </c>
      <c r="X154" s="361">
        <v>0.08</v>
      </c>
    </row>
    <row r="155" spans="5:24" hidden="1">
      <c r="E155" s="84"/>
      <c r="F155" s="84"/>
      <c r="G155" s="84"/>
      <c r="H155" s="84"/>
      <c r="I155" s="84"/>
      <c r="J155" s="84"/>
      <c r="K155" s="84"/>
      <c r="L155" s="84"/>
      <c r="M155" s="84"/>
      <c r="N155" s="84"/>
      <c r="O155" s="359" t="s">
        <v>383</v>
      </c>
      <c r="P155" s="360" t="s">
        <v>2177</v>
      </c>
      <c r="Q155" s="362" t="s">
        <v>2178</v>
      </c>
      <c r="R155" s="361">
        <v>8328.48</v>
      </c>
      <c r="S155" s="361">
        <v>1434.24</v>
      </c>
      <c r="T155" s="84"/>
      <c r="U155" s="359" t="s">
        <v>1187</v>
      </c>
      <c r="V155" s="362">
        <v>1171832</v>
      </c>
      <c r="W155" s="360" t="s">
        <v>1189</v>
      </c>
      <c r="X155" s="361">
        <v>0.08</v>
      </c>
    </row>
    <row r="156" spans="5:24" hidden="1">
      <c r="E156" s="84"/>
      <c r="F156" s="84"/>
      <c r="G156" s="84"/>
      <c r="H156" s="84"/>
      <c r="I156" s="84"/>
      <c r="J156" s="84"/>
      <c r="K156" s="84"/>
      <c r="L156" s="84"/>
      <c r="M156" s="84"/>
      <c r="N156" s="84"/>
      <c r="O156" s="359" t="s">
        <v>383</v>
      </c>
      <c r="P156" s="360" t="s">
        <v>2179</v>
      </c>
      <c r="Q156" s="362" t="s">
        <v>2180</v>
      </c>
      <c r="R156" s="361">
        <v>12410.83</v>
      </c>
      <c r="S156" s="361">
        <v>1434.24</v>
      </c>
      <c r="T156" s="84"/>
      <c r="U156" s="359" t="s">
        <v>1187</v>
      </c>
      <c r="V156" s="362">
        <v>3116823</v>
      </c>
      <c r="W156" s="360" t="s">
        <v>1190</v>
      </c>
      <c r="X156" s="361">
        <v>0.22</v>
      </c>
    </row>
    <row r="157" spans="5:24" hidden="1">
      <c r="E157" s="84"/>
      <c r="F157" s="84"/>
      <c r="G157" s="84"/>
      <c r="H157" s="84"/>
      <c r="I157" s="84"/>
      <c r="J157" s="84"/>
      <c r="K157" s="84"/>
      <c r="L157" s="84"/>
      <c r="M157" s="84"/>
      <c r="N157" s="84"/>
      <c r="O157" s="359" t="s">
        <v>383</v>
      </c>
      <c r="P157" s="360" t="s">
        <v>2181</v>
      </c>
      <c r="Q157" s="362" t="s">
        <v>2182</v>
      </c>
      <c r="R157" s="361">
        <v>17377.5</v>
      </c>
      <c r="S157" s="361">
        <v>1434.24</v>
      </c>
      <c r="T157" s="84"/>
      <c r="U157" s="359" t="s">
        <v>1187</v>
      </c>
      <c r="V157" s="362">
        <v>11544410</v>
      </c>
      <c r="W157" s="360" t="s">
        <v>1191</v>
      </c>
      <c r="X157" s="361">
        <v>0.24</v>
      </c>
    </row>
    <row r="158" spans="5:24" hidden="1">
      <c r="E158" s="84"/>
      <c r="F158" s="84"/>
      <c r="G158" s="84"/>
      <c r="H158" s="84"/>
      <c r="I158" s="84"/>
      <c r="J158" s="84"/>
      <c r="K158" s="84"/>
      <c r="L158" s="84"/>
      <c r="M158" s="84"/>
      <c r="N158" s="84"/>
      <c r="O158" s="359" t="s">
        <v>383</v>
      </c>
      <c r="P158" s="360" t="s">
        <v>2183</v>
      </c>
      <c r="Q158" s="362" t="s">
        <v>2184</v>
      </c>
      <c r="R158" s="361">
        <v>14884.41</v>
      </c>
      <c r="S158" s="361">
        <v>138.38999999999999</v>
      </c>
      <c r="T158" s="84"/>
      <c r="U158" s="359" t="s">
        <v>1719</v>
      </c>
      <c r="V158" s="362" t="s">
        <v>1192</v>
      </c>
      <c r="W158" s="360" t="s">
        <v>1720</v>
      </c>
      <c r="X158" s="361">
        <v>124</v>
      </c>
    </row>
    <row r="159" spans="5:24" hidden="1">
      <c r="E159" s="84"/>
      <c r="F159" s="84"/>
      <c r="G159" s="84"/>
      <c r="H159" s="84"/>
      <c r="I159" s="84"/>
      <c r="J159" s="84"/>
      <c r="K159" s="84"/>
      <c r="L159" s="84"/>
      <c r="M159" s="84"/>
      <c r="N159" s="84"/>
      <c r="O159" s="359" t="s">
        <v>383</v>
      </c>
      <c r="P159" s="360" t="s">
        <v>2185</v>
      </c>
      <c r="Q159" s="362" t="s">
        <v>2186</v>
      </c>
      <c r="R159" s="361">
        <v>2484.41</v>
      </c>
      <c r="S159" s="361">
        <v>138.38999999999999</v>
      </c>
      <c r="T159" s="84"/>
      <c r="U159" s="359" t="s">
        <v>1193</v>
      </c>
      <c r="V159" s="362">
        <v>45501</v>
      </c>
      <c r="W159" s="360" t="s">
        <v>1194</v>
      </c>
      <c r="X159" s="361">
        <v>5.15</v>
      </c>
    </row>
    <row r="160" spans="5:24" hidden="1">
      <c r="E160" s="84"/>
      <c r="F160" s="84"/>
      <c r="G160" s="84"/>
      <c r="H160" s="84"/>
      <c r="I160" s="84"/>
      <c r="J160" s="84"/>
      <c r="K160" s="84"/>
      <c r="L160" s="84"/>
      <c r="M160" s="84"/>
      <c r="N160" s="84"/>
      <c r="O160" s="359" t="s">
        <v>383</v>
      </c>
      <c r="P160" s="360" t="s">
        <v>2187</v>
      </c>
      <c r="Q160" s="362" t="s">
        <v>2188</v>
      </c>
      <c r="R160" s="361">
        <v>8239.91</v>
      </c>
      <c r="S160" s="361">
        <v>138.38999999999999</v>
      </c>
      <c r="T160" s="84"/>
      <c r="U160" s="359" t="s">
        <v>1193</v>
      </c>
      <c r="V160" s="362">
        <v>47921</v>
      </c>
      <c r="W160" s="360" t="s">
        <v>1195</v>
      </c>
      <c r="X160" s="361">
        <v>0.78</v>
      </c>
    </row>
    <row r="161" spans="5:24" hidden="1">
      <c r="E161" s="84"/>
      <c r="F161" s="84"/>
      <c r="G161" s="84"/>
      <c r="H161" s="84"/>
      <c r="I161" s="84"/>
      <c r="J161" s="84"/>
      <c r="K161" s="84"/>
      <c r="L161" s="84"/>
      <c r="M161" s="84"/>
      <c r="N161" s="84"/>
      <c r="O161" s="359" t="s">
        <v>383</v>
      </c>
      <c r="P161" s="360" t="s">
        <v>2189</v>
      </c>
      <c r="Q161" s="362" t="s">
        <v>2190</v>
      </c>
      <c r="R161" s="361">
        <v>6592.41</v>
      </c>
      <c r="S161" s="361">
        <v>138.38999999999999</v>
      </c>
      <c r="T161" s="84"/>
      <c r="U161" s="359" t="s">
        <v>1193</v>
      </c>
      <c r="V161" s="362">
        <v>49326</v>
      </c>
      <c r="W161" s="360" t="s">
        <v>1196</v>
      </c>
      <c r="X161" s="361">
        <v>1.82</v>
      </c>
    </row>
    <row r="162" spans="5:24" hidden="1">
      <c r="E162" s="84"/>
      <c r="F162" s="84"/>
      <c r="G162" s="84"/>
      <c r="H162" s="84"/>
      <c r="I162" s="84"/>
      <c r="J162" s="84"/>
      <c r="K162" s="84"/>
      <c r="L162" s="84"/>
      <c r="M162" s="84"/>
      <c r="N162" s="84"/>
      <c r="O162" s="359" t="s">
        <v>383</v>
      </c>
      <c r="P162" s="360" t="s">
        <v>2191</v>
      </c>
      <c r="Q162" s="362" t="s">
        <v>2192</v>
      </c>
      <c r="R162" s="361">
        <v>1864.3</v>
      </c>
      <c r="S162" s="361">
        <v>138.38999999999999</v>
      </c>
      <c r="T162" s="84"/>
      <c r="U162" s="359" t="s">
        <v>1197</v>
      </c>
      <c r="V162" s="362" t="s">
        <v>1198</v>
      </c>
      <c r="W162" s="360" t="s">
        <v>1199</v>
      </c>
      <c r="X162" s="361">
        <v>17.07</v>
      </c>
    </row>
    <row r="163" spans="5:24" hidden="1">
      <c r="E163" s="84"/>
      <c r="F163" s="84"/>
      <c r="G163" s="84"/>
      <c r="H163" s="84"/>
      <c r="I163" s="84"/>
      <c r="J163" s="84"/>
      <c r="K163" s="84"/>
      <c r="L163" s="84"/>
      <c r="M163" s="84"/>
      <c r="N163" s="84"/>
      <c r="O163" s="359" t="s">
        <v>383</v>
      </c>
      <c r="P163" s="360" t="s">
        <v>2193</v>
      </c>
      <c r="Q163" s="362" t="s">
        <v>2194</v>
      </c>
      <c r="R163" s="361">
        <v>9924.41</v>
      </c>
      <c r="S163" s="361">
        <v>138.38999999999999</v>
      </c>
      <c r="T163" s="84"/>
      <c r="U163" s="359" t="s">
        <v>1200</v>
      </c>
      <c r="V163" s="362" t="s">
        <v>1201</v>
      </c>
      <c r="W163" s="360" t="s">
        <v>1202</v>
      </c>
      <c r="X163" s="361">
        <v>207.49</v>
      </c>
    </row>
    <row r="164" spans="5:24" hidden="1">
      <c r="E164" s="84"/>
      <c r="F164" s="84"/>
      <c r="G164" s="84"/>
      <c r="H164" s="84"/>
      <c r="I164" s="84"/>
      <c r="J164" s="84"/>
      <c r="K164" s="84"/>
      <c r="L164" s="84"/>
      <c r="M164" s="84"/>
      <c r="N164" s="84"/>
      <c r="O164" s="359" t="s">
        <v>383</v>
      </c>
      <c r="P164" s="360" t="s">
        <v>2195</v>
      </c>
      <c r="Q164" s="362" t="s">
        <v>2196</v>
      </c>
      <c r="R164" s="361">
        <v>12404.41</v>
      </c>
      <c r="S164" s="361">
        <v>138.38999999999999</v>
      </c>
      <c r="T164" s="84"/>
      <c r="U164" s="359" t="s">
        <v>1203</v>
      </c>
      <c r="V164" s="362" t="s">
        <v>1204</v>
      </c>
      <c r="W164" s="360" t="s">
        <v>1205</v>
      </c>
      <c r="X164" s="361">
        <v>0.16</v>
      </c>
    </row>
    <row r="165" spans="5:24" hidden="1">
      <c r="E165" s="84"/>
      <c r="F165" s="84"/>
      <c r="G165" s="84"/>
      <c r="H165" s="84"/>
      <c r="I165" s="84"/>
      <c r="J165" s="84"/>
      <c r="K165" s="84"/>
      <c r="L165" s="84"/>
      <c r="M165" s="84"/>
      <c r="N165" s="84"/>
      <c r="O165" s="359" t="s">
        <v>383</v>
      </c>
      <c r="P165" s="360" t="s">
        <v>2197</v>
      </c>
      <c r="Q165" s="362" t="s">
        <v>2198</v>
      </c>
      <c r="R165" s="361">
        <v>562.41</v>
      </c>
      <c r="S165" s="361">
        <v>54.34</v>
      </c>
      <c r="T165" s="84"/>
      <c r="U165" s="359" t="s">
        <v>1203</v>
      </c>
      <c r="V165" s="362" t="s">
        <v>1206</v>
      </c>
      <c r="W165" s="360" t="s">
        <v>1207</v>
      </c>
      <c r="X165" s="361">
        <v>5.17</v>
      </c>
    </row>
    <row r="166" spans="5:24" hidden="1">
      <c r="E166" s="84"/>
      <c r="F166" s="84"/>
      <c r="G166" s="84"/>
      <c r="H166" s="84"/>
      <c r="I166" s="84"/>
      <c r="J166" s="84"/>
      <c r="K166" s="84"/>
      <c r="L166" s="84"/>
      <c r="M166" s="84"/>
      <c r="N166" s="84"/>
      <c r="O166" s="359" t="s">
        <v>383</v>
      </c>
      <c r="P166" s="360" t="s">
        <v>2199</v>
      </c>
      <c r="Q166" s="361" t="s">
        <v>2462</v>
      </c>
      <c r="R166" s="361"/>
      <c r="S166" s="361"/>
      <c r="T166" s="84"/>
      <c r="U166" s="359" t="s">
        <v>1203</v>
      </c>
      <c r="V166" s="362" t="s">
        <v>1208</v>
      </c>
      <c r="W166" s="360" t="s">
        <v>1209</v>
      </c>
      <c r="X166" s="361">
        <v>0.57999999999999996</v>
      </c>
    </row>
    <row r="167" spans="5:24" hidden="1">
      <c r="E167" s="84"/>
      <c r="F167" s="84"/>
      <c r="G167" s="84"/>
      <c r="H167" s="84"/>
      <c r="I167" s="84"/>
      <c r="J167" s="84"/>
      <c r="K167" s="84"/>
      <c r="L167" s="84"/>
      <c r="M167" s="84"/>
      <c r="N167" s="84"/>
      <c r="O167" s="359" t="s">
        <v>383</v>
      </c>
      <c r="P167" s="360" t="s">
        <v>2680</v>
      </c>
      <c r="Q167" s="362" t="s">
        <v>2200</v>
      </c>
      <c r="R167" s="361">
        <v>103.46</v>
      </c>
      <c r="S167" s="361"/>
      <c r="T167" s="84"/>
      <c r="U167" s="359" t="s">
        <v>1203</v>
      </c>
      <c r="V167" s="362" t="s">
        <v>1210</v>
      </c>
      <c r="W167" s="360" t="s">
        <v>1211</v>
      </c>
      <c r="X167" s="356">
        <v>0.59</v>
      </c>
    </row>
    <row r="168" spans="5:24" hidden="1">
      <c r="E168" s="84"/>
      <c r="F168" s="84"/>
      <c r="G168" s="84"/>
      <c r="H168" s="84"/>
      <c r="I168" s="84"/>
      <c r="J168" s="84"/>
      <c r="K168" s="84"/>
      <c r="L168" s="84"/>
      <c r="M168" s="84"/>
      <c r="N168" s="84"/>
      <c r="O168" s="359" t="s">
        <v>383</v>
      </c>
      <c r="P168" s="360" t="s">
        <v>2681</v>
      </c>
      <c r="Q168" s="362" t="s">
        <v>2201</v>
      </c>
      <c r="R168" s="361">
        <v>811.54</v>
      </c>
      <c r="S168" s="361"/>
      <c r="T168" s="84"/>
      <c r="U168" s="359" t="s">
        <v>1212</v>
      </c>
      <c r="V168" s="362" t="s">
        <v>1213</v>
      </c>
      <c r="W168" s="360" t="s">
        <v>1214</v>
      </c>
      <c r="X168" s="361">
        <v>2.77</v>
      </c>
    </row>
    <row r="169" spans="5:24" hidden="1">
      <c r="E169" s="84"/>
      <c r="F169" s="84"/>
      <c r="G169" s="84"/>
      <c r="H169" s="84"/>
      <c r="I169" s="84"/>
      <c r="J169" s="84"/>
      <c r="K169" s="84"/>
      <c r="L169" s="84"/>
      <c r="M169" s="84"/>
      <c r="N169" s="84"/>
      <c r="O169" s="359" t="s">
        <v>383</v>
      </c>
      <c r="P169" s="360" t="s">
        <v>2682</v>
      </c>
      <c r="Q169" s="362" t="s">
        <v>2202</v>
      </c>
      <c r="R169" s="361">
        <v>1106.98</v>
      </c>
      <c r="S169" s="361"/>
      <c r="T169" s="84"/>
      <c r="U169" s="359" t="s">
        <v>1215</v>
      </c>
      <c r="V169" s="362" t="s">
        <v>1216</v>
      </c>
      <c r="W169" s="360" t="s">
        <v>1217</v>
      </c>
      <c r="X169" s="361">
        <v>32.659999999999997</v>
      </c>
    </row>
    <row r="170" spans="5:24" hidden="1">
      <c r="E170" s="84"/>
      <c r="F170" s="84"/>
      <c r="G170" s="84"/>
      <c r="H170" s="84"/>
      <c r="I170" s="84"/>
      <c r="J170" s="84"/>
      <c r="K170" s="84"/>
      <c r="L170" s="84"/>
      <c r="M170" s="84"/>
      <c r="N170" s="84"/>
      <c r="O170" s="359" t="s">
        <v>383</v>
      </c>
      <c r="P170" s="360" t="s">
        <v>2683</v>
      </c>
      <c r="Q170" s="362" t="s">
        <v>2203</v>
      </c>
      <c r="R170" s="361">
        <v>2069.13</v>
      </c>
      <c r="S170" s="361"/>
      <c r="T170" s="84"/>
      <c r="U170" s="359" t="s">
        <v>1721</v>
      </c>
      <c r="V170" s="362" t="s">
        <v>1218</v>
      </c>
      <c r="W170" s="360" t="s">
        <v>1722</v>
      </c>
      <c r="X170" s="361">
        <v>5.72</v>
      </c>
    </row>
    <row r="171" spans="5:24" hidden="1">
      <c r="E171" s="84"/>
      <c r="F171" s="84"/>
      <c r="G171" s="84"/>
      <c r="H171" s="84"/>
      <c r="I171" s="84"/>
      <c r="J171" s="84"/>
      <c r="K171" s="84"/>
      <c r="L171" s="84"/>
      <c r="M171" s="84"/>
      <c r="N171" s="84"/>
      <c r="O171" s="359" t="s">
        <v>383</v>
      </c>
      <c r="P171" s="360" t="s">
        <v>2684</v>
      </c>
      <c r="Q171" s="362" t="s">
        <v>2204</v>
      </c>
      <c r="R171" s="361">
        <v>743</v>
      </c>
      <c r="S171" s="361"/>
      <c r="T171" s="84"/>
      <c r="U171" s="359" t="s">
        <v>1219</v>
      </c>
      <c r="V171" s="362">
        <v>26272</v>
      </c>
      <c r="W171" s="360" t="s">
        <v>1220</v>
      </c>
      <c r="X171" s="361">
        <v>3.09</v>
      </c>
    </row>
    <row r="172" spans="5:24" hidden="1">
      <c r="E172" s="84"/>
      <c r="F172" s="84"/>
      <c r="G172" s="84"/>
      <c r="H172" s="84"/>
      <c r="I172" s="84"/>
      <c r="J172" s="84"/>
      <c r="K172" s="84"/>
      <c r="L172" s="84"/>
      <c r="M172" s="84"/>
      <c r="N172" s="84"/>
      <c r="O172" s="359" t="s">
        <v>383</v>
      </c>
      <c r="P172" s="360" t="s">
        <v>2685</v>
      </c>
      <c r="Q172" s="362" t="s">
        <v>2205</v>
      </c>
      <c r="R172" s="361">
        <v>743</v>
      </c>
      <c r="S172" s="361"/>
      <c r="T172" s="84"/>
      <c r="U172" s="359" t="s">
        <v>1219</v>
      </c>
      <c r="V172" s="362">
        <v>26282</v>
      </c>
      <c r="W172" s="360" t="s">
        <v>1221</v>
      </c>
      <c r="X172" s="361">
        <v>4.63</v>
      </c>
    </row>
    <row r="173" spans="5:24" hidden="1">
      <c r="E173" s="84"/>
      <c r="F173" s="84"/>
      <c r="G173" s="84"/>
      <c r="H173" s="84"/>
      <c r="I173" s="84"/>
      <c r="J173" s="84"/>
      <c r="K173" s="84"/>
      <c r="L173" s="84"/>
      <c r="M173" s="84"/>
      <c r="N173" s="84"/>
      <c r="O173" s="359" t="s">
        <v>383</v>
      </c>
      <c r="P173" s="360" t="s">
        <v>2686</v>
      </c>
      <c r="Q173" s="362" t="s">
        <v>2206</v>
      </c>
      <c r="R173" s="361">
        <v>1335.53</v>
      </c>
      <c r="S173" s="361"/>
      <c r="T173" s="84"/>
      <c r="U173" s="359" t="s">
        <v>1222</v>
      </c>
      <c r="V173" s="362" t="s">
        <v>1223</v>
      </c>
      <c r="W173" s="360" t="s">
        <v>1224</v>
      </c>
      <c r="X173" s="361">
        <v>15.76</v>
      </c>
    </row>
    <row r="174" spans="5:24" hidden="1">
      <c r="E174" s="84"/>
      <c r="F174" s="84"/>
      <c r="G174" s="84"/>
      <c r="H174" s="84"/>
      <c r="I174" s="84"/>
      <c r="J174" s="84"/>
      <c r="K174" s="84"/>
      <c r="L174" s="84"/>
      <c r="M174" s="84"/>
      <c r="N174" s="84"/>
      <c r="O174" s="359" t="s">
        <v>383</v>
      </c>
      <c r="P174" s="360" t="s">
        <v>2687</v>
      </c>
      <c r="Q174" s="362" t="s">
        <v>2207</v>
      </c>
      <c r="R174" s="361">
        <v>1468.17</v>
      </c>
      <c r="S174" s="361"/>
      <c r="T174" s="84"/>
      <c r="U174" s="359" t="s">
        <v>1225</v>
      </c>
      <c r="V174" s="362" t="s">
        <v>1226</v>
      </c>
      <c r="W174" s="360" t="s">
        <v>1227</v>
      </c>
      <c r="X174" s="361">
        <v>11.92</v>
      </c>
    </row>
    <row r="175" spans="5:24" hidden="1">
      <c r="E175" s="84"/>
      <c r="F175" s="84"/>
      <c r="G175" s="84"/>
      <c r="H175" s="84"/>
      <c r="I175" s="84"/>
      <c r="J175" s="84"/>
      <c r="K175" s="84"/>
      <c r="L175" s="84"/>
      <c r="M175" s="84"/>
      <c r="N175" s="84"/>
      <c r="O175" s="359"/>
      <c r="P175" s="360" t="s">
        <v>246</v>
      </c>
      <c r="Q175" s="389" t="s">
        <v>131</v>
      </c>
      <c r="R175" s="361"/>
      <c r="S175" s="361"/>
      <c r="T175" s="84"/>
      <c r="U175" s="359" t="s">
        <v>1228</v>
      </c>
      <c r="V175" s="362">
        <v>829304</v>
      </c>
      <c r="W175" s="360" t="s">
        <v>1229</v>
      </c>
      <c r="X175" s="361">
        <v>0.11</v>
      </c>
    </row>
    <row r="176" spans="5:24" hidden="1">
      <c r="E176" s="84"/>
      <c r="F176" s="84"/>
      <c r="G176" s="84"/>
      <c r="H176" s="84"/>
      <c r="I176" s="84"/>
      <c r="J176" s="84"/>
      <c r="K176" s="84"/>
      <c r="L176" s="84"/>
      <c r="M176" s="84"/>
      <c r="N176" s="84"/>
      <c r="O176" s="359" t="s">
        <v>1834</v>
      </c>
      <c r="P176" s="360" t="s">
        <v>2208</v>
      </c>
      <c r="Q176" s="362" t="s">
        <v>58</v>
      </c>
      <c r="R176" s="361">
        <v>185.25</v>
      </c>
      <c r="S176" s="361">
        <v>40</v>
      </c>
      <c r="T176" s="84"/>
      <c r="U176" s="359" t="s">
        <v>1228</v>
      </c>
      <c r="V176" s="362">
        <v>830626</v>
      </c>
      <c r="W176" s="360" t="s">
        <v>1230</v>
      </c>
      <c r="X176" s="361">
        <v>0.11</v>
      </c>
    </row>
    <row r="177" spans="5:24" hidden="1">
      <c r="E177" s="84"/>
      <c r="F177" s="84"/>
      <c r="G177" s="84"/>
      <c r="H177" s="84"/>
      <c r="I177" s="84"/>
      <c r="J177" s="84"/>
      <c r="K177" s="84"/>
      <c r="L177" s="84"/>
      <c r="M177" s="84"/>
      <c r="N177" s="84"/>
      <c r="O177" s="359" t="s">
        <v>1834</v>
      </c>
      <c r="P177" s="360" t="s">
        <v>2209</v>
      </c>
      <c r="Q177" s="362" t="s">
        <v>217</v>
      </c>
      <c r="R177" s="361">
        <v>165.49</v>
      </c>
      <c r="S177" s="361">
        <v>40</v>
      </c>
      <c r="T177" s="84"/>
      <c r="U177" s="359" t="s">
        <v>1228</v>
      </c>
      <c r="V177" s="362">
        <v>8110566</v>
      </c>
      <c r="W177" s="360" t="s">
        <v>1231</v>
      </c>
      <c r="X177" s="361">
        <v>0.04</v>
      </c>
    </row>
    <row r="178" spans="5:24" hidden="1">
      <c r="E178" s="84"/>
      <c r="F178" s="84"/>
      <c r="G178" s="84"/>
      <c r="H178" s="84"/>
      <c r="I178" s="84"/>
      <c r="J178" s="84"/>
      <c r="K178" s="84"/>
      <c r="L178" s="84"/>
      <c r="M178" s="84"/>
      <c r="N178" s="84"/>
      <c r="O178" s="359" t="s">
        <v>1834</v>
      </c>
      <c r="P178" s="360" t="s">
        <v>2210</v>
      </c>
      <c r="Q178" s="362" t="s">
        <v>247</v>
      </c>
      <c r="R178" s="361">
        <v>161.85</v>
      </c>
      <c r="S178" s="361">
        <v>40</v>
      </c>
      <c r="T178" s="84"/>
      <c r="U178" s="359" t="s">
        <v>1232</v>
      </c>
      <c r="V178" s="362" t="s">
        <v>1233</v>
      </c>
      <c r="W178" s="360" t="s">
        <v>1234</v>
      </c>
      <c r="X178" s="361">
        <v>96.22</v>
      </c>
    </row>
    <row r="179" spans="5:24" hidden="1">
      <c r="E179" s="84"/>
      <c r="F179" s="84"/>
      <c r="G179" s="84"/>
      <c r="H179" s="84"/>
      <c r="I179" s="84"/>
      <c r="J179" s="84"/>
      <c r="K179" s="84"/>
      <c r="L179" s="84"/>
      <c r="M179" s="84"/>
      <c r="N179" s="84"/>
      <c r="O179" s="359" t="s">
        <v>1834</v>
      </c>
      <c r="P179" s="360" t="s">
        <v>2211</v>
      </c>
      <c r="Q179" s="362" t="s">
        <v>216</v>
      </c>
      <c r="R179" s="361">
        <v>169.14</v>
      </c>
      <c r="S179" s="361">
        <v>40</v>
      </c>
      <c r="T179" s="84"/>
      <c r="U179" s="359" t="s">
        <v>1232</v>
      </c>
      <c r="V179" s="362" t="s">
        <v>1235</v>
      </c>
      <c r="W179" s="360" t="s">
        <v>1236</v>
      </c>
      <c r="X179" s="361">
        <v>17.489999999999998</v>
      </c>
    </row>
    <row r="180" spans="5:24" hidden="1">
      <c r="E180" s="84"/>
      <c r="F180" s="84"/>
      <c r="G180" s="84"/>
      <c r="H180" s="84"/>
      <c r="I180" s="84"/>
      <c r="J180" s="84"/>
      <c r="K180" s="84"/>
      <c r="L180" s="84"/>
      <c r="M180" s="84"/>
      <c r="N180" s="84"/>
      <c r="O180" s="359" t="s">
        <v>1834</v>
      </c>
      <c r="P180" s="360" t="s">
        <v>2212</v>
      </c>
      <c r="Q180" s="362" t="s">
        <v>57</v>
      </c>
      <c r="R180" s="361">
        <v>155.09</v>
      </c>
      <c r="S180" s="361">
        <v>40</v>
      </c>
      <c r="T180" s="84"/>
      <c r="U180" s="359" t="s">
        <v>1232</v>
      </c>
      <c r="V180" s="362" t="s">
        <v>1237</v>
      </c>
      <c r="W180" s="360" t="s">
        <v>1238</v>
      </c>
      <c r="X180" s="361">
        <v>25.29</v>
      </c>
    </row>
    <row r="181" spans="5:24" hidden="1">
      <c r="E181" s="84"/>
      <c r="F181" s="84"/>
      <c r="G181" s="84"/>
      <c r="H181" s="84"/>
      <c r="I181" s="84"/>
      <c r="J181" s="84"/>
      <c r="K181" s="84"/>
      <c r="L181" s="84"/>
      <c r="M181" s="84"/>
      <c r="N181" s="84"/>
      <c r="O181" s="359" t="s">
        <v>1834</v>
      </c>
      <c r="P181" s="360" t="s">
        <v>2213</v>
      </c>
      <c r="Q181" s="362" t="s">
        <v>218</v>
      </c>
      <c r="R181" s="361">
        <v>44.86</v>
      </c>
      <c r="S181" s="361">
        <v>40</v>
      </c>
      <c r="T181" s="84"/>
      <c r="U181" s="359" t="s">
        <v>1232</v>
      </c>
      <c r="V181" s="362" t="s">
        <v>1239</v>
      </c>
      <c r="W181" s="360" t="s">
        <v>1240</v>
      </c>
      <c r="X181" s="361">
        <v>24.4</v>
      </c>
    </row>
    <row r="182" spans="5:24" hidden="1">
      <c r="E182" s="84"/>
      <c r="F182" s="84"/>
      <c r="G182" s="84"/>
      <c r="H182" s="84"/>
      <c r="I182" s="84"/>
      <c r="J182" s="84"/>
      <c r="K182" s="84"/>
      <c r="L182" s="84"/>
      <c r="M182" s="84"/>
      <c r="N182" s="84"/>
      <c r="O182" s="359" t="s">
        <v>1834</v>
      </c>
      <c r="P182" s="360" t="s">
        <v>2214</v>
      </c>
      <c r="Q182" s="362" t="s">
        <v>59</v>
      </c>
      <c r="R182" s="361">
        <v>25.2</v>
      </c>
      <c r="S182" s="361"/>
      <c r="T182" s="84"/>
      <c r="U182" s="359" t="s">
        <v>1241</v>
      </c>
      <c r="V182" s="362">
        <v>309961</v>
      </c>
      <c r="W182" s="360" t="s">
        <v>1242</v>
      </c>
      <c r="X182" s="361">
        <v>43.22</v>
      </c>
    </row>
    <row r="183" spans="5:24" hidden="1">
      <c r="E183" s="84"/>
      <c r="F183" s="84"/>
      <c r="G183" s="84"/>
      <c r="H183" s="84"/>
      <c r="I183" s="84"/>
      <c r="J183" s="84"/>
      <c r="K183" s="84"/>
      <c r="L183" s="84"/>
      <c r="M183" s="84"/>
      <c r="N183" s="84"/>
      <c r="O183" s="359"/>
      <c r="P183" s="360" t="s">
        <v>2215</v>
      </c>
      <c r="Q183" s="389" t="s">
        <v>131</v>
      </c>
      <c r="R183" s="361"/>
      <c r="S183" s="361"/>
      <c r="T183" s="84"/>
      <c r="U183" s="359" t="s">
        <v>1241</v>
      </c>
      <c r="V183" s="362" t="s">
        <v>1243</v>
      </c>
      <c r="W183" s="360" t="s">
        <v>1244</v>
      </c>
      <c r="X183" s="361">
        <v>22.42</v>
      </c>
    </row>
    <row r="184" spans="5:24" hidden="1">
      <c r="E184" s="84"/>
      <c r="F184" s="84"/>
      <c r="G184" s="84"/>
      <c r="H184" s="84"/>
      <c r="I184" s="84"/>
      <c r="J184" s="84"/>
      <c r="K184" s="84"/>
      <c r="L184" s="84"/>
      <c r="M184" s="84"/>
      <c r="N184" s="84"/>
      <c r="O184" s="359" t="s">
        <v>2216</v>
      </c>
      <c r="P184" s="360" t="s">
        <v>2217</v>
      </c>
      <c r="Q184" s="362" t="s">
        <v>2218</v>
      </c>
      <c r="R184" s="361">
        <v>160.65</v>
      </c>
      <c r="S184" s="361"/>
      <c r="T184" s="84"/>
      <c r="U184" s="359" t="s">
        <v>1241</v>
      </c>
      <c r="V184" s="362" t="s">
        <v>1245</v>
      </c>
      <c r="W184" s="360" t="s">
        <v>1246</v>
      </c>
      <c r="X184" s="361">
        <v>48.5</v>
      </c>
    </row>
    <row r="185" spans="5:24" hidden="1">
      <c r="E185" s="84"/>
      <c r="F185" s="84"/>
      <c r="G185" s="84"/>
      <c r="H185" s="84"/>
      <c r="I185" s="84"/>
      <c r="J185" s="84"/>
      <c r="K185" s="84"/>
      <c r="L185" s="84"/>
      <c r="M185" s="84"/>
      <c r="N185" s="84"/>
      <c r="O185" s="359" t="s">
        <v>2216</v>
      </c>
      <c r="P185" s="360" t="s">
        <v>2219</v>
      </c>
      <c r="Q185" s="362" t="s">
        <v>2220</v>
      </c>
      <c r="R185" s="361">
        <v>667.37</v>
      </c>
      <c r="S185" s="361"/>
      <c r="T185" s="84"/>
      <c r="U185" s="359" t="s">
        <v>1247</v>
      </c>
      <c r="V185" s="362">
        <v>232</v>
      </c>
      <c r="W185" s="360" t="s">
        <v>1248</v>
      </c>
      <c r="X185" s="361">
        <v>4.18</v>
      </c>
    </row>
    <row r="186" spans="5:24" hidden="1">
      <c r="E186" s="84"/>
      <c r="F186" s="84"/>
      <c r="G186" s="84"/>
      <c r="H186" s="84"/>
      <c r="I186" s="84"/>
      <c r="J186" s="84"/>
      <c r="K186" s="84"/>
      <c r="L186" s="84"/>
      <c r="M186" s="84"/>
      <c r="N186" s="84"/>
      <c r="O186" s="359" t="s">
        <v>60</v>
      </c>
      <c r="P186" s="360" t="s">
        <v>2691</v>
      </c>
      <c r="Q186" s="362" t="s">
        <v>2642</v>
      </c>
      <c r="R186" s="361">
        <v>375.17</v>
      </c>
      <c r="S186" s="361"/>
      <c r="T186" s="84"/>
      <c r="U186" s="359" t="s">
        <v>1247</v>
      </c>
      <c r="V186" s="362">
        <v>674</v>
      </c>
      <c r="W186" s="360" t="s">
        <v>1249</v>
      </c>
      <c r="X186" s="361">
        <v>4.74</v>
      </c>
    </row>
    <row r="187" spans="5:24" hidden="1">
      <c r="E187" s="84"/>
      <c r="F187" s="84"/>
      <c r="G187" s="84"/>
      <c r="H187" s="84"/>
      <c r="I187" s="84"/>
      <c r="J187" s="84"/>
      <c r="K187" s="84"/>
      <c r="L187" s="84"/>
      <c r="M187" s="84"/>
      <c r="N187" s="84"/>
      <c r="O187" s="359" t="s">
        <v>60</v>
      </c>
      <c r="P187" s="360" t="s">
        <v>2692</v>
      </c>
      <c r="Q187" s="362" t="s">
        <v>2643</v>
      </c>
      <c r="R187" s="361">
        <v>263.83</v>
      </c>
      <c r="S187" s="361"/>
      <c r="T187" s="84"/>
      <c r="U187" s="359" t="s">
        <v>1247</v>
      </c>
      <c r="V187" s="362">
        <v>752</v>
      </c>
      <c r="W187" s="360" t="s">
        <v>1250</v>
      </c>
      <c r="X187" s="361">
        <v>1.81</v>
      </c>
    </row>
    <row r="188" spans="5:24" hidden="1">
      <c r="E188" s="84"/>
      <c r="F188" s="84"/>
      <c r="G188" s="84"/>
      <c r="H188" s="84"/>
      <c r="I188" s="84"/>
      <c r="J188" s="84"/>
      <c r="K188" s="84"/>
      <c r="L188" s="84"/>
      <c r="M188" s="84"/>
      <c r="N188" s="84"/>
      <c r="O188" s="359" t="s">
        <v>60</v>
      </c>
      <c r="P188" s="360" t="s">
        <v>2221</v>
      </c>
      <c r="Q188" s="362" t="s">
        <v>2222</v>
      </c>
      <c r="R188" s="361">
        <v>1538.98</v>
      </c>
      <c r="S188" s="361"/>
      <c r="T188" s="84"/>
      <c r="U188" s="359" t="s">
        <v>1247</v>
      </c>
      <c r="V188" s="362">
        <v>2193</v>
      </c>
      <c r="W188" s="360" t="s">
        <v>1251</v>
      </c>
      <c r="X188" s="361">
        <v>5.87</v>
      </c>
    </row>
    <row r="189" spans="5:24" hidden="1">
      <c r="E189" s="84"/>
      <c r="F189" s="84"/>
      <c r="G189" s="84"/>
      <c r="H189" s="84"/>
      <c r="I189" s="84"/>
      <c r="J189" s="84"/>
      <c r="K189" s="84"/>
      <c r="L189" s="84"/>
      <c r="M189" s="84"/>
      <c r="N189" s="84"/>
      <c r="O189" s="359" t="s">
        <v>60</v>
      </c>
      <c r="P189" s="360" t="s">
        <v>2223</v>
      </c>
      <c r="Q189" s="362" t="s">
        <v>2224</v>
      </c>
      <c r="R189" s="361">
        <v>1661.9</v>
      </c>
      <c r="S189" s="361"/>
      <c r="T189" s="84"/>
      <c r="U189" s="359" t="s">
        <v>1247</v>
      </c>
      <c r="V189" s="362" t="s">
        <v>1252</v>
      </c>
      <c r="W189" s="360" t="s">
        <v>1253</v>
      </c>
      <c r="X189" s="361">
        <v>5.44</v>
      </c>
    </row>
    <row r="190" spans="5:24" hidden="1">
      <c r="E190" s="84"/>
      <c r="F190" s="84"/>
      <c r="G190" s="84"/>
      <c r="H190" s="84"/>
      <c r="I190" s="84"/>
      <c r="J190" s="84"/>
      <c r="K190" s="84"/>
      <c r="L190" s="84"/>
      <c r="M190" s="84"/>
      <c r="N190" s="84"/>
      <c r="O190" s="359" t="s">
        <v>60</v>
      </c>
      <c r="P190" s="360" t="s">
        <v>2225</v>
      </c>
      <c r="Q190" s="362" t="s">
        <v>2226</v>
      </c>
      <c r="R190" s="361">
        <v>1693.13</v>
      </c>
      <c r="S190" s="361"/>
      <c r="T190" s="84"/>
      <c r="U190" s="359" t="s">
        <v>1247</v>
      </c>
      <c r="V190" s="362" t="s">
        <v>1254</v>
      </c>
      <c r="W190" s="360" t="s">
        <v>1255</v>
      </c>
      <c r="X190" s="361">
        <v>5.42</v>
      </c>
    </row>
    <row r="191" spans="5:24" hidden="1">
      <c r="E191" s="84"/>
      <c r="F191" s="84"/>
      <c r="G191" s="84"/>
      <c r="H191" s="84"/>
      <c r="I191" s="84"/>
      <c r="J191" s="84"/>
      <c r="K191" s="84"/>
      <c r="L191" s="84"/>
      <c r="M191" s="84"/>
      <c r="N191" s="84"/>
      <c r="O191" s="359" t="s">
        <v>2227</v>
      </c>
      <c r="P191" s="360" t="s">
        <v>2228</v>
      </c>
      <c r="Q191" s="362" t="s">
        <v>2229</v>
      </c>
      <c r="R191" s="361">
        <v>4815.45</v>
      </c>
      <c r="S191" s="361"/>
      <c r="T191" s="84"/>
      <c r="U191" s="359" t="s">
        <v>1247</v>
      </c>
      <c r="V191" s="362" t="s">
        <v>1256</v>
      </c>
      <c r="W191" s="360" t="s">
        <v>1257</v>
      </c>
      <c r="X191" s="361">
        <v>2.19</v>
      </c>
    </row>
    <row r="192" spans="5:24" ht="23" hidden="1">
      <c r="E192" s="84"/>
      <c r="F192" s="84"/>
      <c r="G192" s="84"/>
      <c r="H192" s="84"/>
      <c r="I192" s="84"/>
      <c r="J192" s="84"/>
      <c r="K192" s="84"/>
      <c r="L192" s="84"/>
      <c r="M192" s="84"/>
      <c r="N192" s="84"/>
      <c r="O192" s="359" t="s">
        <v>2230</v>
      </c>
      <c r="P192" s="360" t="s">
        <v>2231</v>
      </c>
      <c r="Q192" s="362" t="s">
        <v>2232</v>
      </c>
      <c r="R192" s="361">
        <v>160.21</v>
      </c>
      <c r="S192" s="361"/>
      <c r="T192" s="84"/>
      <c r="U192" s="359" t="s">
        <v>1247</v>
      </c>
      <c r="V192" s="362" t="s">
        <v>1258</v>
      </c>
      <c r="W192" s="360" t="s">
        <v>1259</v>
      </c>
      <c r="X192" s="361">
        <v>15.48</v>
      </c>
    </row>
    <row r="193" spans="5:24" hidden="1">
      <c r="E193" s="84"/>
      <c r="F193" s="84"/>
      <c r="G193" s="84"/>
      <c r="H193" s="84"/>
      <c r="I193" s="84"/>
      <c r="J193" s="84"/>
      <c r="K193" s="84"/>
      <c r="L193" s="84"/>
      <c r="M193" s="84"/>
      <c r="N193" s="84"/>
      <c r="O193" s="359" t="s">
        <v>60</v>
      </c>
      <c r="P193" s="360" t="s">
        <v>2233</v>
      </c>
      <c r="Q193" s="362" t="s">
        <v>2234</v>
      </c>
      <c r="R193" s="361">
        <v>641.78</v>
      </c>
      <c r="S193" s="361"/>
      <c r="T193" s="84"/>
      <c r="U193" s="359" t="s">
        <v>1247</v>
      </c>
      <c r="V193" s="362" t="s">
        <v>1260</v>
      </c>
      <c r="W193" s="360" t="s">
        <v>1261</v>
      </c>
      <c r="X193" s="361">
        <v>2</v>
      </c>
    </row>
    <row r="194" spans="5:24" hidden="1">
      <c r="E194" s="84"/>
      <c r="F194" s="84"/>
      <c r="G194" s="84"/>
      <c r="H194" s="84"/>
      <c r="I194" s="84"/>
      <c r="J194" s="84"/>
      <c r="K194" s="84"/>
      <c r="L194" s="84"/>
      <c r="M194" s="84"/>
      <c r="N194" s="84"/>
      <c r="O194" s="359" t="s">
        <v>60</v>
      </c>
      <c r="P194" s="360" t="s">
        <v>2667</v>
      </c>
      <c r="Q194" s="362" t="s">
        <v>2235</v>
      </c>
      <c r="R194" s="361">
        <v>873.16</v>
      </c>
      <c r="S194" s="361"/>
      <c r="T194" s="84"/>
      <c r="U194" s="359" t="s">
        <v>1247</v>
      </c>
      <c r="V194" s="362" t="s">
        <v>1262</v>
      </c>
      <c r="W194" s="360" t="s">
        <v>1263</v>
      </c>
      <c r="X194" s="361">
        <v>7.0000000000000007E-2</v>
      </c>
    </row>
    <row r="195" spans="5:24" hidden="1">
      <c r="E195" s="84"/>
      <c r="F195" s="84"/>
      <c r="G195" s="84"/>
      <c r="H195" s="84"/>
      <c r="I195" s="84"/>
      <c r="J195" s="84"/>
      <c r="K195" s="84"/>
      <c r="L195" s="84"/>
      <c r="M195" s="84"/>
      <c r="N195" s="84"/>
      <c r="O195" s="359" t="s">
        <v>60</v>
      </c>
      <c r="P195" s="360" t="s">
        <v>2236</v>
      </c>
      <c r="Q195" s="362" t="s">
        <v>2237</v>
      </c>
      <c r="R195" s="361">
        <v>1136.3599999999999</v>
      </c>
      <c r="S195" s="361"/>
      <c r="T195" s="84"/>
      <c r="U195" s="359" t="s">
        <v>1247</v>
      </c>
      <c r="V195" s="362" t="s">
        <v>1264</v>
      </c>
      <c r="W195" s="360" t="s">
        <v>1265</v>
      </c>
      <c r="X195" s="361">
        <v>0.4</v>
      </c>
    </row>
    <row r="196" spans="5:24" hidden="1">
      <c r="E196" s="84"/>
      <c r="F196" s="84"/>
      <c r="G196" s="84"/>
      <c r="H196" s="84"/>
      <c r="I196" s="84"/>
      <c r="J196" s="84"/>
      <c r="K196" s="84"/>
      <c r="L196" s="84"/>
      <c r="M196" s="84"/>
      <c r="N196" s="84"/>
      <c r="O196" s="359" t="s">
        <v>60</v>
      </c>
      <c r="P196" s="360" t="s">
        <v>2238</v>
      </c>
      <c r="Q196" s="362" t="s">
        <v>2239</v>
      </c>
      <c r="R196" s="361">
        <v>1847.56</v>
      </c>
      <c r="S196" s="361"/>
      <c r="T196" s="84"/>
      <c r="U196" s="359" t="s">
        <v>1247</v>
      </c>
      <c r="V196" s="362" t="s">
        <v>1266</v>
      </c>
      <c r="W196" s="360" t="s">
        <v>1267</v>
      </c>
      <c r="X196" s="361">
        <v>3.67</v>
      </c>
    </row>
    <row r="197" spans="5:24" hidden="1">
      <c r="E197" s="84"/>
      <c r="F197" s="84"/>
      <c r="G197" s="84"/>
      <c r="H197" s="84"/>
      <c r="I197" s="84"/>
      <c r="J197" s="84"/>
      <c r="K197" s="84"/>
      <c r="L197" s="84"/>
      <c r="M197" s="84"/>
      <c r="N197" s="84"/>
      <c r="O197" s="359" t="s">
        <v>60</v>
      </c>
      <c r="P197" s="360" t="s">
        <v>2447</v>
      </c>
      <c r="Q197" s="362" t="s">
        <v>2448</v>
      </c>
      <c r="R197" s="361">
        <v>3213.79</v>
      </c>
      <c r="S197" s="361"/>
      <c r="T197" s="84"/>
      <c r="U197" s="359" t="s">
        <v>1247</v>
      </c>
      <c r="V197" s="362" t="s">
        <v>1268</v>
      </c>
      <c r="W197" s="360" t="s">
        <v>1269</v>
      </c>
      <c r="X197" s="361">
        <v>2.12</v>
      </c>
    </row>
    <row r="198" spans="5:24" hidden="1">
      <c r="E198" s="84"/>
      <c r="F198" s="84"/>
      <c r="G198" s="84"/>
      <c r="H198" s="84"/>
      <c r="I198" s="84"/>
      <c r="J198" s="84"/>
      <c r="K198" s="84"/>
      <c r="L198" s="84"/>
      <c r="M198" s="84"/>
      <c r="N198" s="84"/>
      <c r="O198" s="359" t="s">
        <v>60</v>
      </c>
      <c r="P198" s="360" t="s">
        <v>2240</v>
      </c>
      <c r="Q198" s="362" t="s">
        <v>2241</v>
      </c>
      <c r="R198" s="361">
        <v>356.89</v>
      </c>
      <c r="S198" s="361"/>
      <c r="T198" s="84"/>
      <c r="U198" s="359" t="s">
        <v>1247</v>
      </c>
      <c r="V198" s="362" t="s">
        <v>1270</v>
      </c>
      <c r="W198" s="360" t="s">
        <v>1271</v>
      </c>
      <c r="X198" s="361">
        <v>4.95</v>
      </c>
    </row>
    <row r="199" spans="5:24" hidden="1">
      <c r="E199" s="84"/>
      <c r="F199" s="84"/>
      <c r="G199" s="84"/>
      <c r="H199" s="84"/>
      <c r="I199" s="84"/>
      <c r="J199" s="84"/>
      <c r="K199" s="84"/>
      <c r="L199" s="84"/>
      <c r="M199" s="84"/>
      <c r="N199" s="84"/>
      <c r="O199" s="359" t="s">
        <v>60</v>
      </c>
      <c r="P199" s="360" t="s">
        <v>2242</v>
      </c>
      <c r="Q199" s="362" t="s">
        <v>2243</v>
      </c>
      <c r="R199" s="361">
        <v>447.99</v>
      </c>
      <c r="S199" s="361"/>
      <c r="T199" s="84"/>
      <c r="U199" s="359" t="s">
        <v>1272</v>
      </c>
      <c r="V199" s="362">
        <v>30451</v>
      </c>
      <c r="W199" s="360" t="s">
        <v>1273</v>
      </c>
      <c r="X199" s="361">
        <v>4.5999999999999996</v>
      </c>
    </row>
    <row r="200" spans="5:24" hidden="1">
      <c r="E200" s="84"/>
      <c r="F200" s="84"/>
      <c r="G200" s="84"/>
      <c r="H200" s="84"/>
      <c r="I200" s="84"/>
      <c r="J200" s="84"/>
      <c r="K200" s="84"/>
      <c r="L200" s="84"/>
      <c r="M200" s="84"/>
      <c r="N200" s="84"/>
      <c r="O200" s="359" t="s">
        <v>2244</v>
      </c>
      <c r="P200" s="360" t="s">
        <v>2245</v>
      </c>
      <c r="Q200" s="362" t="s">
        <v>2246</v>
      </c>
      <c r="R200" s="361">
        <v>1543.73</v>
      </c>
      <c r="S200" s="361"/>
      <c r="T200" s="84"/>
      <c r="U200" s="359" t="s">
        <v>1272</v>
      </c>
      <c r="V200" s="362">
        <v>30452</v>
      </c>
      <c r="W200" s="360" t="s">
        <v>1274</v>
      </c>
      <c r="X200" s="361">
        <v>4.63</v>
      </c>
    </row>
    <row r="201" spans="5:24" hidden="1">
      <c r="E201" s="84"/>
      <c r="F201" s="84"/>
      <c r="G201" s="84"/>
      <c r="H201" s="84"/>
      <c r="I201" s="84"/>
      <c r="J201" s="84"/>
      <c r="K201" s="84"/>
      <c r="L201" s="84"/>
      <c r="M201" s="84"/>
      <c r="N201" s="84"/>
      <c r="O201" s="359" t="s">
        <v>2247</v>
      </c>
      <c r="P201" s="360" t="s">
        <v>2248</v>
      </c>
      <c r="Q201" s="362" t="s">
        <v>2249</v>
      </c>
      <c r="R201" s="361">
        <v>441.5</v>
      </c>
      <c r="S201" s="361"/>
      <c r="T201" s="84"/>
      <c r="U201" s="359" t="s">
        <v>1272</v>
      </c>
      <c r="V201" s="362" t="s">
        <v>1275</v>
      </c>
      <c r="W201" s="360" t="s">
        <v>1276</v>
      </c>
      <c r="X201" s="361">
        <v>0.55000000000000004</v>
      </c>
    </row>
    <row r="202" spans="5:24" hidden="1">
      <c r="E202" s="84"/>
      <c r="F202" s="84"/>
      <c r="G202" s="84"/>
      <c r="H202" s="84"/>
      <c r="I202" s="84"/>
      <c r="J202" s="84"/>
      <c r="K202" s="84"/>
      <c r="L202" s="84"/>
      <c r="M202" s="84"/>
      <c r="N202" s="84"/>
      <c r="O202" s="359" t="s">
        <v>2250</v>
      </c>
      <c r="P202" s="360" t="s">
        <v>2251</v>
      </c>
      <c r="Q202" s="362">
        <v>35351041</v>
      </c>
      <c r="R202" s="361">
        <v>72.98</v>
      </c>
      <c r="S202" s="361"/>
      <c r="T202" s="84"/>
      <c r="U202" s="359" t="s">
        <v>1277</v>
      </c>
      <c r="V202" s="362" t="s">
        <v>1278</v>
      </c>
      <c r="W202" s="360" t="s">
        <v>1279</v>
      </c>
      <c r="X202" s="361">
        <v>3.27</v>
      </c>
    </row>
    <row r="203" spans="5:24" hidden="1">
      <c r="E203" s="84"/>
      <c r="F203" s="84"/>
      <c r="G203" s="84"/>
      <c r="H203" s="84"/>
      <c r="I203" s="84"/>
      <c r="J203" s="84"/>
      <c r="K203" s="84"/>
      <c r="L203" s="84"/>
      <c r="M203" s="84"/>
      <c r="N203" s="84"/>
      <c r="O203" s="359" t="s">
        <v>60</v>
      </c>
      <c r="P203" s="360" t="s">
        <v>2252</v>
      </c>
      <c r="Q203" s="362">
        <v>35351011</v>
      </c>
      <c r="R203" s="361">
        <v>48.79</v>
      </c>
      <c r="S203" s="361"/>
      <c r="T203" s="84"/>
      <c r="U203" s="359" t="s">
        <v>1280</v>
      </c>
      <c r="V203" s="362">
        <v>84016</v>
      </c>
      <c r="W203" s="360" t="s">
        <v>1281</v>
      </c>
      <c r="X203" s="361">
        <v>4.08</v>
      </c>
    </row>
    <row r="204" spans="5:24" hidden="1">
      <c r="E204" s="84"/>
      <c r="F204" s="84"/>
      <c r="G204" s="84"/>
      <c r="H204" s="84"/>
      <c r="I204" s="84"/>
      <c r="J204" s="84"/>
      <c r="K204" s="84"/>
      <c r="L204" s="84"/>
      <c r="M204" s="84"/>
      <c r="N204" s="84"/>
      <c r="O204" s="359" t="s">
        <v>60</v>
      </c>
      <c r="P204" s="360" t="s">
        <v>2253</v>
      </c>
      <c r="Q204" s="362">
        <v>35351051</v>
      </c>
      <c r="R204" s="361">
        <v>86.21</v>
      </c>
      <c r="S204" s="361"/>
      <c r="T204" s="84"/>
      <c r="U204" s="359" t="s">
        <v>1280</v>
      </c>
      <c r="V204" s="362">
        <v>88003</v>
      </c>
      <c r="W204" s="360" t="s">
        <v>1282</v>
      </c>
      <c r="X204" s="361">
        <v>2.16</v>
      </c>
    </row>
    <row r="205" spans="5:24" hidden="1">
      <c r="E205" s="84"/>
      <c r="F205" s="84"/>
      <c r="G205" s="84"/>
      <c r="H205" s="84"/>
      <c r="I205" s="84"/>
      <c r="J205" s="84"/>
      <c r="K205" s="84"/>
      <c r="L205" s="84"/>
      <c r="M205" s="84"/>
      <c r="N205" s="84"/>
      <c r="O205" s="359" t="s">
        <v>2008</v>
      </c>
      <c r="P205" s="360" t="s">
        <v>2587</v>
      </c>
      <c r="Q205" s="362" t="s">
        <v>2007</v>
      </c>
      <c r="R205" s="361">
        <v>718.42</v>
      </c>
      <c r="S205" s="361"/>
      <c r="T205" s="84"/>
      <c r="U205" s="359" t="s">
        <v>1280</v>
      </c>
      <c r="V205" s="362" t="s">
        <v>1283</v>
      </c>
      <c r="W205" s="360" t="s">
        <v>1284</v>
      </c>
      <c r="X205" s="361">
        <v>28.94</v>
      </c>
    </row>
    <row r="206" spans="5:24" hidden="1">
      <c r="E206" s="84"/>
      <c r="F206" s="84"/>
      <c r="G206" s="84"/>
      <c r="H206" s="84"/>
      <c r="I206" s="84"/>
      <c r="J206" s="84"/>
      <c r="K206" s="84"/>
      <c r="L206" s="84"/>
      <c r="M206" s="84"/>
      <c r="N206" s="84"/>
      <c r="O206" s="359" t="s">
        <v>2008</v>
      </c>
      <c r="P206" s="360" t="s">
        <v>2588</v>
      </c>
      <c r="Q206" s="362" t="s">
        <v>2009</v>
      </c>
      <c r="R206" s="361">
        <v>842.42</v>
      </c>
      <c r="S206" s="361"/>
      <c r="T206" s="84"/>
      <c r="U206" s="359" t="s">
        <v>1280</v>
      </c>
      <c r="V206" s="362" t="s">
        <v>1285</v>
      </c>
      <c r="W206" s="360" t="s">
        <v>1286</v>
      </c>
      <c r="X206" s="361">
        <v>10.69</v>
      </c>
    </row>
    <row r="207" spans="5:24" hidden="1">
      <c r="E207" s="84"/>
      <c r="F207" s="84"/>
      <c r="G207" s="84"/>
      <c r="H207" s="84"/>
      <c r="I207" s="84"/>
      <c r="J207" s="84"/>
      <c r="K207" s="84"/>
      <c r="L207" s="84"/>
      <c r="M207" s="84"/>
      <c r="N207" s="84"/>
      <c r="O207" s="359" t="s">
        <v>2254</v>
      </c>
      <c r="P207" s="360" t="s">
        <v>2255</v>
      </c>
      <c r="Q207" s="362" t="s">
        <v>2006</v>
      </c>
      <c r="R207" s="361">
        <v>148.78</v>
      </c>
      <c r="S207" s="361"/>
      <c r="T207" s="84"/>
      <c r="U207" s="359" t="s">
        <v>1280</v>
      </c>
      <c r="V207" s="362" t="s">
        <v>1287</v>
      </c>
      <c r="W207" s="360" t="s">
        <v>1288</v>
      </c>
      <c r="X207" s="361">
        <v>19.329999999999998</v>
      </c>
    </row>
    <row r="208" spans="5:24" hidden="1">
      <c r="E208" s="84"/>
      <c r="F208" s="84"/>
      <c r="G208" s="84"/>
      <c r="H208" s="84"/>
      <c r="I208" s="84"/>
      <c r="J208" s="84"/>
      <c r="K208" s="84"/>
      <c r="L208" s="84"/>
      <c r="M208" s="84"/>
      <c r="N208" s="84"/>
      <c r="O208" s="359" t="s">
        <v>2256</v>
      </c>
      <c r="P208" s="360" t="s">
        <v>2257</v>
      </c>
      <c r="Q208" s="362" t="s">
        <v>2258</v>
      </c>
      <c r="R208" s="361">
        <v>73.930000000000007</v>
      </c>
      <c r="S208" s="361"/>
      <c r="T208" s="84"/>
      <c r="U208" s="359" t="s">
        <v>1280</v>
      </c>
      <c r="V208" s="362" t="s">
        <v>1289</v>
      </c>
      <c r="W208" s="360" t="s">
        <v>1290</v>
      </c>
      <c r="X208" s="361">
        <v>6.4</v>
      </c>
    </row>
    <row r="209" spans="5:24" hidden="1">
      <c r="E209" s="84"/>
      <c r="F209" s="84"/>
      <c r="G209" s="84"/>
      <c r="H209" s="84"/>
      <c r="I209" s="84"/>
      <c r="J209" s="84"/>
      <c r="K209" s="84"/>
      <c r="L209" s="84"/>
      <c r="M209" s="84"/>
      <c r="N209" s="84"/>
      <c r="O209" s="359" t="s">
        <v>60</v>
      </c>
      <c r="P209" s="360" t="s">
        <v>2259</v>
      </c>
      <c r="Q209" s="362" t="s">
        <v>2260</v>
      </c>
      <c r="R209" s="361">
        <v>49.52</v>
      </c>
      <c r="S209" s="361"/>
      <c r="T209" s="84"/>
      <c r="U209" s="359" t="s">
        <v>1280</v>
      </c>
      <c r="V209" s="362" t="s">
        <v>1291</v>
      </c>
      <c r="W209" s="360" t="s">
        <v>1292</v>
      </c>
      <c r="X209" s="361">
        <v>36.01</v>
      </c>
    </row>
    <row r="210" spans="5:24" hidden="1">
      <c r="E210" s="84"/>
      <c r="F210" s="84"/>
      <c r="G210" s="84"/>
      <c r="H210" s="84"/>
      <c r="I210" s="84"/>
      <c r="J210" s="84"/>
      <c r="K210" s="84"/>
      <c r="L210" s="84"/>
      <c r="M210" s="84"/>
      <c r="N210" s="84"/>
      <c r="O210" s="359" t="s">
        <v>60</v>
      </c>
      <c r="P210" s="360" t="s">
        <v>2261</v>
      </c>
      <c r="Q210" s="362" t="s">
        <v>2262</v>
      </c>
      <c r="R210" s="361">
        <v>47.75</v>
      </c>
      <c r="S210" s="361"/>
      <c r="T210" s="84"/>
      <c r="U210" s="359" t="s">
        <v>1280</v>
      </c>
      <c r="V210" s="362" t="s">
        <v>1293</v>
      </c>
      <c r="W210" s="360" t="s">
        <v>1294</v>
      </c>
      <c r="X210" s="361">
        <v>26.3</v>
      </c>
    </row>
    <row r="211" spans="5:24" hidden="1">
      <c r="E211" s="84"/>
      <c r="F211" s="84"/>
      <c r="G211" s="84"/>
      <c r="H211" s="84"/>
      <c r="I211" s="84"/>
      <c r="J211" s="84"/>
      <c r="K211" s="84"/>
      <c r="L211" s="84"/>
      <c r="M211" s="84"/>
      <c r="N211" s="84"/>
      <c r="O211" s="359" t="s">
        <v>60</v>
      </c>
      <c r="P211" s="360" t="s">
        <v>2263</v>
      </c>
      <c r="Q211" s="362" t="s">
        <v>2264</v>
      </c>
      <c r="R211" s="361">
        <v>39.56</v>
      </c>
      <c r="S211" s="361"/>
      <c r="T211" s="84"/>
      <c r="U211" s="359" t="s">
        <v>1280</v>
      </c>
      <c r="V211" s="362" t="s">
        <v>1295</v>
      </c>
      <c r="W211" s="360" t="s">
        <v>1296</v>
      </c>
      <c r="X211" s="361">
        <v>49.64</v>
      </c>
    </row>
    <row r="212" spans="5:24" hidden="1">
      <c r="E212" s="84"/>
      <c r="F212" s="84"/>
      <c r="G212" s="84"/>
      <c r="H212" s="84"/>
      <c r="I212" s="84"/>
      <c r="J212" s="84"/>
      <c r="K212" s="84"/>
      <c r="L212" s="84"/>
      <c r="M212" s="84"/>
      <c r="N212" s="84"/>
      <c r="O212" s="359" t="s">
        <v>60</v>
      </c>
      <c r="P212" s="360" t="s">
        <v>2265</v>
      </c>
      <c r="Q212" s="362" t="s">
        <v>2266</v>
      </c>
      <c r="R212" s="361">
        <v>52.99</v>
      </c>
      <c r="S212" s="361"/>
      <c r="T212" s="84"/>
      <c r="U212" s="359" t="s">
        <v>1280</v>
      </c>
      <c r="V212" s="362" t="s">
        <v>1297</v>
      </c>
      <c r="W212" s="360" t="s">
        <v>1298</v>
      </c>
      <c r="X212" s="361">
        <v>42.97</v>
      </c>
    </row>
    <row r="213" spans="5:24" hidden="1">
      <c r="E213" s="84"/>
      <c r="F213" s="84"/>
      <c r="G213" s="84"/>
      <c r="H213" s="84"/>
      <c r="I213" s="84"/>
      <c r="J213" s="84"/>
      <c r="K213" s="84"/>
      <c r="L213" s="84"/>
      <c r="M213" s="84"/>
      <c r="N213" s="84"/>
      <c r="O213" s="359" t="s">
        <v>60</v>
      </c>
      <c r="P213" s="360" t="s">
        <v>2267</v>
      </c>
      <c r="Q213" s="362" t="s">
        <v>2268</v>
      </c>
      <c r="R213" s="361">
        <v>60.37</v>
      </c>
      <c r="S213" s="361"/>
      <c r="T213" s="84"/>
      <c r="U213" s="359" t="s">
        <v>1280</v>
      </c>
      <c r="V213" s="362" t="s">
        <v>1299</v>
      </c>
      <c r="W213" s="360" t="s">
        <v>1300</v>
      </c>
      <c r="X213" s="356">
        <v>221.01</v>
      </c>
    </row>
    <row r="214" spans="5:24" hidden="1">
      <c r="E214" s="84"/>
      <c r="F214" s="84"/>
      <c r="G214" s="84"/>
      <c r="H214" s="84"/>
      <c r="I214" s="84"/>
      <c r="J214" s="84"/>
      <c r="K214" s="84"/>
      <c r="L214" s="84"/>
      <c r="M214" s="84"/>
      <c r="N214" s="84"/>
      <c r="O214" s="359" t="s">
        <v>60</v>
      </c>
      <c r="P214" s="360" t="s">
        <v>2269</v>
      </c>
      <c r="Q214" s="362" t="s">
        <v>2270</v>
      </c>
      <c r="R214" s="361">
        <v>91.36</v>
      </c>
      <c r="S214" s="361"/>
      <c r="T214" s="84"/>
      <c r="U214" s="359" t="s">
        <v>1280</v>
      </c>
      <c r="V214" s="362" t="s">
        <v>1301</v>
      </c>
      <c r="W214" s="360" t="s">
        <v>1302</v>
      </c>
      <c r="X214" s="356">
        <v>0.47</v>
      </c>
    </row>
    <row r="215" spans="5:24" hidden="1">
      <c r="E215" s="84"/>
      <c r="F215" s="84"/>
      <c r="G215" s="84"/>
      <c r="H215" s="84"/>
      <c r="I215" s="84"/>
      <c r="J215" s="84"/>
      <c r="K215" s="84"/>
      <c r="L215" s="84"/>
      <c r="M215" s="84"/>
      <c r="N215" s="84"/>
      <c r="O215" s="359" t="s">
        <v>556</v>
      </c>
      <c r="P215" s="360" t="s">
        <v>1960</v>
      </c>
      <c r="Q215" s="362" t="s">
        <v>61</v>
      </c>
      <c r="R215" s="361">
        <v>32.44</v>
      </c>
      <c r="S215" s="361"/>
      <c r="T215" s="84"/>
      <c r="U215" s="359" t="s">
        <v>1280</v>
      </c>
      <c r="V215" s="362" t="s">
        <v>1303</v>
      </c>
      <c r="W215" s="360" t="s">
        <v>1304</v>
      </c>
      <c r="X215" s="361">
        <v>3.25</v>
      </c>
    </row>
    <row r="216" spans="5:24" hidden="1">
      <c r="E216" s="84"/>
      <c r="F216" s="84"/>
      <c r="G216" s="84"/>
      <c r="H216" s="84"/>
      <c r="I216" s="84"/>
      <c r="J216" s="84"/>
      <c r="K216" s="84"/>
      <c r="L216" s="84"/>
      <c r="M216" s="84"/>
      <c r="N216" s="84"/>
      <c r="O216" s="359" t="s">
        <v>60</v>
      </c>
      <c r="P216" s="360" t="s">
        <v>1961</v>
      </c>
      <c r="Q216" s="362" t="s">
        <v>219</v>
      </c>
      <c r="R216" s="361">
        <v>12.5</v>
      </c>
      <c r="S216" s="361"/>
      <c r="T216" s="84"/>
      <c r="U216" s="359" t="s">
        <v>1280</v>
      </c>
      <c r="V216" s="362" t="s">
        <v>1305</v>
      </c>
      <c r="W216" s="360" t="s">
        <v>1306</v>
      </c>
      <c r="X216" s="361">
        <v>5.32</v>
      </c>
    </row>
    <row r="217" spans="5:24" hidden="1">
      <c r="E217" s="84"/>
      <c r="F217" s="84"/>
      <c r="G217" s="84"/>
      <c r="H217" s="84"/>
      <c r="I217" s="84"/>
      <c r="J217" s="84"/>
      <c r="K217" s="84"/>
      <c r="L217" s="84"/>
      <c r="M217" s="84"/>
      <c r="N217" s="84"/>
      <c r="O217" s="359" t="s">
        <v>2271</v>
      </c>
      <c r="P217" s="360" t="s">
        <v>2272</v>
      </c>
      <c r="Q217" s="362" t="s">
        <v>2273</v>
      </c>
      <c r="R217" s="361">
        <v>239.41</v>
      </c>
      <c r="S217" s="361"/>
      <c r="T217" s="84"/>
      <c r="U217" s="359" t="s">
        <v>1280</v>
      </c>
      <c r="V217" s="362" t="s">
        <v>1307</v>
      </c>
      <c r="W217" s="360" t="s">
        <v>1308</v>
      </c>
      <c r="X217" s="356">
        <v>5.32</v>
      </c>
    </row>
    <row r="218" spans="5:24" hidden="1">
      <c r="E218" s="84"/>
      <c r="F218" s="84"/>
      <c r="G218" s="84"/>
      <c r="H218" s="84"/>
      <c r="I218" s="84"/>
      <c r="J218" s="84"/>
      <c r="K218" s="84"/>
      <c r="L218" s="84"/>
      <c r="M218" s="84"/>
      <c r="N218" s="84"/>
      <c r="O218" s="359" t="s">
        <v>2271</v>
      </c>
      <c r="P218" s="360" t="s">
        <v>2274</v>
      </c>
      <c r="Q218" s="362" t="s">
        <v>2275</v>
      </c>
      <c r="R218" s="361">
        <v>450.74</v>
      </c>
      <c r="S218" s="361"/>
      <c r="T218" s="84"/>
      <c r="U218" s="359" t="s">
        <v>1280</v>
      </c>
      <c r="V218" s="362" t="s">
        <v>1309</v>
      </c>
      <c r="W218" s="363" t="s">
        <v>1310</v>
      </c>
      <c r="X218" s="356">
        <v>2.63</v>
      </c>
    </row>
    <row r="219" spans="5:24" hidden="1">
      <c r="E219" s="84"/>
      <c r="F219" s="84"/>
      <c r="G219" s="84"/>
      <c r="H219" s="84"/>
      <c r="I219" s="84"/>
      <c r="J219" s="84"/>
      <c r="K219" s="84"/>
      <c r="L219" s="84"/>
      <c r="M219" s="84"/>
      <c r="N219" s="84"/>
      <c r="O219" s="359" t="s">
        <v>2271</v>
      </c>
      <c r="P219" s="360" t="s">
        <v>1964</v>
      </c>
      <c r="Q219" s="362" t="s">
        <v>248</v>
      </c>
      <c r="R219" s="361">
        <v>19.489999999999998</v>
      </c>
      <c r="S219" s="361"/>
      <c r="T219" s="84"/>
      <c r="U219" s="359" t="s">
        <v>1280</v>
      </c>
      <c r="V219" s="362" t="s">
        <v>1311</v>
      </c>
      <c r="W219" s="360" t="s">
        <v>1312</v>
      </c>
      <c r="X219" s="356">
        <v>143.15</v>
      </c>
    </row>
    <row r="220" spans="5:24" hidden="1">
      <c r="E220" s="84"/>
      <c r="F220" s="84"/>
      <c r="G220" s="84"/>
      <c r="H220" s="84"/>
      <c r="I220" s="84"/>
      <c r="J220" s="84"/>
      <c r="K220" s="84"/>
      <c r="L220" s="84"/>
      <c r="M220" s="84"/>
      <c r="N220" s="84"/>
      <c r="O220" s="359" t="s">
        <v>2271</v>
      </c>
      <c r="P220" s="360" t="s">
        <v>1963</v>
      </c>
      <c r="Q220" s="362" t="s">
        <v>2276</v>
      </c>
      <c r="R220" s="361">
        <v>35.119999999999997</v>
      </c>
      <c r="S220" s="361"/>
      <c r="T220" s="84"/>
      <c r="U220" s="359" t="s">
        <v>1313</v>
      </c>
      <c r="V220" s="362">
        <v>22</v>
      </c>
      <c r="W220" s="360" t="s">
        <v>1314</v>
      </c>
      <c r="X220" s="356">
        <v>7.1</v>
      </c>
    </row>
    <row r="221" spans="5:24" hidden="1">
      <c r="E221" s="84"/>
      <c r="F221" s="84"/>
      <c r="G221" s="84"/>
      <c r="H221" s="84"/>
      <c r="I221" s="84"/>
      <c r="J221" s="84"/>
      <c r="K221" s="84"/>
      <c r="L221" s="84"/>
      <c r="M221" s="84"/>
      <c r="N221" s="84"/>
      <c r="O221" s="359" t="s">
        <v>2271</v>
      </c>
      <c r="P221" s="360" t="s">
        <v>1962</v>
      </c>
      <c r="Q221" s="361" t="s">
        <v>2462</v>
      </c>
      <c r="R221" s="361"/>
      <c r="S221" s="361"/>
      <c r="T221" s="84"/>
      <c r="U221" s="359" t="s">
        <v>1313</v>
      </c>
      <c r="V221" s="362" t="s">
        <v>1315</v>
      </c>
      <c r="W221" s="363" t="s">
        <v>1316</v>
      </c>
      <c r="X221" s="356">
        <v>4.55</v>
      </c>
    </row>
    <row r="222" spans="5:24" hidden="1">
      <c r="E222" s="84"/>
      <c r="F222" s="84"/>
      <c r="G222" s="84"/>
      <c r="H222" s="84"/>
      <c r="I222" s="84"/>
      <c r="J222" s="84"/>
      <c r="K222" s="84"/>
      <c r="L222" s="84"/>
      <c r="M222" s="84"/>
      <c r="N222" s="84"/>
      <c r="O222" s="359" t="s">
        <v>2271</v>
      </c>
      <c r="P222" s="360" t="s">
        <v>1965</v>
      </c>
      <c r="Q222" s="362" t="s">
        <v>249</v>
      </c>
      <c r="R222" s="361">
        <v>37.72</v>
      </c>
      <c r="S222" s="361"/>
      <c r="T222" s="84"/>
      <c r="U222" s="359" t="s">
        <v>1313</v>
      </c>
      <c r="V222" s="362" t="s">
        <v>1317</v>
      </c>
      <c r="W222" s="360" t="s">
        <v>1318</v>
      </c>
      <c r="X222" s="361">
        <v>31.01</v>
      </c>
    </row>
    <row r="223" spans="5:24" hidden="1">
      <c r="E223" s="84"/>
      <c r="F223" s="84"/>
      <c r="G223" s="84"/>
      <c r="H223" s="84"/>
      <c r="I223" s="84"/>
      <c r="J223" s="84"/>
      <c r="K223" s="84"/>
      <c r="L223" s="84"/>
      <c r="M223" s="84"/>
      <c r="N223" s="84"/>
      <c r="O223" s="359" t="s">
        <v>2271</v>
      </c>
      <c r="P223" s="360" t="s">
        <v>2277</v>
      </c>
      <c r="Q223" s="362" t="s">
        <v>1701</v>
      </c>
      <c r="R223" s="361">
        <v>161.94999999999999</v>
      </c>
      <c r="S223" s="361"/>
      <c r="T223" s="84"/>
      <c r="U223" s="359" t="s">
        <v>1313</v>
      </c>
      <c r="V223" s="362" t="s">
        <v>1319</v>
      </c>
      <c r="W223" s="360" t="s">
        <v>1320</v>
      </c>
      <c r="X223" s="361">
        <v>9.07</v>
      </c>
    </row>
    <row r="224" spans="5:24" hidden="1">
      <c r="E224" s="84"/>
      <c r="F224" s="84"/>
      <c r="G224" s="84"/>
      <c r="H224" s="84"/>
      <c r="I224" s="84"/>
      <c r="J224" s="84"/>
      <c r="K224" s="84"/>
      <c r="L224" s="84"/>
      <c r="M224" s="84"/>
      <c r="N224" s="84"/>
      <c r="O224" s="359" t="s">
        <v>2271</v>
      </c>
      <c r="P224" s="360" t="s">
        <v>2278</v>
      </c>
      <c r="Q224" s="362" t="s">
        <v>1534</v>
      </c>
      <c r="R224" s="361">
        <v>45.51</v>
      </c>
      <c r="S224" s="361"/>
      <c r="T224" s="84"/>
      <c r="U224" s="359" t="s">
        <v>1313</v>
      </c>
      <c r="V224" s="362" t="s">
        <v>1321</v>
      </c>
      <c r="W224" s="360" t="s">
        <v>1322</v>
      </c>
      <c r="X224" s="361">
        <v>4.84</v>
      </c>
    </row>
    <row r="225" spans="5:24" hidden="1">
      <c r="E225" s="84"/>
      <c r="F225" s="84"/>
      <c r="G225" s="84"/>
      <c r="H225" s="84"/>
      <c r="I225" s="84"/>
      <c r="J225" s="84"/>
      <c r="K225" s="84"/>
      <c r="L225" s="84"/>
      <c r="M225" s="84"/>
      <c r="N225" s="84"/>
      <c r="O225" s="359" t="s">
        <v>2279</v>
      </c>
      <c r="P225" s="360" t="s">
        <v>2280</v>
      </c>
      <c r="Q225" s="362" t="s">
        <v>1101</v>
      </c>
      <c r="R225" s="361">
        <v>8.84</v>
      </c>
      <c r="S225" s="361"/>
      <c r="T225" s="84"/>
      <c r="U225" s="359" t="s">
        <v>1313</v>
      </c>
      <c r="V225" s="362" t="s">
        <v>1323</v>
      </c>
      <c r="W225" s="360" t="s">
        <v>1324</v>
      </c>
      <c r="X225" s="361">
        <v>47.38</v>
      </c>
    </row>
    <row r="226" spans="5:24" hidden="1">
      <c r="E226" s="84"/>
      <c r="F226" s="84"/>
      <c r="G226" s="84"/>
      <c r="H226" s="84"/>
      <c r="I226" s="84"/>
      <c r="J226" s="84"/>
      <c r="K226" s="84"/>
      <c r="L226" s="84"/>
      <c r="M226" s="84"/>
      <c r="N226" s="84"/>
      <c r="O226" s="359" t="s">
        <v>1991</v>
      </c>
      <c r="P226" s="360" t="s">
        <v>2281</v>
      </c>
      <c r="Q226" s="362" t="s">
        <v>2282</v>
      </c>
      <c r="R226" s="361">
        <v>21.34</v>
      </c>
      <c r="S226" s="361"/>
      <c r="T226" s="84"/>
      <c r="U226" s="359" t="s">
        <v>1313</v>
      </c>
      <c r="V226" s="362" t="s">
        <v>1325</v>
      </c>
      <c r="W226" s="360" t="s">
        <v>1326</v>
      </c>
      <c r="X226" s="361">
        <v>5.76</v>
      </c>
    </row>
    <row r="227" spans="5:24" hidden="1">
      <c r="E227" s="84"/>
      <c r="F227" s="84"/>
      <c r="G227" s="84"/>
      <c r="H227" s="84"/>
      <c r="I227" s="84"/>
      <c r="J227" s="84"/>
      <c r="K227" s="84"/>
      <c r="L227" s="84"/>
      <c r="M227" s="84"/>
      <c r="N227" s="84"/>
      <c r="O227" s="359" t="s">
        <v>1991</v>
      </c>
      <c r="P227" s="360" t="s">
        <v>2283</v>
      </c>
      <c r="Q227" s="362" t="s">
        <v>2284</v>
      </c>
      <c r="R227" s="361">
        <v>36.22</v>
      </c>
      <c r="S227" s="361"/>
      <c r="T227" s="84"/>
      <c r="U227" s="359" t="s">
        <v>1313</v>
      </c>
      <c r="V227" s="362" t="s">
        <v>1327</v>
      </c>
      <c r="W227" s="360" t="s">
        <v>1328</v>
      </c>
      <c r="X227" s="356">
        <v>4.62</v>
      </c>
    </row>
    <row r="228" spans="5:24" hidden="1">
      <c r="E228" s="84"/>
      <c r="F228" s="84"/>
      <c r="G228" s="84"/>
      <c r="H228" s="84"/>
      <c r="I228" s="84"/>
      <c r="J228" s="84"/>
      <c r="K228" s="84"/>
      <c r="L228" s="84"/>
      <c r="M228" s="84"/>
      <c r="N228" s="84"/>
      <c r="O228" s="359" t="s">
        <v>1991</v>
      </c>
      <c r="P228" s="360" t="s">
        <v>2285</v>
      </c>
      <c r="Q228" s="362" t="s">
        <v>1992</v>
      </c>
      <c r="R228" s="361">
        <v>40.869999999999997</v>
      </c>
      <c r="S228" s="361"/>
      <c r="T228" s="84"/>
      <c r="U228" s="359" t="s">
        <v>1313</v>
      </c>
      <c r="V228" s="362" t="s">
        <v>1329</v>
      </c>
      <c r="W228" s="360" t="s">
        <v>1330</v>
      </c>
      <c r="X228" s="356">
        <v>13.73</v>
      </c>
    </row>
    <row r="229" spans="5:24" hidden="1">
      <c r="E229" s="84"/>
      <c r="F229" s="84"/>
      <c r="G229" s="84"/>
      <c r="H229" s="84"/>
      <c r="I229" s="84"/>
      <c r="J229" s="84"/>
      <c r="K229" s="84"/>
      <c r="L229" s="84"/>
      <c r="M229" s="84"/>
      <c r="N229" s="84"/>
      <c r="O229" s="359" t="s">
        <v>1991</v>
      </c>
      <c r="P229" s="360" t="s">
        <v>2286</v>
      </c>
      <c r="Q229" s="362" t="s">
        <v>1990</v>
      </c>
      <c r="R229" s="361">
        <v>32.94</v>
      </c>
      <c r="S229" s="361"/>
      <c r="T229" s="84"/>
      <c r="U229" s="359" t="s">
        <v>1313</v>
      </c>
      <c r="V229" s="362" t="s">
        <v>1331</v>
      </c>
      <c r="W229" s="360" t="s">
        <v>1332</v>
      </c>
      <c r="X229" s="356">
        <v>4.57</v>
      </c>
    </row>
    <row r="230" spans="5:24" hidden="1">
      <c r="E230" s="84"/>
      <c r="F230" s="84"/>
      <c r="G230" s="84"/>
      <c r="H230" s="84"/>
      <c r="I230" s="84"/>
      <c r="J230" s="84"/>
      <c r="K230" s="84"/>
      <c r="L230" s="84"/>
      <c r="M230" s="84"/>
      <c r="N230" s="84"/>
      <c r="O230" s="359" t="s">
        <v>1035</v>
      </c>
      <c r="P230" s="360" t="s">
        <v>2287</v>
      </c>
      <c r="Q230" s="362">
        <v>43222</v>
      </c>
      <c r="R230" s="361">
        <v>4.53</v>
      </c>
      <c r="S230" s="361"/>
      <c r="T230" s="84"/>
      <c r="U230" s="359" t="s">
        <v>1313</v>
      </c>
      <c r="V230" s="362" t="s">
        <v>1333</v>
      </c>
      <c r="W230" s="360" t="s">
        <v>1334</v>
      </c>
      <c r="X230" s="356">
        <v>5.39</v>
      </c>
    </row>
    <row r="231" spans="5:24" hidden="1">
      <c r="E231" s="84"/>
      <c r="F231" s="84"/>
      <c r="G231" s="84"/>
      <c r="H231" s="84"/>
      <c r="I231" s="84"/>
      <c r="J231" s="84"/>
      <c r="K231" s="84"/>
      <c r="L231" s="84"/>
      <c r="M231" s="84"/>
      <c r="N231" s="84"/>
      <c r="O231" s="359" t="s">
        <v>2288</v>
      </c>
      <c r="P231" s="360" t="s">
        <v>2289</v>
      </c>
      <c r="Q231" s="362" t="s">
        <v>1427</v>
      </c>
      <c r="R231" s="361">
        <v>13.72</v>
      </c>
      <c r="S231" s="361"/>
      <c r="T231" s="84"/>
      <c r="U231" s="359" t="s">
        <v>1313</v>
      </c>
      <c r="V231" s="362" t="s">
        <v>1335</v>
      </c>
      <c r="W231" s="360" t="s">
        <v>1336</v>
      </c>
      <c r="X231" s="356">
        <v>4.62</v>
      </c>
    </row>
    <row r="232" spans="5:24" hidden="1">
      <c r="E232" s="84"/>
      <c r="F232" s="84"/>
      <c r="G232" s="84"/>
      <c r="H232" s="84"/>
      <c r="I232" s="84"/>
      <c r="J232" s="84"/>
      <c r="K232" s="84"/>
      <c r="L232" s="84"/>
      <c r="M232" s="84"/>
      <c r="N232" s="84"/>
      <c r="O232" s="359" t="s">
        <v>2288</v>
      </c>
      <c r="P232" s="360" t="s">
        <v>2290</v>
      </c>
      <c r="Q232" s="362" t="s">
        <v>1988</v>
      </c>
      <c r="R232" s="361">
        <v>28.27</v>
      </c>
      <c r="S232" s="361"/>
      <c r="T232" s="84"/>
      <c r="U232" s="359" t="s">
        <v>1313</v>
      </c>
      <c r="V232" s="362" t="s">
        <v>1337</v>
      </c>
      <c r="W232" s="360" t="s">
        <v>1338</v>
      </c>
      <c r="X232" s="361">
        <v>10.33</v>
      </c>
    </row>
    <row r="233" spans="5:24" hidden="1">
      <c r="E233" s="84"/>
      <c r="F233" s="84"/>
      <c r="G233" s="84"/>
      <c r="H233" s="84"/>
      <c r="I233" s="84"/>
      <c r="J233" s="84"/>
      <c r="K233" s="84"/>
      <c r="L233" s="84"/>
      <c r="M233" s="84"/>
      <c r="N233" s="84"/>
      <c r="O233" s="359" t="s">
        <v>2288</v>
      </c>
      <c r="P233" s="360" t="s">
        <v>2291</v>
      </c>
      <c r="Q233" s="362" t="s">
        <v>1425</v>
      </c>
      <c r="R233" s="361">
        <v>53.55</v>
      </c>
      <c r="S233" s="361"/>
      <c r="T233" s="84"/>
      <c r="U233" s="359" t="s">
        <v>1313</v>
      </c>
      <c r="V233" s="362" t="s">
        <v>1339</v>
      </c>
      <c r="W233" s="360" t="s">
        <v>1340</v>
      </c>
      <c r="X233" s="361">
        <v>4.8899999999999997</v>
      </c>
    </row>
    <row r="234" spans="5:24" hidden="1">
      <c r="E234" s="84"/>
      <c r="F234" s="84"/>
      <c r="G234" s="84"/>
      <c r="H234" s="84"/>
      <c r="I234" s="84"/>
      <c r="J234" s="84"/>
      <c r="K234" s="84"/>
      <c r="L234" s="84"/>
      <c r="M234" s="84"/>
      <c r="N234" s="84"/>
      <c r="O234" s="359" t="s">
        <v>2288</v>
      </c>
      <c r="P234" s="360" t="s">
        <v>2292</v>
      </c>
      <c r="Q234" s="362" t="s">
        <v>1989</v>
      </c>
      <c r="R234" s="361">
        <v>61.95</v>
      </c>
      <c r="S234" s="361"/>
      <c r="T234" s="84"/>
      <c r="U234" s="359" t="s">
        <v>1313</v>
      </c>
      <c r="V234" s="362" t="s">
        <v>1341</v>
      </c>
      <c r="W234" s="360" t="s">
        <v>1342</v>
      </c>
      <c r="X234" s="361">
        <v>4.8499999999999996</v>
      </c>
    </row>
    <row r="235" spans="5:24" hidden="1">
      <c r="E235" s="84"/>
      <c r="F235" s="84"/>
      <c r="G235" s="84"/>
      <c r="H235" s="84"/>
      <c r="I235" s="84"/>
      <c r="J235" s="84"/>
      <c r="K235" s="84"/>
      <c r="L235" s="84"/>
      <c r="M235" s="84"/>
      <c r="N235" s="84"/>
      <c r="O235" s="359"/>
      <c r="P235" s="360" t="s">
        <v>2293</v>
      </c>
      <c r="Q235" s="389" t="s">
        <v>131</v>
      </c>
      <c r="R235" s="361"/>
      <c r="S235" s="361"/>
      <c r="T235" s="84"/>
      <c r="U235" s="359" t="s">
        <v>1313</v>
      </c>
      <c r="V235" s="362" t="s">
        <v>1343</v>
      </c>
      <c r="W235" s="360" t="s">
        <v>1344</v>
      </c>
      <c r="X235" s="361">
        <v>10.49</v>
      </c>
    </row>
    <row r="236" spans="5:24" hidden="1">
      <c r="E236" s="84"/>
      <c r="F236" s="84"/>
      <c r="G236" s="84"/>
      <c r="H236" s="84"/>
      <c r="I236" s="84"/>
      <c r="J236" s="84"/>
      <c r="K236" s="84"/>
      <c r="L236" s="84"/>
      <c r="M236" s="84"/>
      <c r="N236" s="84"/>
      <c r="O236" s="359" t="s">
        <v>557</v>
      </c>
      <c r="P236" s="360" t="s">
        <v>2294</v>
      </c>
      <c r="Q236" s="362" t="s">
        <v>558</v>
      </c>
      <c r="R236" s="361">
        <v>5.23</v>
      </c>
      <c r="S236" s="361"/>
      <c r="T236" s="84"/>
      <c r="U236" s="359" t="s">
        <v>1313</v>
      </c>
      <c r="V236" s="362" t="s">
        <v>1345</v>
      </c>
      <c r="W236" s="360" t="s">
        <v>1346</v>
      </c>
      <c r="X236" s="361">
        <v>1.4</v>
      </c>
    </row>
    <row r="237" spans="5:24" hidden="1">
      <c r="E237" s="84"/>
      <c r="F237" s="84"/>
      <c r="G237" s="84"/>
      <c r="H237" s="84"/>
      <c r="I237" s="84"/>
      <c r="J237" s="84"/>
      <c r="K237" s="84"/>
      <c r="L237" s="84"/>
      <c r="M237" s="84"/>
      <c r="N237" s="84"/>
      <c r="O237" s="359" t="s">
        <v>557</v>
      </c>
      <c r="P237" s="360" t="s">
        <v>2295</v>
      </c>
      <c r="Q237" s="362" t="s">
        <v>559</v>
      </c>
      <c r="R237" s="361">
        <v>5.49</v>
      </c>
      <c r="S237" s="361"/>
      <c r="T237" s="84"/>
      <c r="U237" s="359" t="s">
        <v>1313</v>
      </c>
      <c r="V237" s="362" t="s">
        <v>1347</v>
      </c>
      <c r="W237" s="360" t="s">
        <v>1348</v>
      </c>
      <c r="X237" s="361">
        <v>7.84</v>
      </c>
    </row>
    <row r="238" spans="5:24" hidden="1">
      <c r="E238" s="84"/>
      <c r="F238" s="84"/>
      <c r="G238" s="84"/>
      <c r="H238" s="84"/>
      <c r="I238" s="84"/>
      <c r="J238" s="84"/>
      <c r="K238" s="84"/>
      <c r="L238" s="84"/>
      <c r="M238" s="84"/>
      <c r="N238" s="84"/>
      <c r="O238" s="359" t="s">
        <v>557</v>
      </c>
      <c r="P238" s="360" t="s">
        <v>2296</v>
      </c>
      <c r="Q238" s="362" t="s">
        <v>560</v>
      </c>
      <c r="R238" s="361">
        <v>5.78</v>
      </c>
      <c r="S238" s="361"/>
      <c r="T238" s="84"/>
      <c r="U238" s="359" t="s">
        <v>1313</v>
      </c>
      <c r="V238" s="362" t="s">
        <v>1349</v>
      </c>
      <c r="W238" s="360" t="s">
        <v>1350</v>
      </c>
      <c r="X238" s="361">
        <v>1.83</v>
      </c>
    </row>
    <row r="239" spans="5:24" hidden="1">
      <c r="E239" s="84"/>
      <c r="F239" s="84"/>
      <c r="G239" s="84"/>
      <c r="H239" s="84"/>
      <c r="I239" s="84"/>
      <c r="J239" s="84"/>
      <c r="K239" s="84"/>
      <c r="L239" s="84"/>
      <c r="M239" s="84"/>
      <c r="N239" s="84"/>
      <c r="O239" s="359" t="s">
        <v>557</v>
      </c>
      <c r="P239" s="360" t="s">
        <v>2297</v>
      </c>
      <c r="Q239" s="362" t="s">
        <v>561</v>
      </c>
      <c r="R239" s="361">
        <v>6.21</v>
      </c>
      <c r="S239" s="361"/>
      <c r="T239" s="84"/>
      <c r="U239" s="359" t="s">
        <v>1313</v>
      </c>
      <c r="V239" s="362" t="s">
        <v>1351</v>
      </c>
      <c r="W239" s="360" t="s">
        <v>1352</v>
      </c>
      <c r="X239" s="361">
        <v>15.04</v>
      </c>
    </row>
    <row r="240" spans="5:24" hidden="1">
      <c r="E240" s="84"/>
      <c r="F240" s="84"/>
      <c r="G240" s="84"/>
      <c r="H240" s="84"/>
      <c r="I240" s="84"/>
      <c r="J240" s="84"/>
      <c r="K240" s="84"/>
      <c r="L240" s="84"/>
      <c r="M240" s="84"/>
      <c r="N240" s="84"/>
      <c r="O240" s="359" t="s">
        <v>557</v>
      </c>
      <c r="P240" s="360" t="s">
        <v>2298</v>
      </c>
      <c r="Q240" s="362" t="s">
        <v>562</v>
      </c>
      <c r="R240" s="361">
        <v>6.8</v>
      </c>
      <c r="S240" s="361"/>
      <c r="T240" s="84"/>
      <c r="U240" s="359" t="s">
        <v>1353</v>
      </c>
      <c r="V240" s="362" t="s">
        <v>1354</v>
      </c>
      <c r="W240" s="360" t="s">
        <v>1355</v>
      </c>
      <c r="X240" s="356">
        <v>1.94</v>
      </c>
    </row>
    <row r="241" spans="5:24" hidden="1">
      <c r="E241" s="84"/>
      <c r="F241" s="84"/>
      <c r="G241" s="84"/>
      <c r="H241" s="84"/>
      <c r="I241" s="84"/>
      <c r="J241" s="84"/>
      <c r="K241" s="84"/>
      <c r="L241" s="84"/>
      <c r="M241" s="84"/>
      <c r="N241" s="84"/>
      <c r="O241" s="359" t="s">
        <v>557</v>
      </c>
      <c r="P241" s="360" t="s">
        <v>2299</v>
      </c>
      <c r="Q241" s="362" t="s">
        <v>563</v>
      </c>
      <c r="R241" s="361">
        <v>8.02</v>
      </c>
      <c r="S241" s="361"/>
      <c r="T241" s="84"/>
      <c r="U241" s="359" t="s">
        <v>1356</v>
      </c>
      <c r="V241" s="362" t="s">
        <v>1357</v>
      </c>
      <c r="W241" s="360" t="s">
        <v>1358</v>
      </c>
      <c r="X241" s="356">
        <v>3.55</v>
      </c>
    </row>
    <row r="242" spans="5:24" hidden="1">
      <c r="E242" s="84"/>
      <c r="F242" s="84"/>
      <c r="G242" s="84"/>
      <c r="H242" s="84"/>
      <c r="I242" s="84"/>
      <c r="J242" s="84"/>
      <c r="K242" s="84"/>
      <c r="L242" s="84"/>
      <c r="M242" s="84"/>
      <c r="N242" s="84"/>
      <c r="O242" s="359" t="s">
        <v>557</v>
      </c>
      <c r="P242" s="360" t="s">
        <v>2699</v>
      </c>
      <c r="Q242" s="362">
        <v>4340481144</v>
      </c>
      <c r="R242" s="361">
        <v>74.05</v>
      </c>
      <c r="S242" s="361"/>
      <c r="T242" s="84"/>
      <c r="U242" s="359" t="s">
        <v>1359</v>
      </c>
      <c r="V242" s="362" t="s">
        <v>1360</v>
      </c>
      <c r="W242" s="360" t="s">
        <v>1361</v>
      </c>
      <c r="X242" s="356">
        <v>2.08</v>
      </c>
    </row>
    <row r="243" spans="5:24" hidden="1">
      <c r="E243" s="84"/>
      <c r="F243" s="84"/>
      <c r="G243" s="84"/>
      <c r="H243" s="84"/>
      <c r="I243" s="84"/>
      <c r="J243" s="84"/>
      <c r="K243" s="84"/>
      <c r="L243" s="84"/>
      <c r="M243" s="84"/>
      <c r="N243" s="84"/>
      <c r="O243" s="359" t="s">
        <v>557</v>
      </c>
      <c r="P243" s="360" t="s">
        <v>2300</v>
      </c>
      <c r="Q243" s="362" t="s">
        <v>564</v>
      </c>
      <c r="R243" s="361">
        <v>5.23</v>
      </c>
      <c r="S243" s="361"/>
      <c r="T243" s="84"/>
      <c r="U243" s="359" t="s">
        <v>1362</v>
      </c>
      <c r="V243" s="362" t="s">
        <v>1363</v>
      </c>
      <c r="W243" s="360" t="s">
        <v>1364</v>
      </c>
      <c r="X243" s="356">
        <v>3.38</v>
      </c>
    </row>
    <row r="244" spans="5:24" hidden="1">
      <c r="E244" s="84"/>
      <c r="F244" s="84"/>
      <c r="G244" s="84"/>
      <c r="H244" s="84"/>
      <c r="I244" s="84"/>
      <c r="J244" s="84"/>
      <c r="K244" s="84"/>
      <c r="L244" s="84"/>
      <c r="M244" s="84"/>
      <c r="N244" s="84"/>
      <c r="O244" s="359" t="s">
        <v>557</v>
      </c>
      <c r="P244" s="360" t="s">
        <v>2301</v>
      </c>
      <c r="Q244" s="362" t="s">
        <v>565</v>
      </c>
      <c r="R244" s="361">
        <v>5.49</v>
      </c>
      <c r="S244" s="361"/>
      <c r="T244" s="84"/>
      <c r="U244" s="359" t="s">
        <v>1365</v>
      </c>
      <c r="V244" s="362" t="s">
        <v>1366</v>
      </c>
      <c r="W244" s="360" t="s">
        <v>1367</v>
      </c>
      <c r="X244" s="361">
        <v>1.48</v>
      </c>
    </row>
    <row r="245" spans="5:24" hidden="1">
      <c r="E245" s="84"/>
      <c r="F245" s="84"/>
      <c r="G245" s="84"/>
      <c r="H245" s="84"/>
      <c r="I245" s="84"/>
      <c r="J245" s="84"/>
      <c r="K245" s="84"/>
      <c r="L245" s="84"/>
      <c r="M245" s="84"/>
      <c r="N245" s="84"/>
      <c r="O245" s="359" t="s">
        <v>557</v>
      </c>
      <c r="P245" s="360" t="s">
        <v>2302</v>
      </c>
      <c r="Q245" s="362" t="s">
        <v>566</v>
      </c>
      <c r="R245" s="361">
        <v>5.78</v>
      </c>
      <c r="S245" s="361"/>
      <c r="T245" s="84"/>
      <c r="U245" s="359" t="s">
        <v>1368</v>
      </c>
      <c r="V245" s="362" t="s">
        <v>1369</v>
      </c>
      <c r="W245" s="360" t="s">
        <v>1370</v>
      </c>
      <c r="X245" s="361">
        <v>7</v>
      </c>
    </row>
    <row r="246" spans="5:24" hidden="1">
      <c r="E246" s="84"/>
      <c r="F246" s="84"/>
      <c r="G246" s="84"/>
      <c r="H246" s="84"/>
      <c r="I246" s="84"/>
      <c r="J246" s="84"/>
      <c r="K246" s="84"/>
      <c r="L246" s="84"/>
      <c r="M246" s="84"/>
      <c r="N246" s="84"/>
      <c r="O246" s="359" t="s">
        <v>557</v>
      </c>
      <c r="P246" s="360" t="s">
        <v>2303</v>
      </c>
      <c r="Q246" s="362" t="s">
        <v>567</v>
      </c>
      <c r="R246" s="361">
        <v>6.21</v>
      </c>
      <c r="S246" s="361"/>
      <c r="T246" s="84"/>
      <c r="U246" s="359" t="s">
        <v>1368</v>
      </c>
      <c r="V246" s="362" t="s">
        <v>1371</v>
      </c>
      <c r="W246" s="360" t="s">
        <v>1372</v>
      </c>
      <c r="X246" s="361">
        <v>4.54</v>
      </c>
    </row>
    <row r="247" spans="5:24" hidden="1">
      <c r="E247" s="84"/>
      <c r="F247" s="84"/>
      <c r="G247" s="84"/>
      <c r="H247" s="84"/>
      <c r="I247" s="84"/>
      <c r="J247" s="84"/>
      <c r="K247" s="84"/>
      <c r="L247" s="84"/>
      <c r="M247" s="84"/>
      <c r="N247" s="84"/>
      <c r="O247" s="359" t="s">
        <v>557</v>
      </c>
      <c r="P247" s="360" t="s">
        <v>2304</v>
      </c>
      <c r="Q247" s="362" t="s">
        <v>568</v>
      </c>
      <c r="R247" s="361">
        <v>6.8</v>
      </c>
      <c r="S247" s="361"/>
      <c r="T247" s="84"/>
      <c r="U247" s="359" t="s">
        <v>1368</v>
      </c>
      <c r="V247" s="362" t="s">
        <v>1373</v>
      </c>
      <c r="W247" s="360" t="s">
        <v>1374</v>
      </c>
      <c r="X247" s="361">
        <v>9.51</v>
      </c>
    </row>
    <row r="248" spans="5:24" hidden="1">
      <c r="E248" s="84"/>
      <c r="F248" s="84"/>
      <c r="G248" s="84"/>
      <c r="H248" s="84"/>
      <c r="I248" s="84"/>
      <c r="J248" s="84"/>
      <c r="K248" s="84"/>
      <c r="L248" s="84"/>
      <c r="M248" s="84"/>
      <c r="N248" s="84"/>
      <c r="O248" s="359" t="s">
        <v>557</v>
      </c>
      <c r="P248" s="360" t="s">
        <v>2305</v>
      </c>
      <c r="Q248" s="362" t="s">
        <v>569</v>
      </c>
      <c r="R248" s="361">
        <v>8.02</v>
      </c>
      <c r="S248" s="361"/>
      <c r="T248" s="84"/>
      <c r="U248" s="359" t="s">
        <v>1368</v>
      </c>
      <c r="V248" s="362" t="s">
        <v>1375</v>
      </c>
      <c r="W248" s="360" t="s">
        <v>1376</v>
      </c>
      <c r="X248" s="361">
        <v>4.53</v>
      </c>
    </row>
    <row r="249" spans="5:24" hidden="1">
      <c r="E249" s="84"/>
      <c r="F249" s="84"/>
      <c r="G249" s="84"/>
      <c r="H249" s="84"/>
      <c r="I249" s="84"/>
      <c r="J249" s="84"/>
      <c r="K249" s="84"/>
      <c r="L249" s="84"/>
      <c r="M249" s="84"/>
      <c r="N249" s="84"/>
      <c r="O249" s="359" t="s">
        <v>557</v>
      </c>
      <c r="P249" s="360" t="s">
        <v>2306</v>
      </c>
      <c r="Q249" s="362" t="s">
        <v>570</v>
      </c>
      <c r="R249" s="361">
        <v>5.23</v>
      </c>
      <c r="S249" s="361"/>
      <c r="T249" s="84"/>
      <c r="U249" s="359" t="s">
        <v>1368</v>
      </c>
      <c r="V249" s="362" t="s">
        <v>1377</v>
      </c>
      <c r="W249" s="360" t="s">
        <v>1378</v>
      </c>
      <c r="X249" s="361">
        <v>4.57</v>
      </c>
    </row>
    <row r="250" spans="5:24" hidden="1">
      <c r="E250" s="84"/>
      <c r="F250" s="84"/>
      <c r="G250" s="84"/>
      <c r="H250" s="84"/>
      <c r="I250" s="84"/>
      <c r="J250" s="84"/>
      <c r="K250" s="84"/>
      <c r="L250" s="84"/>
      <c r="M250" s="84"/>
      <c r="N250" s="84"/>
      <c r="O250" s="359" t="s">
        <v>557</v>
      </c>
      <c r="P250" s="360" t="s">
        <v>2307</v>
      </c>
      <c r="Q250" s="362" t="s">
        <v>571</v>
      </c>
      <c r="R250" s="361">
        <v>5.49</v>
      </c>
      <c r="S250" s="361"/>
      <c r="T250" s="84"/>
      <c r="U250" s="359" t="s">
        <v>1379</v>
      </c>
      <c r="V250" s="362" t="s">
        <v>1380</v>
      </c>
      <c r="W250" s="360" t="s">
        <v>1381</v>
      </c>
      <c r="X250" s="361">
        <v>1.1000000000000001</v>
      </c>
    </row>
    <row r="251" spans="5:24" hidden="1">
      <c r="E251" s="84"/>
      <c r="F251" s="84"/>
      <c r="G251" s="84"/>
      <c r="H251" s="84"/>
      <c r="I251" s="84"/>
      <c r="J251" s="84"/>
      <c r="K251" s="84"/>
      <c r="L251" s="84"/>
      <c r="M251" s="84"/>
      <c r="N251" s="84"/>
      <c r="O251" s="359" t="s">
        <v>557</v>
      </c>
      <c r="P251" s="360" t="s">
        <v>2308</v>
      </c>
      <c r="Q251" s="362" t="s">
        <v>572</v>
      </c>
      <c r="R251" s="361">
        <v>5.78</v>
      </c>
      <c r="S251" s="361"/>
      <c r="T251" s="84"/>
      <c r="U251" s="359" t="s">
        <v>1379</v>
      </c>
      <c r="V251" s="362" t="s">
        <v>1382</v>
      </c>
      <c r="W251" s="360" t="s">
        <v>1383</v>
      </c>
      <c r="X251" s="361">
        <v>1.1000000000000001</v>
      </c>
    </row>
    <row r="252" spans="5:24" hidden="1">
      <c r="E252" s="84"/>
      <c r="F252" s="84"/>
      <c r="G252" s="84"/>
      <c r="H252" s="84"/>
      <c r="I252" s="84"/>
      <c r="J252" s="84"/>
      <c r="K252" s="84"/>
      <c r="L252" s="84"/>
      <c r="M252" s="84"/>
      <c r="N252" s="84"/>
      <c r="O252" s="359" t="s">
        <v>557</v>
      </c>
      <c r="P252" s="360" t="s">
        <v>2309</v>
      </c>
      <c r="Q252" s="362" t="s">
        <v>573</v>
      </c>
      <c r="R252" s="361">
        <v>6.21</v>
      </c>
      <c r="S252" s="361"/>
      <c r="T252" s="84"/>
      <c r="U252" s="359" t="s">
        <v>1379</v>
      </c>
      <c r="V252" s="362" t="s">
        <v>1384</v>
      </c>
      <c r="W252" s="360" t="s">
        <v>1385</v>
      </c>
      <c r="X252" s="361">
        <v>1.32</v>
      </c>
    </row>
    <row r="253" spans="5:24" hidden="1">
      <c r="E253" s="84"/>
      <c r="F253" s="84"/>
      <c r="G253" s="84"/>
      <c r="H253" s="84"/>
      <c r="I253" s="84"/>
      <c r="J253" s="84"/>
      <c r="K253" s="84"/>
      <c r="L253" s="84"/>
      <c r="M253" s="84"/>
      <c r="N253" s="84"/>
      <c r="O253" s="359" t="s">
        <v>557</v>
      </c>
      <c r="P253" s="360" t="s">
        <v>2310</v>
      </c>
      <c r="Q253" s="362" t="s">
        <v>574</v>
      </c>
      <c r="R253" s="361">
        <v>6.8</v>
      </c>
      <c r="S253" s="361"/>
      <c r="T253" s="84"/>
      <c r="U253" s="359" t="s">
        <v>1386</v>
      </c>
      <c r="V253" s="362">
        <v>107305</v>
      </c>
      <c r="W253" s="360" t="s">
        <v>1387</v>
      </c>
      <c r="X253" s="361">
        <v>22.68</v>
      </c>
    </row>
    <row r="254" spans="5:24" hidden="1">
      <c r="E254" s="84"/>
      <c r="F254" s="84"/>
      <c r="G254" s="84"/>
      <c r="H254" s="84"/>
      <c r="I254" s="84"/>
      <c r="J254" s="84"/>
      <c r="K254" s="84"/>
      <c r="L254" s="84"/>
      <c r="M254" s="84"/>
      <c r="N254" s="84"/>
      <c r="O254" s="359" t="s">
        <v>557</v>
      </c>
      <c r="P254" s="360" t="s">
        <v>2311</v>
      </c>
      <c r="Q254" s="362" t="s">
        <v>575</v>
      </c>
      <c r="R254" s="361">
        <v>8.02</v>
      </c>
      <c r="S254" s="361"/>
      <c r="T254" s="84"/>
      <c r="U254" s="359" t="s">
        <v>1388</v>
      </c>
      <c r="V254" s="362">
        <v>11402</v>
      </c>
      <c r="W254" s="360" t="s">
        <v>1389</v>
      </c>
      <c r="X254" s="361">
        <v>1.25</v>
      </c>
    </row>
    <row r="255" spans="5:24" hidden="1">
      <c r="E255" s="84"/>
      <c r="F255" s="84"/>
      <c r="G255" s="84"/>
      <c r="H255" s="84"/>
      <c r="I255" s="84"/>
      <c r="J255" s="84"/>
      <c r="K255" s="84"/>
      <c r="L255" s="84"/>
      <c r="M255" s="84"/>
      <c r="N255" s="84"/>
      <c r="O255" s="359" t="s">
        <v>557</v>
      </c>
      <c r="P255" s="360" t="s">
        <v>2312</v>
      </c>
      <c r="Q255" s="362" t="s">
        <v>576</v>
      </c>
      <c r="R255" s="361">
        <v>5.78</v>
      </c>
      <c r="S255" s="361"/>
      <c r="T255" s="84"/>
      <c r="U255" s="359" t="s">
        <v>1390</v>
      </c>
      <c r="V255" s="362" t="s">
        <v>1391</v>
      </c>
      <c r="W255" s="360" t="s">
        <v>1392</v>
      </c>
      <c r="X255" s="361">
        <v>4.5599999999999996</v>
      </c>
    </row>
    <row r="256" spans="5:24" ht="23" hidden="1">
      <c r="E256" s="84"/>
      <c r="F256" s="84"/>
      <c r="G256" s="84"/>
      <c r="H256" s="84"/>
      <c r="I256" s="84"/>
      <c r="J256" s="84"/>
      <c r="K256" s="84"/>
      <c r="L256" s="84"/>
      <c r="M256" s="84"/>
      <c r="N256" s="84"/>
      <c r="O256" s="359" t="s">
        <v>557</v>
      </c>
      <c r="P256" s="360" t="s">
        <v>2313</v>
      </c>
      <c r="Q256" s="362" t="s">
        <v>2314</v>
      </c>
      <c r="R256" s="361">
        <v>6.95</v>
      </c>
      <c r="S256" s="361"/>
      <c r="T256" s="84"/>
      <c r="U256" s="359" t="s">
        <v>1705</v>
      </c>
      <c r="V256" s="362" t="s">
        <v>1700</v>
      </c>
      <c r="W256" s="360" t="s">
        <v>1706</v>
      </c>
      <c r="X256" s="361">
        <v>0.55000000000000004</v>
      </c>
    </row>
    <row r="257" spans="5:24" hidden="1">
      <c r="E257" s="84"/>
      <c r="F257" s="84"/>
      <c r="G257" s="84"/>
      <c r="H257" s="84"/>
      <c r="I257" s="84"/>
      <c r="J257" s="84"/>
      <c r="K257" s="84"/>
      <c r="L257" s="84"/>
      <c r="M257" s="84"/>
      <c r="N257" s="84"/>
      <c r="O257" s="359" t="s">
        <v>557</v>
      </c>
      <c r="P257" s="360" t="s">
        <v>2315</v>
      </c>
      <c r="Q257" s="362" t="s">
        <v>2316</v>
      </c>
      <c r="R257" s="361">
        <v>3.15</v>
      </c>
      <c r="S257" s="361"/>
      <c r="T257" s="84"/>
      <c r="U257" s="359" t="s">
        <v>1393</v>
      </c>
      <c r="V257" s="362">
        <v>31159821</v>
      </c>
      <c r="W257" s="360" t="s">
        <v>1394</v>
      </c>
      <c r="X257" s="361">
        <v>56.78</v>
      </c>
    </row>
    <row r="258" spans="5:24" hidden="1">
      <c r="E258" s="84"/>
      <c r="F258" s="84"/>
      <c r="G258" s="84"/>
      <c r="H258" s="84"/>
      <c r="I258" s="84"/>
      <c r="J258" s="84"/>
      <c r="K258" s="84"/>
      <c r="L258" s="84"/>
      <c r="M258" s="84"/>
      <c r="N258" s="84"/>
      <c r="O258" s="359" t="s">
        <v>557</v>
      </c>
      <c r="P258" s="360" t="s">
        <v>2317</v>
      </c>
      <c r="Q258" s="362" t="s">
        <v>2318</v>
      </c>
      <c r="R258" s="361">
        <v>8.1999999999999993</v>
      </c>
      <c r="S258" s="361"/>
      <c r="T258" s="84"/>
      <c r="U258" s="359" t="s">
        <v>1393</v>
      </c>
      <c r="V258" s="362">
        <v>32140101</v>
      </c>
      <c r="W258" s="360" t="s">
        <v>1395</v>
      </c>
      <c r="X258" s="361">
        <v>67.12</v>
      </c>
    </row>
    <row r="259" spans="5:24" hidden="1">
      <c r="E259" s="84"/>
      <c r="F259" s="84"/>
      <c r="G259" s="84"/>
      <c r="H259" s="84"/>
      <c r="I259" s="84"/>
      <c r="J259" s="84"/>
      <c r="K259" s="84"/>
      <c r="L259" s="84"/>
      <c r="M259" s="84"/>
      <c r="N259" s="84"/>
      <c r="O259" s="359" t="s">
        <v>557</v>
      </c>
      <c r="P259" s="360" t="s">
        <v>2319</v>
      </c>
      <c r="Q259" s="362" t="s">
        <v>2320</v>
      </c>
      <c r="R259" s="361">
        <v>26.91</v>
      </c>
      <c r="S259" s="361"/>
      <c r="T259" s="84"/>
      <c r="U259" s="359" t="s">
        <v>1396</v>
      </c>
      <c r="V259" s="362" t="s">
        <v>1397</v>
      </c>
      <c r="W259" s="360" t="s">
        <v>1398</v>
      </c>
      <c r="X259" s="361">
        <v>1.48</v>
      </c>
    </row>
    <row r="260" spans="5:24" hidden="1">
      <c r="E260" s="84"/>
      <c r="F260" s="84"/>
      <c r="G260" s="84"/>
      <c r="H260" s="84"/>
      <c r="I260" s="84"/>
      <c r="J260" s="84"/>
      <c r="K260" s="84"/>
      <c r="L260" s="84"/>
      <c r="M260" s="84"/>
      <c r="N260" s="84"/>
      <c r="O260" s="359"/>
      <c r="P260" s="360" t="s">
        <v>2321</v>
      </c>
      <c r="Q260" s="389" t="s">
        <v>131</v>
      </c>
      <c r="R260" s="361"/>
      <c r="S260" s="361"/>
      <c r="T260" s="84"/>
      <c r="U260" s="359" t="s">
        <v>1396</v>
      </c>
      <c r="V260" s="362" t="s">
        <v>1399</v>
      </c>
      <c r="W260" s="360" t="s">
        <v>1400</v>
      </c>
      <c r="X260" s="361">
        <v>3.15</v>
      </c>
    </row>
    <row r="261" spans="5:24" hidden="1">
      <c r="E261" s="84"/>
      <c r="F261" s="84"/>
      <c r="G261" s="84"/>
      <c r="H261" s="84"/>
      <c r="I261" s="84"/>
      <c r="J261" s="84"/>
      <c r="K261" s="84"/>
      <c r="L261" s="84"/>
      <c r="M261" s="84"/>
      <c r="N261" s="84"/>
      <c r="O261" s="359" t="s">
        <v>557</v>
      </c>
      <c r="P261" s="360" t="s">
        <v>2322</v>
      </c>
      <c r="Q261" s="362">
        <v>4340481003</v>
      </c>
      <c r="R261" s="361">
        <v>14.62</v>
      </c>
      <c r="S261" s="361"/>
      <c r="T261" s="84"/>
      <c r="U261" s="359" t="s">
        <v>1396</v>
      </c>
      <c r="V261" s="362" t="s">
        <v>1401</v>
      </c>
      <c r="W261" s="360" t="s">
        <v>1402</v>
      </c>
      <c r="X261" s="361">
        <v>3.08</v>
      </c>
    </row>
    <row r="262" spans="5:24" hidden="1">
      <c r="E262" s="84"/>
      <c r="F262" s="84"/>
      <c r="G262" s="84"/>
      <c r="H262" s="84"/>
      <c r="I262" s="84"/>
      <c r="J262" s="84"/>
      <c r="K262" s="84"/>
      <c r="L262" s="84"/>
      <c r="M262" s="84"/>
      <c r="N262" s="84"/>
      <c r="O262" s="359" t="s">
        <v>557</v>
      </c>
      <c r="P262" s="360" t="s">
        <v>2323</v>
      </c>
      <c r="Q262" s="362" t="s">
        <v>592</v>
      </c>
      <c r="R262" s="361">
        <v>9.7200000000000006</v>
      </c>
      <c r="S262" s="361"/>
      <c r="T262" s="84"/>
      <c r="U262" s="359" t="s">
        <v>1396</v>
      </c>
      <c r="V262" s="362" t="s">
        <v>1403</v>
      </c>
      <c r="W262" s="360" t="s">
        <v>1404</v>
      </c>
      <c r="X262" s="361">
        <v>1.39</v>
      </c>
    </row>
    <row r="263" spans="5:24" hidden="1">
      <c r="E263" s="84"/>
      <c r="F263" s="84"/>
      <c r="G263" s="84"/>
      <c r="H263" s="84"/>
      <c r="I263" s="84"/>
      <c r="J263" s="84"/>
      <c r="K263" s="84"/>
      <c r="L263" s="84"/>
      <c r="M263" s="84"/>
      <c r="N263" s="84"/>
      <c r="O263" s="359" t="s">
        <v>557</v>
      </c>
      <c r="P263" s="360" t="s">
        <v>2324</v>
      </c>
      <c r="Q263" s="362" t="s">
        <v>2325</v>
      </c>
      <c r="R263" s="361">
        <v>12.3</v>
      </c>
      <c r="S263" s="361"/>
      <c r="T263" s="84"/>
      <c r="U263" s="359" t="s">
        <v>1396</v>
      </c>
      <c r="V263" s="362" t="s">
        <v>1311</v>
      </c>
      <c r="W263" s="360" t="s">
        <v>1405</v>
      </c>
      <c r="X263" s="361">
        <v>93.18</v>
      </c>
    </row>
    <row r="264" spans="5:24" hidden="1">
      <c r="E264" s="84"/>
      <c r="F264" s="84"/>
      <c r="G264" s="84"/>
      <c r="H264" s="84"/>
      <c r="I264" s="84"/>
      <c r="J264" s="84"/>
      <c r="K264" s="84"/>
      <c r="L264" s="84"/>
      <c r="M264" s="84"/>
      <c r="N264" s="84"/>
      <c r="O264" s="359" t="s">
        <v>577</v>
      </c>
      <c r="P264" s="360" t="s">
        <v>2326</v>
      </c>
      <c r="Q264" s="362" t="s">
        <v>2327</v>
      </c>
      <c r="R264" s="361">
        <v>9.5500000000000007</v>
      </c>
      <c r="S264" s="361"/>
      <c r="T264" s="84"/>
      <c r="U264" s="359" t="s">
        <v>1406</v>
      </c>
      <c r="V264" s="362" t="s">
        <v>1407</v>
      </c>
      <c r="W264" s="360" t="s">
        <v>1408</v>
      </c>
      <c r="X264" s="361">
        <v>2.75</v>
      </c>
    </row>
    <row r="265" spans="5:24" hidden="1">
      <c r="E265" s="84"/>
      <c r="F265" s="84"/>
      <c r="G265" s="84"/>
      <c r="H265" s="84"/>
      <c r="I265" s="84"/>
      <c r="J265" s="84"/>
      <c r="K265" s="84"/>
      <c r="L265" s="84"/>
      <c r="M265" s="84"/>
      <c r="N265" s="84"/>
      <c r="O265" s="359" t="s">
        <v>557</v>
      </c>
      <c r="P265" s="360" t="s">
        <v>2328</v>
      </c>
      <c r="Q265" s="362" t="s">
        <v>587</v>
      </c>
      <c r="R265" s="361">
        <v>11.08</v>
      </c>
      <c r="S265" s="361"/>
      <c r="T265" s="84"/>
      <c r="U265" s="359" t="s">
        <v>1406</v>
      </c>
      <c r="V265" s="362" t="s">
        <v>1409</v>
      </c>
      <c r="W265" s="360" t="s">
        <v>1410</v>
      </c>
      <c r="X265" s="361">
        <v>2.21</v>
      </c>
    </row>
    <row r="266" spans="5:24" hidden="1">
      <c r="E266" s="84"/>
      <c r="F266" s="84"/>
      <c r="G266" s="84"/>
      <c r="H266" s="84"/>
      <c r="I266" s="84"/>
      <c r="J266" s="84"/>
      <c r="K266" s="84"/>
      <c r="L266" s="84"/>
      <c r="M266" s="84"/>
      <c r="N266" s="84"/>
      <c r="O266" s="359" t="s">
        <v>557</v>
      </c>
      <c r="P266" s="360" t="s">
        <v>2688</v>
      </c>
      <c r="Q266" s="362">
        <v>4340481007</v>
      </c>
      <c r="R266" s="361">
        <v>14.5</v>
      </c>
      <c r="S266" s="361"/>
      <c r="T266" s="84"/>
      <c r="U266" s="359" t="s">
        <v>1406</v>
      </c>
      <c r="V266" s="362" t="s">
        <v>1411</v>
      </c>
      <c r="W266" s="360" t="s">
        <v>1412</v>
      </c>
      <c r="X266" s="361">
        <v>1.33</v>
      </c>
    </row>
    <row r="267" spans="5:24" hidden="1">
      <c r="E267" s="84"/>
      <c r="F267" s="84"/>
      <c r="G267" s="84"/>
      <c r="H267" s="84"/>
      <c r="I267" s="84"/>
      <c r="J267" s="84"/>
      <c r="K267" s="84"/>
      <c r="L267" s="84"/>
      <c r="M267" s="84"/>
      <c r="N267" s="84"/>
      <c r="O267" s="359" t="s">
        <v>557</v>
      </c>
      <c r="P267" s="360" t="s">
        <v>2589</v>
      </c>
      <c r="Q267" s="362">
        <v>4340481008</v>
      </c>
      <c r="R267" s="361">
        <v>27.060000000000002</v>
      </c>
      <c r="S267" s="361"/>
      <c r="T267" s="84"/>
      <c r="U267" s="359" t="s">
        <v>1406</v>
      </c>
      <c r="V267" s="362" t="s">
        <v>1413</v>
      </c>
      <c r="W267" s="360" t="s">
        <v>1414</v>
      </c>
      <c r="X267" s="356">
        <v>1.46</v>
      </c>
    </row>
    <row r="268" spans="5:24" hidden="1">
      <c r="E268" s="84"/>
      <c r="F268" s="84"/>
      <c r="G268" s="84"/>
      <c r="H268" s="84"/>
      <c r="I268" s="84"/>
      <c r="J268" s="84"/>
      <c r="K268" s="84"/>
      <c r="L268" s="84"/>
      <c r="M268" s="84"/>
      <c r="N268" s="84"/>
      <c r="O268" s="359" t="s">
        <v>557</v>
      </c>
      <c r="P268" s="360" t="s">
        <v>2329</v>
      </c>
      <c r="Q268" s="362" t="s">
        <v>588</v>
      </c>
      <c r="R268" s="361">
        <v>12.3</v>
      </c>
      <c r="S268" s="361"/>
      <c r="T268" s="84"/>
      <c r="U268" s="359" t="s">
        <v>1406</v>
      </c>
      <c r="V268" s="362" t="s">
        <v>1415</v>
      </c>
      <c r="W268" s="360" t="s">
        <v>1416</v>
      </c>
      <c r="X268" s="361">
        <v>2.21</v>
      </c>
    </row>
    <row r="269" spans="5:24" hidden="1">
      <c r="E269" s="84"/>
      <c r="F269" s="84"/>
      <c r="G269" s="84"/>
      <c r="H269" s="84"/>
      <c r="I269" s="84"/>
      <c r="J269" s="84"/>
      <c r="K269" s="84"/>
      <c r="L269" s="84"/>
      <c r="M269" s="84"/>
      <c r="N269" s="84"/>
      <c r="O269" s="359" t="s">
        <v>557</v>
      </c>
      <c r="P269" s="360" t="s">
        <v>2330</v>
      </c>
      <c r="Q269" s="362">
        <v>4340481161</v>
      </c>
      <c r="R269" s="361">
        <v>11.59</v>
      </c>
      <c r="S269" s="361"/>
      <c r="T269" s="84"/>
      <c r="U269" s="359" t="s">
        <v>1406</v>
      </c>
      <c r="V269" s="362" t="s">
        <v>1417</v>
      </c>
      <c r="W269" s="360" t="s">
        <v>1418</v>
      </c>
      <c r="X269" s="361">
        <v>2.83</v>
      </c>
    </row>
    <row r="270" spans="5:24" hidden="1">
      <c r="E270" s="84"/>
      <c r="F270" s="84"/>
      <c r="G270" s="84"/>
      <c r="H270" s="84"/>
      <c r="I270" s="84"/>
      <c r="J270" s="84"/>
      <c r="K270" s="84"/>
      <c r="L270" s="84"/>
      <c r="M270" s="84"/>
      <c r="N270" s="84"/>
      <c r="O270" s="359" t="s">
        <v>557</v>
      </c>
      <c r="P270" s="360" t="s">
        <v>2331</v>
      </c>
      <c r="Q270" s="362" t="s">
        <v>2332</v>
      </c>
      <c r="R270" s="361">
        <v>11.99</v>
      </c>
      <c r="S270" s="361"/>
      <c r="T270" s="84"/>
      <c r="U270" s="359" t="s">
        <v>1406</v>
      </c>
      <c r="V270" s="362" t="s">
        <v>1419</v>
      </c>
      <c r="W270" s="360" t="s">
        <v>1420</v>
      </c>
      <c r="X270" s="361">
        <v>2.83</v>
      </c>
    </row>
    <row r="271" spans="5:24" hidden="1">
      <c r="E271" s="84"/>
      <c r="F271" s="84"/>
      <c r="G271" s="84"/>
      <c r="H271" s="84"/>
      <c r="I271" s="84"/>
      <c r="J271" s="84"/>
      <c r="K271" s="84"/>
      <c r="L271" s="84"/>
      <c r="M271" s="84"/>
      <c r="N271" s="84"/>
      <c r="O271" s="359" t="s">
        <v>557</v>
      </c>
      <c r="P271" s="360" t="s">
        <v>2463</v>
      </c>
      <c r="Q271" s="362">
        <v>4340481094</v>
      </c>
      <c r="R271" s="361">
        <v>9.5500000000000007</v>
      </c>
      <c r="S271" s="361"/>
      <c r="T271" s="84"/>
      <c r="U271" s="359" t="s">
        <v>1406</v>
      </c>
      <c r="V271" s="362" t="s">
        <v>1421</v>
      </c>
      <c r="W271" s="360" t="s">
        <v>1422</v>
      </c>
      <c r="X271" s="361">
        <v>11.09</v>
      </c>
    </row>
    <row r="272" spans="5:24" hidden="1">
      <c r="E272" s="84"/>
      <c r="F272" s="84"/>
      <c r="G272" s="84"/>
      <c r="H272" s="84"/>
      <c r="I272" s="84"/>
      <c r="J272" s="84"/>
      <c r="K272" s="84"/>
      <c r="L272" s="84"/>
      <c r="M272" s="84"/>
      <c r="N272" s="84"/>
      <c r="O272" s="359" t="s">
        <v>557</v>
      </c>
      <c r="P272" s="360" t="s">
        <v>2333</v>
      </c>
      <c r="Q272" s="362">
        <v>4340481163</v>
      </c>
      <c r="R272" s="361">
        <v>13.68</v>
      </c>
      <c r="S272" s="361"/>
      <c r="T272" s="84"/>
      <c r="U272" s="359" t="s">
        <v>1406</v>
      </c>
      <c r="V272" s="362" t="s">
        <v>1423</v>
      </c>
      <c r="W272" s="360" t="s">
        <v>1424</v>
      </c>
      <c r="X272" s="361">
        <v>16.73</v>
      </c>
    </row>
    <row r="273" spans="5:24" hidden="1">
      <c r="E273" s="84"/>
      <c r="F273" s="84"/>
      <c r="G273" s="84"/>
      <c r="H273" s="84"/>
      <c r="I273" s="84"/>
      <c r="J273" s="84"/>
      <c r="K273" s="84"/>
      <c r="L273" s="84"/>
      <c r="M273" s="84"/>
      <c r="N273" s="84"/>
      <c r="O273" s="359" t="s">
        <v>557</v>
      </c>
      <c r="P273" s="360" t="s">
        <v>2334</v>
      </c>
      <c r="Q273" s="362" t="s">
        <v>584</v>
      </c>
      <c r="R273" s="361">
        <v>10.3</v>
      </c>
      <c r="S273" s="361"/>
      <c r="T273" s="84"/>
      <c r="U273" s="359" t="s">
        <v>1406</v>
      </c>
      <c r="V273" s="362" t="s">
        <v>1425</v>
      </c>
      <c r="W273" s="360" t="s">
        <v>1426</v>
      </c>
      <c r="X273" s="361">
        <v>57.04</v>
      </c>
    </row>
    <row r="274" spans="5:24" hidden="1">
      <c r="E274" s="84"/>
      <c r="F274" s="84"/>
      <c r="G274" s="84"/>
      <c r="H274" s="84"/>
      <c r="I274" s="84"/>
      <c r="J274" s="84"/>
      <c r="K274" s="84"/>
      <c r="L274" s="84"/>
      <c r="M274" s="84"/>
      <c r="N274" s="84"/>
      <c r="O274" s="359" t="s">
        <v>557</v>
      </c>
      <c r="P274" s="360" t="s">
        <v>2335</v>
      </c>
      <c r="Q274" s="362" t="s">
        <v>2336</v>
      </c>
      <c r="R274" s="361">
        <v>15.17</v>
      </c>
      <c r="S274" s="361"/>
      <c r="T274" s="84"/>
      <c r="U274" s="359" t="s">
        <v>1406</v>
      </c>
      <c r="V274" s="362" t="s">
        <v>1427</v>
      </c>
      <c r="W274" s="360" t="s">
        <v>1428</v>
      </c>
      <c r="X274" s="361">
        <v>5.73</v>
      </c>
    </row>
    <row r="275" spans="5:24" hidden="1">
      <c r="E275" s="84"/>
      <c r="F275" s="84"/>
      <c r="G275" s="84"/>
      <c r="H275" s="84"/>
      <c r="I275" s="84"/>
      <c r="J275" s="84"/>
      <c r="K275" s="84"/>
      <c r="L275" s="84"/>
      <c r="M275" s="84"/>
      <c r="N275" s="84"/>
      <c r="O275" s="359" t="s">
        <v>557</v>
      </c>
      <c r="P275" s="360" t="s">
        <v>2337</v>
      </c>
      <c r="Q275" s="362" t="s">
        <v>585</v>
      </c>
      <c r="R275" s="361">
        <v>13.47</v>
      </c>
      <c r="S275" s="361"/>
      <c r="T275" s="84"/>
      <c r="U275" s="359" t="s">
        <v>1406</v>
      </c>
      <c r="V275" s="362" t="s">
        <v>1429</v>
      </c>
      <c r="W275" s="360" t="s">
        <v>1430</v>
      </c>
      <c r="X275" s="361">
        <v>5.91</v>
      </c>
    </row>
    <row r="276" spans="5:24" hidden="1">
      <c r="E276" s="84"/>
      <c r="F276" s="84"/>
      <c r="G276" s="84"/>
      <c r="H276" s="84"/>
      <c r="I276" s="84"/>
      <c r="J276" s="84"/>
      <c r="K276" s="84"/>
      <c r="L276" s="84"/>
      <c r="M276" s="84"/>
      <c r="N276" s="84"/>
      <c r="O276" s="359" t="s">
        <v>557</v>
      </c>
      <c r="P276" s="360" t="s">
        <v>2338</v>
      </c>
      <c r="Q276" s="362" t="s">
        <v>586</v>
      </c>
      <c r="R276" s="361">
        <v>17.41</v>
      </c>
      <c r="S276" s="361"/>
      <c r="T276" s="84"/>
      <c r="U276" s="359" t="s">
        <v>1406</v>
      </c>
      <c r="V276" s="362" t="s">
        <v>1431</v>
      </c>
      <c r="W276" s="360" t="s">
        <v>1432</v>
      </c>
      <c r="X276" s="361">
        <v>4.42</v>
      </c>
    </row>
    <row r="277" spans="5:24" hidden="1">
      <c r="E277" s="84"/>
      <c r="F277" s="84"/>
      <c r="G277" s="84"/>
      <c r="H277" s="84"/>
      <c r="I277" s="84"/>
      <c r="J277" s="84"/>
      <c r="K277" s="84"/>
      <c r="L277" s="84"/>
      <c r="M277" s="84"/>
      <c r="N277" s="84"/>
      <c r="O277" s="359" t="s">
        <v>577</v>
      </c>
      <c r="P277" s="360" t="s">
        <v>2689</v>
      </c>
      <c r="Q277" s="362">
        <v>4340481010</v>
      </c>
      <c r="R277" s="361">
        <v>22.11</v>
      </c>
      <c r="S277" s="361"/>
      <c r="T277" s="84"/>
      <c r="U277" s="359" t="s">
        <v>1406</v>
      </c>
      <c r="V277" s="362" t="s">
        <v>1433</v>
      </c>
      <c r="W277" s="360" t="s">
        <v>1434</v>
      </c>
      <c r="X277" s="361">
        <v>12.23</v>
      </c>
    </row>
    <row r="278" spans="5:24" hidden="1">
      <c r="E278" s="84"/>
      <c r="F278" s="84"/>
      <c r="G278" s="84"/>
      <c r="H278" s="84"/>
      <c r="I278" s="84"/>
      <c r="J278" s="84"/>
      <c r="K278" s="84"/>
      <c r="L278" s="84"/>
      <c r="M278" s="84"/>
      <c r="N278" s="84"/>
      <c r="O278" s="359" t="s">
        <v>577</v>
      </c>
      <c r="P278" s="360" t="s">
        <v>2339</v>
      </c>
      <c r="Q278" s="362" t="s">
        <v>589</v>
      </c>
      <c r="R278" s="361">
        <v>8.35</v>
      </c>
      <c r="S278" s="361"/>
      <c r="T278" s="84"/>
      <c r="U278" s="359" t="s">
        <v>1406</v>
      </c>
      <c r="V278" s="362" t="s">
        <v>1435</v>
      </c>
      <c r="W278" s="360" t="s">
        <v>1436</v>
      </c>
      <c r="X278" s="361">
        <v>2.36</v>
      </c>
    </row>
    <row r="279" spans="5:24" hidden="1">
      <c r="E279" s="84"/>
      <c r="F279" s="84"/>
      <c r="G279" s="84"/>
      <c r="H279" s="84"/>
      <c r="I279" s="84"/>
      <c r="J279" s="84"/>
      <c r="K279" s="84"/>
      <c r="L279" s="84"/>
      <c r="M279" s="84"/>
      <c r="N279" s="84"/>
      <c r="O279" s="359" t="s">
        <v>577</v>
      </c>
      <c r="P279" s="360" t="s">
        <v>2340</v>
      </c>
      <c r="Q279" s="362" t="s">
        <v>590</v>
      </c>
      <c r="R279" s="361">
        <v>8.75</v>
      </c>
      <c r="S279" s="361"/>
      <c r="T279" s="84"/>
      <c r="U279" s="359" t="s">
        <v>1406</v>
      </c>
      <c r="V279" s="362" t="s">
        <v>1437</v>
      </c>
      <c r="W279" s="360" t="s">
        <v>1438</v>
      </c>
      <c r="X279" s="361">
        <v>2.99</v>
      </c>
    </row>
    <row r="280" spans="5:24" hidden="1">
      <c r="E280" s="84"/>
      <c r="F280" s="84"/>
      <c r="G280" s="84"/>
      <c r="H280" s="84"/>
      <c r="I280" s="84"/>
      <c r="J280" s="84"/>
      <c r="K280" s="84"/>
      <c r="L280" s="84"/>
      <c r="M280" s="84"/>
      <c r="N280" s="84"/>
      <c r="O280" s="359" t="s">
        <v>577</v>
      </c>
      <c r="P280" s="360" t="s">
        <v>2341</v>
      </c>
      <c r="Q280" s="362" t="s">
        <v>591</v>
      </c>
      <c r="R280" s="361">
        <v>9.17</v>
      </c>
      <c r="S280" s="361"/>
      <c r="T280" s="84"/>
      <c r="U280" s="359" t="s">
        <v>1406</v>
      </c>
      <c r="V280" s="362" t="s">
        <v>1439</v>
      </c>
      <c r="W280" s="360" t="s">
        <v>1440</v>
      </c>
      <c r="X280" s="361">
        <v>16.510000000000002</v>
      </c>
    </row>
    <row r="281" spans="5:24" hidden="1">
      <c r="E281" s="84"/>
      <c r="F281" s="84"/>
      <c r="G281" s="84"/>
      <c r="H281" s="84"/>
      <c r="I281" s="84"/>
      <c r="J281" s="84"/>
      <c r="K281" s="84"/>
      <c r="L281" s="84"/>
      <c r="M281" s="84"/>
      <c r="N281" s="84"/>
      <c r="O281" s="359" t="s">
        <v>577</v>
      </c>
      <c r="P281" s="360" t="s">
        <v>2343</v>
      </c>
      <c r="Q281" s="362" t="s">
        <v>578</v>
      </c>
      <c r="R281" s="361">
        <v>8.75</v>
      </c>
      <c r="S281" s="361"/>
      <c r="T281" s="84"/>
      <c r="U281" s="359" t="s">
        <v>1406</v>
      </c>
      <c r="V281" s="362" t="s">
        <v>1441</v>
      </c>
      <c r="W281" s="360" t="s">
        <v>1442</v>
      </c>
      <c r="X281" s="361">
        <v>12.57</v>
      </c>
    </row>
    <row r="282" spans="5:24" hidden="1">
      <c r="E282" s="84"/>
      <c r="F282" s="84"/>
      <c r="G282" s="84"/>
      <c r="H282" s="84"/>
      <c r="I282" s="84"/>
      <c r="J282" s="84"/>
      <c r="K282" s="84"/>
      <c r="L282" s="84"/>
      <c r="M282" s="84"/>
      <c r="N282" s="84"/>
      <c r="O282" s="359" t="s">
        <v>557</v>
      </c>
      <c r="P282" s="360" t="s">
        <v>2342</v>
      </c>
      <c r="Q282" s="362" t="s">
        <v>579</v>
      </c>
      <c r="R282" s="361">
        <v>13.74</v>
      </c>
      <c r="S282" s="361"/>
      <c r="T282" s="84"/>
      <c r="U282" s="359" t="s">
        <v>1406</v>
      </c>
      <c r="V282" s="362" t="s">
        <v>1443</v>
      </c>
      <c r="W282" s="360" t="s">
        <v>1444</v>
      </c>
      <c r="X282" s="361">
        <v>7.49</v>
      </c>
    </row>
    <row r="283" spans="5:24" hidden="1">
      <c r="E283" s="84"/>
      <c r="F283" s="84"/>
      <c r="G283" s="84"/>
      <c r="H283" s="84"/>
      <c r="I283" s="84"/>
      <c r="J283" s="84"/>
      <c r="K283" s="84"/>
      <c r="L283" s="84"/>
      <c r="M283" s="84"/>
      <c r="N283" s="84"/>
      <c r="O283" s="359" t="s">
        <v>557</v>
      </c>
      <c r="P283" s="360" t="s">
        <v>2344</v>
      </c>
      <c r="Q283" s="362" t="s">
        <v>580</v>
      </c>
      <c r="R283" s="361">
        <v>13.47</v>
      </c>
      <c r="S283" s="361"/>
      <c r="T283" s="84"/>
      <c r="U283" s="359" t="s">
        <v>1406</v>
      </c>
      <c r="V283" s="362" t="s">
        <v>1445</v>
      </c>
      <c r="W283" s="360" t="s">
        <v>1446</v>
      </c>
      <c r="X283" s="361">
        <v>17.649999999999999</v>
      </c>
    </row>
    <row r="284" spans="5:24" hidden="1">
      <c r="E284" s="84"/>
      <c r="F284" s="84"/>
      <c r="G284" s="84"/>
      <c r="H284" s="84"/>
      <c r="I284" s="84"/>
      <c r="J284" s="84"/>
      <c r="K284" s="84"/>
      <c r="L284" s="84"/>
      <c r="M284" s="84"/>
      <c r="N284" s="84"/>
      <c r="O284" s="359" t="s">
        <v>577</v>
      </c>
      <c r="P284" s="360" t="s">
        <v>2678</v>
      </c>
      <c r="Q284" s="362" t="s">
        <v>581</v>
      </c>
      <c r="R284" s="361">
        <v>8.77</v>
      </c>
      <c r="S284" s="361"/>
      <c r="T284" s="84"/>
      <c r="U284" s="359" t="s">
        <v>1406</v>
      </c>
      <c r="V284" s="362" t="s">
        <v>1447</v>
      </c>
      <c r="W284" s="360" t="s">
        <v>1448</v>
      </c>
      <c r="X284" s="361">
        <v>34.46</v>
      </c>
    </row>
    <row r="285" spans="5:24" hidden="1">
      <c r="E285" s="84"/>
      <c r="F285" s="84"/>
      <c r="G285" s="84"/>
      <c r="H285" s="84"/>
      <c r="I285" s="84"/>
      <c r="J285" s="84"/>
      <c r="K285" s="84"/>
      <c r="L285" s="84"/>
      <c r="M285" s="84"/>
      <c r="N285" s="84"/>
      <c r="O285" s="359" t="s">
        <v>577</v>
      </c>
      <c r="P285" s="360" t="s">
        <v>2345</v>
      </c>
      <c r="Q285" s="362" t="s">
        <v>582</v>
      </c>
      <c r="R285" s="361">
        <v>9.59</v>
      </c>
      <c r="S285" s="361"/>
      <c r="T285" s="84"/>
      <c r="U285" s="359" t="s">
        <v>1449</v>
      </c>
      <c r="V285" s="362" t="s">
        <v>1450</v>
      </c>
      <c r="W285" s="360" t="s">
        <v>1451</v>
      </c>
      <c r="X285" s="361">
        <v>26.96</v>
      </c>
    </row>
    <row r="286" spans="5:24" hidden="1">
      <c r="E286" s="84"/>
      <c r="F286" s="84"/>
      <c r="G286" s="84"/>
      <c r="H286" s="84"/>
      <c r="I286" s="84"/>
      <c r="J286" s="84"/>
      <c r="K286" s="84"/>
      <c r="L286" s="84"/>
      <c r="M286" s="84"/>
      <c r="N286" s="84"/>
      <c r="O286" s="359" t="s">
        <v>557</v>
      </c>
      <c r="P286" s="360" t="s">
        <v>2346</v>
      </c>
      <c r="Q286" s="362" t="s">
        <v>583</v>
      </c>
      <c r="R286" s="361">
        <v>13.19</v>
      </c>
      <c r="S286" s="361"/>
      <c r="T286" s="84"/>
      <c r="U286" s="359" t="s">
        <v>1452</v>
      </c>
      <c r="V286" s="362">
        <v>8006622</v>
      </c>
      <c r="W286" s="360" t="s">
        <v>1453</v>
      </c>
      <c r="X286" s="361">
        <v>295.52</v>
      </c>
    </row>
    <row r="287" spans="5:24" hidden="1">
      <c r="E287" s="84"/>
      <c r="F287" s="84"/>
      <c r="G287" s="84"/>
      <c r="H287" s="84"/>
      <c r="I287" s="84"/>
      <c r="J287" s="84"/>
      <c r="K287" s="84"/>
      <c r="L287" s="84"/>
      <c r="M287" s="84"/>
      <c r="N287" s="84"/>
      <c r="O287" s="359" t="s">
        <v>557</v>
      </c>
      <c r="P287" s="360" t="s">
        <v>2347</v>
      </c>
      <c r="Q287" s="362" t="s">
        <v>1993</v>
      </c>
      <c r="R287" s="361">
        <v>16.260000000000002</v>
      </c>
      <c r="S287" s="361"/>
      <c r="T287" s="84"/>
      <c r="U287" s="359" t="s">
        <v>1452</v>
      </c>
      <c r="V287" s="362">
        <v>8006877</v>
      </c>
      <c r="W287" s="360" t="s">
        <v>1454</v>
      </c>
      <c r="X287" s="361">
        <v>30.7</v>
      </c>
    </row>
    <row r="288" spans="5:24" hidden="1">
      <c r="E288" s="84"/>
      <c r="F288" s="84"/>
      <c r="G288" s="84"/>
      <c r="H288" s="84"/>
      <c r="I288" s="84"/>
      <c r="J288" s="84"/>
      <c r="K288" s="84"/>
      <c r="L288" s="84"/>
      <c r="M288" s="84"/>
      <c r="N288" s="84"/>
      <c r="O288" s="359" t="s">
        <v>557</v>
      </c>
      <c r="P288" s="360" t="s">
        <v>2348</v>
      </c>
      <c r="Q288" s="362" t="s">
        <v>1994</v>
      </c>
      <c r="R288" s="361">
        <v>16.829999999999998</v>
      </c>
      <c r="S288" s="361"/>
      <c r="T288" s="84"/>
      <c r="U288" s="359" t="s">
        <v>1452</v>
      </c>
      <c r="V288" s="362">
        <v>80802377</v>
      </c>
      <c r="W288" s="360" t="s">
        <v>1455</v>
      </c>
      <c r="X288" s="361">
        <v>6.2</v>
      </c>
    </row>
    <row r="289" spans="5:24" hidden="1">
      <c r="E289" s="84"/>
      <c r="F289" s="84"/>
      <c r="G289" s="84"/>
      <c r="H289" s="84"/>
      <c r="I289" s="84"/>
      <c r="J289" s="84"/>
      <c r="K289" s="84"/>
      <c r="L289" s="84"/>
      <c r="M289" s="84"/>
      <c r="N289" s="84"/>
      <c r="O289" s="359" t="s">
        <v>557</v>
      </c>
      <c r="P289" s="360" t="s">
        <v>2349</v>
      </c>
      <c r="Q289" s="362" t="s">
        <v>1995</v>
      </c>
      <c r="R289" s="361">
        <v>17.89</v>
      </c>
      <c r="S289" s="361"/>
      <c r="T289" s="84"/>
      <c r="U289" s="359" t="s">
        <v>1452</v>
      </c>
      <c r="V289" s="362">
        <v>80806033</v>
      </c>
      <c r="W289" s="360" t="s">
        <v>1456</v>
      </c>
      <c r="X289" s="361">
        <v>35.159999999999997</v>
      </c>
    </row>
    <row r="290" spans="5:24" hidden="1">
      <c r="E290" s="84"/>
      <c r="F290" s="84"/>
      <c r="G290" s="84"/>
      <c r="H290" s="84"/>
      <c r="I290" s="84"/>
      <c r="J290" s="84"/>
      <c r="K290" s="84"/>
      <c r="L290" s="84"/>
      <c r="M290" s="84"/>
      <c r="N290" s="84"/>
      <c r="O290" s="359" t="s">
        <v>557</v>
      </c>
      <c r="P290" s="360" t="s">
        <v>2350</v>
      </c>
      <c r="Q290" s="362" t="s">
        <v>1996</v>
      </c>
      <c r="R290" s="361">
        <v>14.39</v>
      </c>
      <c r="S290" s="361"/>
      <c r="T290" s="84"/>
      <c r="U290" s="359" t="s">
        <v>1452</v>
      </c>
      <c r="V290" s="362">
        <v>800081098</v>
      </c>
      <c r="W290" s="360" t="s">
        <v>1457</v>
      </c>
      <c r="X290" s="361">
        <v>63.83</v>
      </c>
    </row>
    <row r="291" spans="5:24" hidden="1">
      <c r="E291" s="84"/>
      <c r="F291" s="84"/>
      <c r="G291" s="84"/>
      <c r="H291" s="84"/>
      <c r="I291" s="84"/>
      <c r="J291" s="84"/>
      <c r="K291" s="84"/>
      <c r="L291" s="84"/>
      <c r="M291" s="84"/>
      <c r="N291" s="84"/>
      <c r="O291" s="359" t="s">
        <v>557</v>
      </c>
      <c r="P291" s="360" t="s">
        <v>2351</v>
      </c>
      <c r="Q291" s="362" t="s">
        <v>1997</v>
      </c>
      <c r="R291" s="361">
        <v>29.54</v>
      </c>
      <c r="S291" s="361"/>
      <c r="T291" s="84"/>
      <c r="U291" s="359" t="s">
        <v>1452</v>
      </c>
      <c r="V291" s="362" t="s">
        <v>1458</v>
      </c>
      <c r="W291" s="360" t="s">
        <v>1459</v>
      </c>
      <c r="X291" s="361">
        <v>278.24</v>
      </c>
    </row>
    <row r="292" spans="5:24" hidden="1">
      <c r="E292" s="84"/>
      <c r="F292" s="84"/>
      <c r="G292" s="84"/>
      <c r="H292" s="84"/>
      <c r="I292" s="84"/>
      <c r="J292" s="84"/>
      <c r="K292" s="84"/>
      <c r="L292" s="84"/>
      <c r="M292" s="84"/>
      <c r="N292" s="84"/>
      <c r="O292" s="359" t="s">
        <v>557</v>
      </c>
      <c r="P292" s="360" t="s">
        <v>2352</v>
      </c>
      <c r="Q292" s="362" t="s">
        <v>1998</v>
      </c>
      <c r="R292" s="361">
        <v>17.23</v>
      </c>
      <c r="S292" s="361"/>
      <c r="T292" s="84"/>
      <c r="U292" s="359" t="s">
        <v>1452</v>
      </c>
      <c r="V292" s="362" t="s">
        <v>1460</v>
      </c>
      <c r="W292" s="360" t="s">
        <v>1461</v>
      </c>
      <c r="X292" s="361">
        <v>208.56</v>
      </c>
    </row>
    <row r="293" spans="5:24" hidden="1">
      <c r="E293" s="84"/>
      <c r="F293" s="84"/>
      <c r="G293" s="84"/>
      <c r="H293" s="84"/>
      <c r="I293" s="84"/>
      <c r="J293" s="84"/>
      <c r="K293" s="84"/>
      <c r="L293" s="84"/>
      <c r="M293" s="84"/>
      <c r="N293" s="84"/>
      <c r="O293" s="359" t="s">
        <v>557</v>
      </c>
      <c r="P293" s="360" t="s">
        <v>2353</v>
      </c>
      <c r="Q293" s="362" t="s">
        <v>1999</v>
      </c>
      <c r="R293" s="361">
        <v>26.2</v>
      </c>
      <c r="S293" s="361"/>
      <c r="T293" s="84"/>
      <c r="U293" s="359" t="s">
        <v>1462</v>
      </c>
      <c r="V293" s="362" t="s">
        <v>1463</v>
      </c>
      <c r="W293" s="360" t="s">
        <v>1464</v>
      </c>
      <c r="X293" s="361">
        <v>37.1</v>
      </c>
    </row>
    <row r="294" spans="5:24" hidden="1">
      <c r="E294" s="84"/>
      <c r="F294" s="84"/>
      <c r="G294" s="84"/>
      <c r="H294" s="84"/>
      <c r="I294" s="84"/>
      <c r="J294" s="84"/>
      <c r="K294" s="84"/>
      <c r="L294" s="84"/>
      <c r="M294" s="84"/>
      <c r="N294" s="84"/>
      <c r="O294" s="359" t="s">
        <v>557</v>
      </c>
      <c r="P294" s="360" t="s">
        <v>2354</v>
      </c>
      <c r="Q294" s="362" t="s">
        <v>2000</v>
      </c>
      <c r="R294" s="361">
        <v>22.19</v>
      </c>
      <c r="S294" s="361"/>
      <c r="T294" s="84"/>
      <c r="U294" s="359" t="s">
        <v>1465</v>
      </c>
      <c r="V294" s="362" t="s">
        <v>1466</v>
      </c>
      <c r="W294" s="360" t="s">
        <v>1467</v>
      </c>
      <c r="X294" s="361">
        <v>724.33</v>
      </c>
    </row>
    <row r="295" spans="5:24" hidden="1">
      <c r="E295" s="84"/>
      <c r="F295" s="84"/>
      <c r="G295" s="84"/>
      <c r="H295" s="84"/>
      <c r="I295" s="84"/>
      <c r="J295" s="84"/>
      <c r="K295" s="84"/>
      <c r="L295" s="84"/>
      <c r="M295" s="84"/>
      <c r="N295" s="84"/>
      <c r="O295" s="359" t="s">
        <v>557</v>
      </c>
      <c r="P295" s="360" t="s">
        <v>2355</v>
      </c>
      <c r="Q295" s="362" t="s">
        <v>2001</v>
      </c>
      <c r="R295" s="361">
        <v>25.74</v>
      </c>
      <c r="S295" s="361"/>
      <c r="T295" s="84"/>
      <c r="U295" s="359" t="s">
        <v>1465</v>
      </c>
      <c r="V295" s="362" t="s">
        <v>1468</v>
      </c>
      <c r="W295" s="360" t="s">
        <v>1469</v>
      </c>
      <c r="X295" s="361">
        <v>1806.85</v>
      </c>
    </row>
    <row r="296" spans="5:24" hidden="1">
      <c r="E296" s="84"/>
      <c r="F296" s="84"/>
      <c r="G296" s="84"/>
      <c r="H296" s="84"/>
      <c r="I296" s="84"/>
      <c r="J296" s="84"/>
      <c r="K296" s="84"/>
      <c r="L296" s="84"/>
      <c r="M296" s="84"/>
      <c r="N296" s="84"/>
      <c r="O296" s="359" t="s">
        <v>557</v>
      </c>
      <c r="P296" s="360" t="s">
        <v>2590</v>
      </c>
      <c r="Q296" s="362">
        <v>4340481198</v>
      </c>
      <c r="R296" s="361">
        <v>37.119999999999997</v>
      </c>
      <c r="S296" s="361"/>
      <c r="T296" s="84"/>
      <c r="U296" s="359" t="s">
        <v>1470</v>
      </c>
      <c r="V296" s="362" t="s">
        <v>1471</v>
      </c>
      <c r="W296" s="360" t="s">
        <v>1472</v>
      </c>
      <c r="X296" s="361">
        <v>12.02</v>
      </c>
    </row>
    <row r="297" spans="5:24" hidden="1">
      <c r="E297" s="84"/>
      <c r="F297" s="84"/>
      <c r="G297" s="84"/>
      <c r="H297" s="84"/>
      <c r="I297" s="84"/>
      <c r="J297" s="84"/>
      <c r="K297" s="84"/>
      <c r="L297" s="84"/>
      <c r="M297" s="84"/>
      <c r="N297" s="84"/>
      <c r="O297" s="359" t="s">
        <v>557</v>
      </c>
      <c r="P297" s="360" t="s">
        <v>2591</v>
      </c>
      <c r="Q297" s="362">
        <v>4340481199</v>
      </c>
      <c r="R297" s="361">
        <v>34.299999999999997</v>
      </c>
      <c r="S297" s="361"/>
      <c r="T297" s="84"/>
      <c r="U297" s="359" t="s">
        <v>1473</v>
      </c>
      <c r="V297" s="362">
        <v>1048</v>
      </c>
      <c r="W297" s="360" t="s">
        <v>1474</v>
      </c>
      <c r="X297" s="361">
        <v>5</v>
      </c>
    </row>
    <row r="298" spans="5:24" hidden="1">
      <c r="E298" s="84"/>
      <c r="F298" s="84"/>
      <c r="G298" s="84"/>
      <c r="H298" s="84"/>
      <c r="I298" s="84"/>
      <c r="J298" s="84"/>
      <c r="K298" s="84"/>
      <c r="L298" s="84"/>
      <c r="M298" s="84"/>
      <c r="N298" s="84"/>
      <c r="O298" s="359" t="s">
        <v>557</v>
      </c>
      <c r="P298" s="360" t="s">
        <v>2594</v>
      </c>
      <c r="Q298" s="362" t="s">
        <v>2002</v>
      </c>
      <c r="R298" s="361">
        <v>19.07</v>
      </c>
      <c r="S298" s="361"/>
      <c r="T298" s="84"/>
      <c r="U298" s="359" t="s">
        <v>1473</v>
      </c>
      <c r="V298" s="362">
        <v>8232</v>
      </c>
      <c r="W298" s="360" t="s">
        <v>1475</v>
      </c>
      <c r="X298" s="361">
        <v>4.38</v>
      </c>
    </row>
    <row r="299" spans="5:24" hidden="1">
      <c r="E299" s="84"/>
      <c r="F299" s="84"/>
      <c r="G299" s="84"/>
      <c r="H299" s="84"/>
      <c r="I299" s="84"/>
      <c r="J299" s="84"/>
      <c r="K299" s="84"/>
      <c r="L299" s="84"/>
      <c r="M299" s="84"/>
      <c r="N299" s="84"/>
      <c r="O299" s="359" t="s">
        <v>557</v>
      </c>
      <c r="P299" s="360" t="s">
        <v>2593</v>
      </c>
      <c r="Q299" s="362" t="s">
        <v>2003</v>
      </c>
      <c r="R299" s="361">
        <v>12.93</v>
      </c>
      <c r="S299" s="361"/>
      <c r="T299" s="84"/>
      <c r="U299" s="359" t="s">
        <v>1473</v>
      </c>
      <c r="V299" s="362">
        <v>8752</v>
      </c>
      <c r="W299" s="360" t="s">
        <v>1476</v>
      </c>
      <c r="X299" s="361">
        <v>0.96</v>
      </c>
    </row>
    <row r="300" spans="5:24" hidden="1">
      <c r="E300" s="84"/>
      <c r="F300" s="84"/>
      <c r="G300" s="84"/>
      <c r="H300" s="84"/>
      <c r="I300" s="84"/>
      <c r="J300" s="84"/>
      <c r="K300" s="84"/>
      <c r="L300" s="84"/>
      <c r="M300" s="84"/>
      <c r="N300" s="84"/>
      <c r="O300" s="359" t="s">
        <v>557</v>
      </c>
      <c r="P300" s="360" t="s">
        <v>2592</v>
      </c>
      <c r="Q300" s="362" t="s">
        <v>2004</v>
      </c>
      <c r="R300" s="361">
        <v>13.6</v>
      </c>
      <c r="S300" s="361"/>
      <c r="T300" s="84"/>
      <c r="U300" s="359" t="s">
        <v>1473</v>
      </c>
      <c r="V300" s="362" t="s">
        <v>1477</v>
      </c>
      <c r="W300" s="360" t="s">
        <v>1478</v>
      </c>
      <c r="X300" s="361">
        <v>0.33</v>
      </c>
    </row>
    <row r="301" spans="5:24" hidden="1">
      <c r="E301" s="84"/>
      <c r="F301" s="84"/>
      <c r="G301" s="84"/>
      <c r="H301" s="84"/>
      <c r="I301" s="84"/>
      <c r="J301" s="84"/>
      <c r="K301" s="84"/>
      <c r="L301" s="84"/>
      <c r="M301" s="84"/>
      <c r="N301" s="84"/>
      <c r="O301" s="359" t="s">
        <v>557</v>
      </c>
      <c r="P301" s="360" t="s">
        <v>2595</v>
      </c>
      <c r="Q301" s="362" t="s">
        <v>2005</v>
      </c>
      <c r="R301" s="361">
        <v>16.7</v>
      </c>
      <c r="S301" s="361"/>
      <c r="T301" s="84"/>
      <c r="U301" s="359" t="s">
        <v>1473</v>
      </c>
      <c r="V301" s="362" t="s">
        <v>1479</v>
      </c>
      <c r="W301" s="360" t="s">
        <v>1480</v>
      </c>
      <c r="X301" s="361">
        <v>4.92</v>
      </c>
    </row>
    <row r="302" spans="5:24" hidden="1">
      <c r="E302" s="84"/>
      <c r="F302" s="84"/>
      <c r="G302" s="84"/>
      <c r="H302" s="84"/>
      <c r="I302" s="84"/>
      <c r="J302" s="84"/>
      <c r="K302" s="84"/>
      <c r="L302" s="84"/>
      <c r="M302" s="84"/>
      <c r="N302" s="84"/>
      <c r="O302" s="359"/>
      <c r="P302" s="360" t="s">
        <v>2356</v>
      </c>
      <c r="Q302" s="389" t="s">
        <v>131</v>
      </c>
      <c r="R302" s="361"/>
      <c r="S302" s="361"/>
      <c r="T302" s="84"/>
      <c r="U302" s="359" t="s">
        <v>1473</v>
      </c>
      <c r="V302" s="362" t="s">
        <v>1481</v>
      </c>
      <c r="W302" s="360" t="s">
        <v>1482</v>
      </c>
      <c r="X302" s="361">
        <v>3.33</v>
      </c>
    </row>
    <row r="303" spans="5:24" hidden="1">
      <c r="E303" s="84"/>
      <c r="F303" s="84"/>
      <c r="G303" s="84"/>
      <c r="H303" s="84"/>
      <c r="I303" s="84"/>
      <c r="J303" s="84"/>
      <c r="K303" s="84"/>
      <c r="L303" s="84"/>
      <c r="M303" s="84"/>
      <c r="N303" s="84"/>
      <c r="O303" s="359" t="s">
        <v>557</v>
      </c>
      <c r="P303" s="360" t="s">
        <v>2357</v>
      </c>
      <c r="Q303" s="362" t="s">
        <v>607</v>
      </c>
      <c r="R303" s="361">
        <v>11.28</v>
      </c>
      <c r="S303" s="361"/>
      <c r="T303" s="84"/>
      <c r="U303" s="359" t="s">
        <v>1483</v>
      </c>
      <c r="V303" s="362">
        <v>50099</v>
      </c>
      <c r="W303" s="360" t="s">
        <v>1484</v>
      </c>
      <c r="X303" s="361">
        <v>4.43</v>
      </c>
    </row>
    <row r="304" spans="5:24" hidden="1">
      <c r="E304" s="84"/>
      <c r="F304" s="84"/>
      <c r="G304" s="84"/>
      <c r="H304" s="84"/>
      <c r="I304" s="84"/>
      <c r="J304" s="84"/>
      <c r="K304" s="84"/>
      <c r="L304" s="84"/>
      <c r="M304" s="84"/>
      <c r="N304" s="84"/>
      <c r="O304" s="359" t="s">
        <v>557</v>
      </c>
      <c r="P304" s="360" t="s">
        <v>2358</v>
      </c>
      <c r="Q304" s="362" t="s">
        <v>608</v>
      </c>
      <c r="R304" s="361">
        <v>11.69</v>
      </c>
      <c r="S304" s="361"/>
      <c r="T304" s="84"/>
      <c r="U304" s="359" t="s">
        <v>1485</v>
      </c>
      <c r="V304" s="362" t="s">
        <v>1486</v>
      </c>
      <c r="W304" s="360" t="s">
        <v>1487</v>
      </c>
      <c r="X304" s="361">
        <v>5.09</v>
      </c>
    </row>
    <row r="305" spans="5:24" hidden="1">
      <c r="E305" s="84"/>
      <c r="F305" s="84"/>
      <c r="G305" s="84"/>
      <c r="H305" s="84"/>
      <c r="I305" s="84"/>
      <c r="J305" s="84"/>
      <c r="K305" s="84"/>
      <c r="L305" s="84"/>
      <c r="M305" s="84"/>
      <c r="N305" s="84"/>
      <c r="O305" s="359" t="s">
        <v>557</v>
      </c>
      <c r="P305" s="360" t="s">
        <v>2359</v>
      </c>
      <c r="Q305" s="362" t="s">
        <v>609</v>
      </c>
      <c r="R305" s="361">
        <v>12.63</v>
      </c>
      <c r="S305" s="361"/>
      <c r="T305" s="84"/>
      <c r="U305" s="359" t="s">
        <v>1485</v>
      </c>
      <c r="V305" s="362" t="s">
        <v>1488</v>
      </c>
      <c r="W305" s="360" t="s">
        <v>1489</v>
      </c>
      <c r="X305" s="361">
        <v>3.33</v>
      </c>
    </row>
    <row r="306" spans="5:24" hidden="1">
      <c r="E306" s="84"/>
      <c r="F306" s="84"/>
      <c r="G306" s="84"/>
      <c r="H306" s="84"/>
      <c r="I306" s="84"/>
      <c r="J306" s="84"/>
      <c r="K306" s="84"/>
      <c r="L306" s="84"/>
      <c r="M306" s="84"/>
      <c r="N306" s="84"/>
      <c r="O306" s="359" t="s">
        <v>557</v>
      </c>
      <c r="P306" s="360" t="s">
        <v>2360</v>
      </c>
      <c r="Q306" s="362" t="s">
        <v>598</v>
      </c>
      <c r="R306" s="361">
        <v>10.86</v>
      </c>
      <c r="S306" s="361"/>
      <c r="T306" s="84"/>
      <c r="U306" s="359" t="s">
        <v>1485</v>
      </c>
      <c r="V306" s="362" t="s">
        <v>1490</v>
      </c>
      <c r="W306" s="360" t="s">
        <v>1491</v>
      </c>
      <c r="X306" s="361">
        <v>6.3</v>
      </c>
    </row>
    <row r="307" spans="5:24" hidden="1">
      <c r="E307" s="84"/>
      <c r="F307" s="84"/>
      <c r="G307" s="84"/>
      <c r="H307" s="84"/>
      <c r="I307" s="84"/>
      <c r="J307" s="84"/>
      <c r="K307" s="84"/>
      <c r="L307" s="84"/>
      <c r="M307" s="84"/>
      <c r="N307" s="84"/>
      <c r="O307" s="359" t="s">
        <v>557</v>
      </c>
      <c r="P307" s="360" t="s">
        <v>2361</v>
      </c>
      <c r="Q307" s="362" t="s">
        <v>599</v>
      </c>
      <c r="R307" s="361">
        <v>11.02</v>
      </c>
      <c r="S307" s="361"/>
      <c r="T307" s="84"/>
      <c r="U307" s="359" t="s">
        <v>1485</v>
      </c>
      <c r="V307" s="362" t="s">
        <v>1492</v>
      </c>
      <c r="W307" s="360" t="s">
        <v>1493</v>
      </c>
      <c r="X307" s="361">
        <v>11.11</v>
      </c>
    </row>
    <row r="308" spans="5:24" hidden="1">
      <c r="E308" s="84"/>
      <c r="F308" s="84"/>
      <c r="G308" s="84"/>
      <c r="H308" s="84"/>
      <c r="I308" s="84"/>
      <c r="J308" s="84"/>
      <c r="K308" s="84"/>
      <c r="L308" s="84"/>
      <c r="M308" s="84"/>
      <c r="N308" s="84"/>
      <c r="O308" s="359" t="s">
        <v>557</v>
      </c>
      <c r="P308" s="360" t="s">
        <v>2362</v>
      </c>
      <c r="Q308" s="362" t="s">
        <v>600</v>
      </c>
      <c r="R308" s="361">
        <v>11.41</v>
      </c>
      <c r="S308" s="361"/>
      <c r="T308" s="84"/>
      <c r="U308" s="359" t="s">
        <v>1485</v>
      </c>
      <c r="V308" s="362" t="s">
        <v>1494</v>
      </c>
      <c r="W308" s="360" t="s">
        <v>1495</v>
      </c>
      <c r="X308" s="361">
        <v>5.59</v>
      </c>
    </row>
    <row r="309" spans="5:24" hidden="1">
      <c r="E309" s="84"/>
      <c r="F309" s="84"/>
      <c r="G309" s="84"/>
      <c r="H309" s="84"/>
      <c r="I309" s="84"/>
      <c r="J309" s="84"/>
      <c r="K309" s="84"/>
      <c r="L309" s="84"/>
      <c r="M309" s="84"/>
      <c r="N309" s="84"/>
      <c r="O309" s="359" t="s">
        <v>557</v>
      </c>
      <c r="P309" s="360" t="s">
        <v>2363</v>
      </c>
      <c r="Q309" s="362" t="s">
        <v>601</v>
      </c>
      <c r="R309" s="361">
        <v>12.36</v>
      </c>
      <c r="S309" s="361"/>
      <c r="T309" s="84"/>
      <c r="U309" s="359" t="s">
        <v>1485</v>
      </c>
      <c r="V309" s="362" t="s">
        <v>1496</v>
      </c>
      <c r="W309" s="360" t="s">
        <v>1497</v>
      </c>
      <c r="X309" s="361">
        <v>42.93</v>
      </c>
    </row>
    <row r="310" spans="5:24" hidden="1">
      <c r="E310" s="84"/>
      <c r="F310" s="84"/>
      <c r="G310" s="84"/>
      <c r="H310" s="84"/>
      <c r="I310" s="84"/>
      <c r="J310" s="84"/>
      <c r="K310" s="84"/>
      <c r="L310" s="84"/>
      <c r="M310" s="84"/>
      <c r="N310" s="84"/>
      <c r="O310" s="359" t="s">
        <v>557</v>
      </c>
      <c r="P310" s="360" t="s">
        <v>2364</v>
      </c>
      <c r="Q310" s="362" t="s">
        <v>602</v>
      </c>
      <c r="R310" s="361">
        <v>13.3</v>
      </c>
      <c r="S310" s="361"/>
      <c r="T310" s="84"/>
      <c r="U310" s="359" t="s">
        <v>1498</v>
      </c>
      <c r="V310" s="362" t="s">
        <v>1499</v>
      </c>
      <c r="W310" s="360" t="s">
        <v>1500</v>
      </c>
      <c r="X310" s="361">
        <v>5.68</v>
      </c>
    </row>
    <row r="311" spans="5:24" hidden="1">
      <c r="E311" s="84"/>
      <c r="F311" s="84"/>
      <c r="G311" s="84"/>
      <c r="H311" s="84"/>
      <c r="I311" s="84"/>
      <c r="J311" s="84"/>
      <c r="K311" s="84"/>
      <c r="L311" s="84"/>
      <c r="M311" s="84"/>
      <c r="N311" s="84"/>
      <c r="O311" s="359" t="s">
        <v>557</v>
      </c>
      <c r="P311" s="360" t="s">
        <v>2365</v>
      </c>
      <c r="Q311" s="362" t="s">
        <v>603</v>
      </c>
      <c r="R311" s="361">
        <v>16.13</v>
      </c>
      <c r="S311" s="361"/>
      <c r="T311" s="84"/>
      <c r="U311" s="359" t="s">
        <v>1501</v>
      </c>
      <c r="V311" s="362" t="s">
        <v>1502</v>
      </c>
      <c r="W311" s="360" t="s">
        <v>1503</v>
      </c>
      <c r="X311" s="361">
        <v>175</v>
      </c>
    </row>
    <row r="312" spans="5:24" hidden="1">
      <c r="E312" s="84"/>
      <c r="F312" s="84"/>
      <c r="G312" s="84"/>
      <c r="H312" s="84"/>
      <c r="I312" s="84"/>
      <c r="J312" s="84"/>
      <c r="K312" s="84"/>
      <c r="L312" s="84"/>
      <c r="M312" s="84"/>
      <c r="N312" s="84"/>
      <c r="O312" s="359" t="s">
        <v>557</v>
      </c>
      <c r="P312" s="360" t="s">
        <v>2366</v>
      </c>
      <c r="Q312" s="362" t="s">
        <v>605</v>
      </c>
      <c r="R312" s="361">
        <v>11.02</v>
      </c>
      <c r="S312" s="361"/>
      <c r="T312" s="84"/>
      <c r="U312" s="359" t="s">
        <v>1504</v>
      </c>
      <c r="V312" s="362" t="s">
        <v>1505</v>
      </c>
      <c r="W312" s="360" t="s">
        <v>1506</v>
      </c>
      <c r="X312" s="361">
        <v>0.48</v>
      </c>
    </row>
    <row r="313" spans="5:24" hidden="1">
      <c r="E313" s="84"/>
      <c r="F313" s="84"/>
      <c r="G313" s="84"/>
      <c r="H313" s="84"/>
      <c r="I313" s="84"/>
      <c r="J313" s="84"/>
      <c r="K313" s="84"/>
      <c r="L313" s="84"/>
      <c r="M313" s="84"/>
      <c r="N313" s="84"/>
      <c r="O313" s="359" t="s">
        <v>557</v>
      </c>
      <c r="P313" s="360" t="s">
        <v>2367</v>
      </c>
      <c r="Q313" s="362" t="s">
        <v>606</v>
      </c>
      <c r="R313" s="361">
        <v>11.41</v>
      </c>
      <c r="S313" s="361"/>
      <c r="T313" s="84"/>
      <c r="U313" s="359" t="s">
        <v>1504</v>
      </c>
      <c r="V313" s="362" t="s">
        <v>1507</v>
      </c>
      <c r="W313" s="360" t="s">
        <v>1508</v>
      </c>
      <c r="X313" s="356">
        <v>5.79</v>
      </c>
    </row>
    <row r="314" spans="5:24" hidden="1">
      <c r="E314" s="84"/>
      <c r="F314" s="84"/>
      <c r="G314" s="84"/>
      <c r="H314" s="84"/>
      <c r="I314" s="84"/>
      <c r="J314" s="84"/>
      <c r="K314" s="84"/>
      <c r="L314" s="84"/>
      <c r="M314" s="84"/>
      <c r="N314" s="84"/>
      <c r="O314" s="359" t="s">
        <v>557</v>
      </c>
      <c r="P314" s="360" t="s">
        <v>2368</v>
      </c>
      <c r="Q314" s="362" t="s">
        <v>2369</v>
      </c>
      <c r="R314" s="361">
        <v>12.469999999999999</v>
      </c>
      <c r="S314" s="361"/>
      <c r="T314" s="84"/>
      <c r="U314" s="359" t="s">
        <v>1504</v>
      </c>
      <c r="V314" s="362" t="s">
        <v>1509</v>
      </c>
      <c r="W314" s="360" t="s">
        <v>1510</v>
      </c>
      <c r="X314" s="356">
        <v>94.82</v>
      </c>
    </row>
    <row r="315" spans="5:24" hidden="1">
      <c r="E315" s="84"/>
      <c r="F315" s="84"/>
      <c r="G315" s="84"/>
      <c r="H315" s="84"/>
      <c r="I315" s="84"/>
      <c r="J315" s="84"/>
      <c r="K315" s="84"/>
      <c r="L315" s="84"/>
      <c r="M315" s="84"/>
      <c r="N315" s="84"/>
      <c r="O315" s="359" t="s">
        <v>557</v>
      </c>
      <c r="P315" s="360" t="s">
        <v>2370</v>
      </c>
      <c r="Q315" s="362" t="s">
        <v>593</v>
      </c>
      <c r="R315" s="361">
        <v>11.19</v>
      </c>
      <c r="S315" s="361"/>
      <c r="T315" s="84"/>
      <c r="U315" s="359" t="s">
        <v>1504</v>
      </c>
      <c r="V315" s="362" t="s">
        <v>1511</v>
      </c>
      <c r="W315" s="360" t="s">
        <v>1512</v>
      </c>
      <c r="X315" s="361">
        <v>180.6</v>
      </c>
    </row>
    <row r="316" spans="5:24" hidden="1">
      <c r="E316" s="84"/>
      <c r="F316" s="84"/>
      <c r="G316" s="84"/>
      <c r="H316" s="84"/>
      <c r="I316" s="84"/>
      <c r="J316" s="84"/>
      <c r="K316" s="84"/>
      <c r="L316" s="84"/>
      <c r="M316" s="84"/>
      <c r="N316" s="84"/>
      <c r="O316" s="359" t="s">
        <v>557</v>
      </c>
      <c r="P316" s="360" t="s">
        <v>2371</v>
      </c>
      <c r="Q316" s="362" t="s">
        <v>594</v>
      </c>
      <c r="R316" s="361">
        <v>12.13</v>
      </c>
      <c r="S316" s="361"/>
      <c r="T316" s="84"/>
      <c r="U316" s="359" t="s">
        <v>1504</v>
      </c>
      <c r="V316" s="362" t="s">
        <v>1513</v>
      </c>
      <c r="W316" s="360" t="s">
        <v>1514</v>
      </c>
      <c r="X316" s="361">
        <v>149.44</v>
      </c>
    </row>
    <row r="317" spans="5:24" hidden="1">
      <c r="E317" s="84"/>
      <c r="F317" s="84"/>
      <c r="G317" s="84"/>
      <c r="H317" s="84"/>
      <c r="I317" s="84"/>
      <c r="J317" s="84"/>
      <c r="K317" s="84"/>
      <c r="L317" s="84"/>
      <c r="M317" s="84"/>
      <c r="N317" s="84"/>
      <c r="O317" s="359" t="s">
        <v>557</v>
      </c>
      <c r="P317" s="360" t="s">
        <v>2372</v>
      </c>
      <c r="Q317" s="362" t="s">
        <v>595</v>
      </c>
      <c r="R317" s="361">
        <v>13.08</v>
      </c>
      <c r="S317" s="361"/>
      <c r="T317" s="84"/>
      <c r="U317" s="359" t="s">
        <v>1504</v>
      </c>
      <c r="V317" s="362" t="s">
        <v>1515</v>
      </c>
      <c r="W317" s="360" t="s">
        <v>1516</v>
      </c>
      <c r="X317" s="356">
        <v>169.04</v>
      </c>
    </row>
    <row r="318" spans="5:24" hidden="1">
      <c r="E318" s="84"/>
      <c r="F318" s="84"/>
      <c r="G318" s="84"/>
      <c r="H318" s="84"/>
      <c r="I318" s="84"/>
      <c r="J318" s="84"/>
      <c r="K318" s="84"/>
      <c r="L318" s="84"/>
      <c r="M318" s="84"/>
      <c r="N318" s="84"/>
      <c r="O318" s="359" t="s">
        <v>557</v>
      </c>
      <c r="P318" s="360" t="s">
        <v>2373</v>
      </c>
      <c r="Q318" s="362" t="s">
        <v>596</v>
      </c>
      <c r="R318" s="361">
        <v>14.97</v>
      </c>
      <c r="S318" s="361"/>
      <c r="T318" s="84"/>
      <c r="U318" s="359" t="s">
        <v>1504</v>
      </c>
      <c r="V318" s="362" t="s">
        <v>1517</v>
      </c>
      <c r="W318" s="363" t="s">
        <v>1518</v>
      </c>
      <c r="X318" s="356">
        <v>6.23</v>
      </c>
    </row>
    <row r="319" spans="5:24" hidden="1">
      <c r="E319" s="84"/>
      <c r="F319" s="84"/>
      <c r="G319" s="84"/>
      <c r="H319" s="84"/>
      <c r="I319" s="84"/>
      <c r="J319" s="84"/>
      <c r="K319" s="84"/>
      <c r="L319" s="84"/>
      <c r="M319" s="84"/>
      <c r="N319" s="84"/>
      <c r="O319" s="359" t="s">
        <v>557</v>
      </c>
      <c r="P319" s="360" t="s">
        <v>2374</v>
      </c>
      <c r="Q319" s="362" t="s">
        <v>597</v>
      </c>
      <c r="R319" s="361">
        <v>13.08</v>
      </c>
      <c r="S319" s="361"/>
      <c r="T319" s="84"/>
      <c r="U319" s="359" t="s">
        <v>1504</v>
      </c>
      <c r="V319" s="362" t="s">
        <v>1519</v>
      </c>
      <c r="W319" s="360" t="s">
        <v>1520</v>
      </c>
      <c r="X319" s="356">
        <v>9.9600000000000009</v>
      </c>
    </row>
    <row r="320" spans="5:24" hidden="1">
      <c r="E320" s="84"/>
      <c r="F320" s="84"/>
      <c r="G320" s="84"/>
      <c r="H320" s="84"/>
      <c r="I320" s="84"/>
      <c r="J320" s="84"/>
      <c r="K320" s="84"/>
      <c r="L320" s="84"/>
      <c r="M320" s="84"/>
      <c r="N320" s="84"/>
      <c r="O320" s="359" t="s">
        <v>557</v>
      </c>
      <c r="P320" s="360" t="s">
        <v>2375</v>
      </c>
      <c r="Q320" s="362" t="s">
        <v>604</v>
      </c>
      <c r="R320" s="361">
        <v>13.08</v>
      </c>
      <c r="S320" s="361"/>
      <c r="T320" s="84"/>
      <c r="U320" s="359" t="s">
        <v>1504</v>
      </c>
      <c r="V320" s="362" t="s">
        <v>1521</v>
      </c>
      <c r="W320" s="360" t="s">
        <v>1522</v>
      </c>
      <c r="X320" s="356">
        <v>5</v>
      </c>
    </row>
    <row r="321" spans="5:24" hidden="1">
      <c r="E321" s="84"/>
      <c r="F321" s="84"/>
      <c r="G321" s="84"/>
      <c r="H321" s="84"/>
      <c r="I321" s="84"/>
      <c r="J321" s="84"/>
      <c r="K321" s="84"/>
      <c r="L321" s="84"/>
      <c r="M321" s="84"/>
      <c r="N321" s="84"/>
      <c r="O321" s="359" t="s">
        <v>577</v>
      </c>
      <c r="P321" s="360" t="s">
        <v>2376</v>
      </c>
      <c r="Q321" s="362" t="s">
        <v>610</v>
      </c>
      <c r="R321" s="361">
        <v>9.39</v>
      </c>
      <c r="S321" s="361"/>
      <c r="T321" s="84"/>
      <c r="U321" s="359" t="s">
        <v>1504</v>
      </c>
      <c r="V321" s="362" t="s">
        <v>1523</v>
      </c>
      <c r="W321" s="363" t="s">
        <v>1524</v>
      </c>
      <c r="X321" s="356">
        <v>8.4700000000000006</v>
      </c>
    </row>
    <row r="322" spans="5:24" hidden="1">
      <c r="E322" s="84"/>
      <c r="F322" s="84"/>
      <c r="G322" s="84"/>
      <c r="H322" s="84"/>
      <c r="I322" s="84"/>
      <c r="J322" s="84"/>
      <c r="K322" s="84"/>
      <c r="L322" s="84"/>
      <c r="M322" s="84"/>
      <c r="N322" s="84"/>
      <c r="O322" s="84"/>
      <c r="P322" s="84"/>
      <c r="Q322" s="84"/>
      <c r="R322" s="84"/>
      <c r="S322" s="84"/>
      <c r="T322" s="84"/>
      <c r="U322" s="359" t="s">
        <v>1504</v>
      </c>
      <c r="V322" s="362" t="s">
        <v>1525</v>
      </c>
      <c r="W322" s="360" t="s">
        <v>1526</v>
      </c>
      <c r="X322" s="361">
        <v>2.86</v>
      </c>
    </row>
    <row r="323" spans="5:24" hidden="1">
      <c r="E323" s="84"/>
      <c r="F323" s="84"/>
      <c r="G323" s="84"/>
      <c r="H323" s="84"/>
      <c r="I323" s="84"/>
      <c r="J323" s="84"/>
      <c r="K323" s="84"/>
      <c r="L323" s="84"/>
      <c r="M323" s="84"/>
      <c r="N323" s="84"/>
      <c r="O323" s="84"/>
      <c r="P323" s="84"/>
      <c r="Q323" s="84"/>
      <c r="R323" s="84"/>
      <c r="S323" s="84"/>
      <c r="T323" s="84"/>
      <c r="U323" s="359" t="s">
        <v>1504</v>
      </c>
      <c r="V323" s="362" t="s">
        <v>1527</v>
      </c>
      <c r="W323" s="360" t="s">
        <v>1528</v>
      </c>
      <c r="X323" s="361">
        <v>5.52</v>
      </c>
    </row>
    <row r="324" spans="5:24" hidden="1">
      <c r="E324" s="84"/>
      <c r="F324" s="84"/>
      <c r="G324" s="84"/>
      <c r="H324" s="84"/>
      <c r="I324" s="84"/>
      <c r="J324" s="84"/>
      <c r="K324" s="84"/>
      <c r="L324" s="84"/>
      <c r="M324" s="84"/>
      <c r="N324" s="84"/>
      <c r="O324" s="84"/>
      <c r="P324" s="84"/>
      <c r="Q324" s="84"/>
      <c r="R324" s="84"/>
      <c r="S324" s="84"/>
      <c r="T324" s="84"/>
      <c r="U324" s="359" t="s">
        <v>1504</v>
      </c>
      <c r="V324" s="362" t="s">
        <v>1701</v>
      </c>
      <c r="W324" s="360" t="s">
        <v>1702</v>
      </c>
      <c r="X324" s="361">
        <v>161.94999999999999</v>
      </c>
    </row>
    <row r="325" spans="5:24" hidden="1">
      <c r="E325" s="84"/>
      <c r="F325" s="84"/>
      <c r="G325" s="84"/>
      <c r="H325" s="84"/>
      <c r="I325" s="84"/>
      <c r="J325" s="84"/>
      <c r="K325" s="84"/>
      <c r="L325" s="84"/>
      <c r="M325" s="84"/>
      <c r="N325" s="84"/>
      <c r="O325" s="84"/>
      <c r="P325" s="84"/>
      <c r="Q325" s="84"/>
      <c r="R325" s="84"/>
      <c r="S325" s="84"/>
      <c r="T325" s="84"/>
      <c r="U325" s="359" t="s">
        <v>1504</v>
      </c>
      <c r="V325" s="362" t="s">
        <v>1529</v>
      </c>
      <c r="W325" s="360" t="s">
        <v>1530</v>
      </c>
      <c r="X325" s="361">
        <v>42.12</v>
      </c>
    </row>
    <row r="326" spans="5:24" hidden="1">
      <c r="E326" s="84"/>
      <c r="F326" s="84"/>
      <c r="G326" s="84"/>
      <c r="H326" s="84"/>
      <c r="I326" s="84"/>
      <c r="J326" s="84"/>
      <c r="K326" s="84"/>
      <c r="L326" s="84"/>
      <c r="M326" s="84"/>
      <c r="N326" s="84"/>
      <c r="O326" s="84"/>
      <c r="P326" s="84"/>
      <c r="Q326" s="84"/>
      <c r="R326" s="84"/>
      <c r="S326" s="84"/>
      <c r="T326" s="84"/>
      <c r="U326" s="359" t="s">
        <v>1504</v>
      </c>
      <c r="V326" s="362" t="s">
        <v>1531</v>
      </c>
      <c r="W326" s="360" t="s">
        <v>1532</v>
      </c>
      <c r="X326" s="361">
        <v>20.59</v>
      </c>
    </row>
    <row r="327" spans="5:24" hidden="1">
      <c r="E327" s="84"/>
      <c r="F327" s="84"/>
      <c r="G327" s="84"/>
      <c r="H327" s="84"/>
      <c r="I327" s="84"/>
      <c r="J327" s="84"/>
      <c r="K327" s="84"/>
      <c r="L327" s="84"/>
      <c r="M327" s="84"/>
      <c r="N327" s="84"/>
      <c r="O327" s="84"/>
      <c r="P327" s="84"/>
      <c r="Q327" s="84"/>
      <c r="R327" s="84"/>
      <c r="S327" s="84"/>
      <c r="T327" s="84"/>
      <c r="U327" s="359" t="s">
        <v>1504</v>
      </c>
      <c r="V327" s="362" t="s">
        <v>249</v>
      </c>
      <c r="W327" s="360" t="s">
        <v>1533</v>
      </c>
      <c r="X327" s="356">
        <v>37.72</v>
      </c>
    </row>
    <row r="328" spans="5:24" hidden="1">
      <c r="E328" s="84"/>
      <c r="F328" s="84"/>
      <c r="G328" s="84"/>
      <c r="H328" s="84"/>
      <c r="I328" s="84"/>
      <c r="J328" s="84"/>
      <c r="K328" s="84"/>
      <c r="L328" s="84"/>
      <c r="M328" s="84"/>
      <c r="N328" s="84"/>
      <c r="O328" s="84"/>
      <c r="P328" s="84"/>
      <c r="Q328" s="84"/>
      <c r="R328" s="84"/>
      <c r="S328" s="84"/>
      <c r="T328" s="84"/>
      <c r="U328" s="359" t="s">
        <v>1504</v>
      </c>
      <c r="V328" s="362" t="s">
        <v>1534</v>
      </c>
      <c r="W328" s="360" t="s">
        <v>1535</v>
      </c>
      <c r="X328" s="356">
        <v>49.8</v>
      </c>
    </row>
    <row r="329" spans="5:24" hidden="1">
      <c r="E329" s="84"/>
      <c r="F329" s="84"/>
      <c r="G329" s="84"/>
      <c r="H329" s="84"/>
      <c r="I329" s="84"/>
      <c r="J329" s="84"/>
      <c r="K329" s="84"/>
      <c r="L329" s="84"/>
      <c r="M329" s="84"/>
      <c r="N329" s="84"/>
      <c r="O329" s="84"/>
      <c r="P329" s="84"/>
      <c r="Q329" s="84"/>
      <c r="R329" s="84"/>
      <c r="S329" s="84"/>
      <c r="T329" s="84"/>
      <c r="U329" s="359" t="s">
        <v>1504</v>
      </c>
      <c r="V329" s="362" t="s">
        <v>1536</v>
      </c>
      <c r="W329" s="360" t="s">
        <v>1537</v>
      </c>
      <c r="X329" s="356">
        <v>12.88</v>
      </c>
    </row>
    <row r="330" spans="5:24" hidden="1">
      <c r="E330" s="84"/>
      <c r="F330" s="84"/>
      <c r="G330" s="84"/>
      <c r="H330" s="84"/>
      <c r="I330" s="84"/>
      <c r="J330" s="84"/>
      <c r="K330" s="84"/>
      <c r="L330" s="84"/>
      <c r="M330" s="84"/>
      <c r="N330" s="84"/>
      <c r="O330" s="84"/>
      <c r="P330" s="84"/>
      <c r="Q330" s="84"/>
      <c r="R330" s="84"/>
      <c r="S330" s="84"/>
      <c r="T330" s="84"/>
      <c r="U330" s="359" t="s">
        <v>1538</v>
      </c>
      <c r="V330" s="362">
        <v>43608</v>
      </c>
      <c r="W330" s="360" t="s">
        <v>1539</v>
      </c>
      <c r="X330" s="356">
        <v>0.25</v>
      </c>
    </row>
    <row r="331" spans="5:24" hidden="1">
      <c r="E331" s="84"/>
      <c r="F331" s="84"/>
      <c r="G331" s="84"/>
      <c r="H331" s="84"/>
      <c r="I331" s="84"/>
      <c r="J331" s="84"/>
      <c r="K331" s="84"/>
      <c r="L331" s="84"/>
      <c r="M331" s="84"/>
      <c r="N331" s="84"/>
      <c r="O331" s="84"/>
      <c r="P331" s="84"/>
      <c r="Q331" s="84"/>
      <c r="R331" s="84"/>
      <c r="S331" s="84"/>
      <c r="T331" s="84"/>
      <c r="U331" s="359" t="s">
        <v>1538</v>
      </c>
      <c r="V331" s="362">
        <v>293655</v>
      </c>
      <c r="W331" s="360" t="s">
        <v>1540</v>
      </c>
      <c r="X331" s="356">
        <v>0.25</v>
      </c>
    </row>
    <row r="332" spans="5:24" hidden="1">
      <c r="E332" s="84"/>
      <c r="F332" s="84"/>
      <c r="G332" s="84"/>
      <c r="H332" s="84"/>
      <c r="I332" s="84"/>
      <c r="J332" s="84"/>
      <c r="K332" s="84"/>
      <c r="L332" s="84"/>
      <c r="M332" s="84"/>
      <c r="N332" s="84"/>
      <c r="O332" s="84"/>
      <c r="P332" s="84"/>
      <c r="Q332" s="84"/>
      <c r="R332" s="84"/>
      <c r="S332" s="84"/>
      <c r="T332" s="84"/>
      <c r="U332" s="359" t="s">
        <v>1538</v>
      </c>
      <c r="V332" s="362">
        <v>20497401</v>
      </c>
      <c r="W332" s="360" t="s">
        <v>1541</v>
      </c>
      <c r="X332" s="361">
        <v>4.78</v>
      </c>
    </row>
    <row r="333" spans="5:24" hidden="1">
      <c r="E333" s="84"/>
      <c r="F333" s="84"/>
      <c r="G333" s="84"/>
      <c r="H333" s="84"/>
      <c r="I333" s="84"/>
      <c r="J333" s="84"/>
      <c r="K333" s="84"/>
      <c r="L333" s="84"/>
      <c r="M333" s="84"/>
      <c r="N333" s="84"/>
      <c r="O333" s="84"/>
      <c r="P333" s="84"/>
      <c r="Q333" s="84"/>
      <c r="R333" s="84"/>
      <c r="S333" s="84"/>
      <c r="T333" s="84"/>
      <c r="U333" s="359" t="s">
        <v>1538</v>
      </c>
      <c r="V333" s="362" t="s">
        <v>1542</v>
      </c>
      <c r="W333" s="360" t="s">
        <v>1543</v>
      </c>
      <c r="X333" s="361">
        <v>0.25</v>
      </c>
    </row>
    <row r="334" spans="5:24" hidden="1">
      <c r="E334" s="84"/>
      <c r="F334" s="84"/>
      <c r="G334" s="84"/>
      <c r="H334" s="84"/>
      <c r="I334" s="84"/>
      <c r="J334" s="84"/>
      <c r="K334" s="84"/>
      <c r="L334" s="84"/>
      <c r="M334" s="84"/>
      <c r="N334" s="84"/>
      <c r="O334" s="84"/>
      <c r="P334" s="84"/>
      <c r="Q334" s="84"/>
      <c r="R334" s="84"/>
      <c r="S334" s="84"/>
      <c r="T334" s="84"/>
      <c r="U334" s="359" t="s">
        <v>1538</v>
      </c>
      <c r="V334" s="362">
        <v>68580023</v>
      </c>
      <c r="W334" s="360" t="s">
        <v>1544</v>
      </c>
      <c r="X334" s="361">
        <v>35.54</v>
      </c>
    </row>
    <row r="335" spans="5:24" hidden="1">
      <c r="E335" s="84"/>
      <c r="F335" s="84"/>
      <c r="G335" s="84"/>
      <c r="H335" s="84"/>
      <c r="I335" s="84"/>
      <c r="J335" s="84"/>
      <c r="K335" s="84"/>
      <c r="L335" s="84"/>
      <c r="M335" s="84"/>
      <c r="N335" s="84"/>
      <c r="O335" s="84"/>
      <c r="P335" s="84"/>
      <c r="Q335" s="84"/>
      <c r="R335" s="84"/>
      <c r="S335" s="84"/>
      <c r="T335" s="84"/>
      <c r="U335" s="359" t="s">
        <v>1538</v>
      </c>
      <c r="V335" s="362" t="s">
        <v>1545</v>
      </c>
      <c r="W335" s="360" t="s">
        <v>1546</v>
      </c>
      <c r="X335" s="361">
        <v>0.89</v>
      </c>
    </row>
    <row r="336" spans="5:24" hidden="1">
      <c r="E336" s="84"/>
      <c r="F336" s="84"/>
      <c r="G336" s="84"/>
      <c r="H336" s="84"/>
      <c r="I336" s="84"/>
      <c r="J336" s="84"/>
      <c r="K336" s="84"/>
      <c r="L336" s="84"/>
      <c r="M336" s="84"/>
      <c r="N336" s="84"/>
      <c r="O336" s="84"/>
      <c r="P336" s="84"/>
      <c r="Q336" s="84"/>
      <c r="R336" s="84"/>
      <c r="S336" s="84"/>
      <c r="T336" s="84"/>
      <c r="U336" s="359" t="s">
        <v>1538</v>
      </c>
      <c r="V336" s="362" t="s">
        <v>1547</v>
      </c>
      <c r="W336" s="360" t="s">
        <v>1548</v>
      </c>
      <c r="X336" s="361">
        <v>0.37</v>
      </c>
    </row>
    <row r="337" spans="5:24" hidden="1">
      <c r="E337" s="84"/>
      <c r="F337" s="84"/>
      <c r="G337" s="84"/>
      <c r="H337" s="84"/>
      <c r="I337" s="84"/>
      <c r="J337" s="84"/>
      <c r="K337" s="84"/>
      <c r="L337" s="84"/>
      <c r="M337" s="84"/>
      <c r="N337" s="84"/>
      <c r="O337" s="84"/>
      <c r="P337" s="84"/>
      <c r="Q337" s="84"/>
      <c r="R337" s="84"/>
      <c r="S337" s="84"/>
      <c r="T337" s="84"/>
      <c r="U337" s="359" t="s">
        <v>1538</v>
      </c>
      <c r="V337" s="362" t="s">
        <v>1547</v>
      </c>
      <c r="W337" s="360" t="s">
        <v>1549</v>
      </c>
      <c r="X337" s="361">
        <v>0.37</v>
      </c>
    </row>
    <row r="338" spans="5:24" hidden="1">
      <c r="E338" s="84"/>
      <c r="F338" s="84"/>
      <c r="G338" s="84"/>
      <c r="H338" s="84"/>
      <c r="I338" s="84"/>
      <c r="J338" s="84"/>
      <c r="K338" s="84"/>
      <c r="L338" s="84"/>
      <c r="M338" s="84"/>
      <c r="N338" s="84"/>
      <c r="O338" s="84"/>
      <c r="P338" s="84"/>
      <c r="Q338" s="84"/>
      <c r="R338" s="84"/>
      <c r="S338" s="84"/>
      <c r="T338" s="84"/>
      <c r="U338" s="359" t="s">
        <v>1538</v>
      </c>
      <c r="V338" s="362" t="s">
        <v>1547</v>
      </c>
      <c r="W338" s="360" t="s">
        <v>1550</v>
      </c>
      <c r="X338" s="361">
        <v>0.37</v>
      </c>
    </row>
    <row r="339" spans="5:24" hidden="1">
      <c r="E339" s="84"/>
      <c r="F339" s="84"/>
      <c r="G339" s="84"/>
      <c r="H339" s="84"/>
      <c r="I339" s="84"/>
      <c r="J339" s="84"/>
      <c r="K339" s="84"/>
      <c r="L339" s="84"/>
      <c r="M339" s="84"/>
      <c r="N339" s="84"/>
      <c r="O339" s="84"/>
      <c r="P339" s="84"/>
      <c r="Q339" s="84"/>
      <c r="R339" s="84"/>
      <c r="S339" s="84"/>
      <c r="T339" s="84"/>
      <c r="U339" s="359" t="s">
        <v>1538</v>
      </c>
      <c r="V339" s="362" t="s">
        <v>1547</v>
      </c>
      <c r="W339" s="360" t="s">
        <v>1551</v>
      </c>
      <c r="X339" s="361">
        <v>0.37</v>
      </c>
    </row>
    <row r="340" spans="5:24" hidden="1">
      <c r="E340" s="84"/>
      <c r="F340" s="84"/>
      <c r="G340" s="84"/>
      <c r="H340" s="84"/>
      <c r="I340" s="84"/>
      <c r="J340" s="84"/>
      <c r="K340" s="84"/>
      <c r="L340" s="84"/>
      <c r="M340" s="84"/>
      <c r="N340" s="84"/>
      <c r="O340" s="84"/>
      <c r="P340" s="84"/>
      <c r="Q340" s="84"/>
      <c r="R340" s="84"/>
      <c r="S340" s="84"/>
      <c r="T340" s="84"/>
      <c r="U340" s="359" t="s">
        <v>1538</v>
      </c>
      <c r="V340" s="362" t="s">
        <v>1552</v>
      </c>
      <c r="W340" s="360" t="s">
        <v>1553</v>
      </c>
      <c r="X340" s="356">
        <v>0.25</v>
      </c>
    </row>
    <row r="341" spans="5:24" hidden="1">
      <c r="E341" s="84"/>
      <c r="F341" s="84"/>
      <c r="G341" s="84"/>
      <c r="H341" s="84"/>
      <c r="I341" s="84"/>
      <c r="J341" s="84"/>
      <c r="K341" s="84"/>
      <c r="L341" s="84"/>
      <c r="M341" s="84"/>
      <c r="N341" s="84"/>
      <c r="O341" s="84"/>
      <c r="P341" s="84"/>
      <c r="Q341" s="84"/>
      <c r="R341" s="84"/>
      <c r="S341" s="84"/>
      <c r="T341" s="84"/>
      <c r="U341" s="359" t="s">
        <v>1538</v>
      </c>
      <c r="V341" s="362" t="s">
        <v>1554</v>
      </c>
      <c r="W341" s="360" t="s">
        <v>1555</v>
      </c>
      <c r="X341" s="356">
        <v>1.18</v>
      </c>
    </row>
    <row r="342" spans="5:24" hidden="1">
      <c r="E342" s="84"/>
      <c r="F342" s="84"/>
      <c r="G342" s="84"/>
      <c r="H342" s="84"/>
      <c r="I342" s="84"/>
      <c r="J342" s="84"/>
      <c r="K342" s="84"/>
      <c r="L342" s="84"/>
      <c r="M342" s="84"/>
      <c r="N342" s="84"/>
      <c r="O342" s="84"/>
      <c r="P342" s="84"/>
      <c r="Q342" s="84"/>
      <c r="R342" s="84"/>
      <c r="S342" s="84"/>
      <c r="T342" s="84"/>
      <c r="U342" s="359" t="s">
        <v>1556</v>
      </c>
      <c r="V342" s="362" t="s">
        <v>1557</v>
      </c>
      <c r="W342" s="360" t="s">
        <v>1558</v>
      </c>
      <c r="X342" s="356">
        <v>1.86</v>
      </c>
    </row>
    <row r="343" spans="5:24" hidden="1">
      <c r="E343" s="84"/>
      <c r="F343" s="84"/>
      <c r="G343" s="84"/>
      <c r="H343" s="84"/>
      <c r="I343" s="84"/>
      <c r="J343" s="84"/>
      <c r="K343" s="84"/>
      <c r="L343" s="84"/>
      <c r="M343" s="84"/>
      <c r="N343" s="84"/>
      <c r="O343" s="84"/>
      <c r="P343" s="84"/>
      <c r="Q343" s="84"/>
      <c r="R343" s="84"/>
      <c r="S343" s="84"/>
      <c r="T343" s="84"/>
      <c r="U343" s="359" t="s">
        <v>1559</v>
      </c>
      <c r="V343" s="362" t="s">
        <v>1560</v>
      </c>
      <c r="W343" s="360" t="s">
        <v>1561</v>
      </c>
      <c r="X343" s="356">
        <v>55.41</v>
      </c>
    </row>
    <row r="344" spans="5:24" hidden="1">
      <c r="E344" s="84"/>
      <c r="F344" s="84"/>
      <c r="G344" s="84"/>
      <c r="H344" s="84"/>
      <c r="I344" s="84"/>
      <c r="J344" s="84"/>
      <c r="K344" s="84"/>
      <c r="L344" s="84"/>
      <c r="M344" s="84"/>
      <c r="N344" s="84"/>
      <c r="O344" s="84"/>
      <c r="P344" s="84"/>
      <c r="Q344" s="84"/>
      <c r="R344" s="84"/>
      <c r="S344" s="84"/>
      <c r="T344" s="84"/>
      <c r="U344" s="359" t="s">
        <v>1559</v>
      </c>
      <c r="V344" s="362" t="s">
        <v>1562</v>
      </c>
      <c r="W344" s="360" t="s">
        <v>1563</v>
      </c>
      <c r="X344" s="361">
        <v>23.91</v>
      </c>
    </row>
    <row r="345" spans="5:24" hidden="1">
      <c r="E345" s="84"/>
      <c r="F345" s="84"/>
      <c r="G345" s="84"/>
      <c r="H345" s="84"/>
      <c r="I345" s="84"/>
      <c r="J345" s="84"/>
      <c r="K345" s="84"/>
      <c r="L345" s="84"/>
      <c r="M345" s="84"/>
      <c r="N345" s="84"/>
      <c r="O345" s="84"/>
      <c r="P345" s="84"/>
      <c r="Q345" s="84"/>
      <c r="R345" s="84"/>
      <c r="S345" s="84"/>
      <c r="T345" s="84"/>
      <c r="U345" s="359" t="s">
        <v>1564</v>
      </c>
      <c r="V345" s="362" t="s">
        <v>1565</v>
      </c>
      <c r="W345" s="360" t="s">
        <v>1566</v>
      </c>
      <c r="X345" s="361">
        <v>4.5599999999999996</v>
      </c>
    </row>
    <row r="346" spans="5:24" hidden="1">
      <c r="E346" s="84"/>
      <c r="F346" s="84"/>
      <c r="G346" s="84"/>
      <c r="H346" s="84"/>
      <c r="I346" s="84"/>
      <c r="J346" s="84"/>
      <c r="K346" s="84"/>
      <c r="L346" s="84"/>
      <c r="M346" s="84"/>
      <c r="N346" s="84"/>
      <c r="O346" s="84"/>
      <c r="P346" s="84"/>
      <c r="Q346" s="84"/>
      <c r="R346" s="84"/>
      <c r="S346" s="84"/>
      <c r="T346" s="84"/>
      <c r="U346" s="359" t="s">
        <v>1564</v>
      </c>
      <c r="V346" s="362" t="s">
        <v>1567</v>
      </c>
      <c r="W346" s="360" t="s">
        <v>1568</v>
      </c>
      <c r="X346" s="361">
        <v>17.91</v>
      </c>
    </row>
    <row r="347" spans="5:24" hidden="1">
      <c r="E347" s="84"/>
      <c r="F347" s="84"/>
      <c r="G347" s="84"/>
      <c r="H347" s="84"/>
      <c r="I347" s="84"/>
      <c r="J347" s="84"/>
      <c r="K347" s="84"/>
      <c r="L347" s="84"/>
      <c r="M347" s="84"/>
      <c r="N347" s="84"/>
      <c r="O347" s="84"/>
      <c r="P347" s="84"/>
      <c r="Q347" s="84"/>
      <c r="R347" s="84"/>
      <c r="S347" s="84"/>
      <c r="T347" s="84"/>
      <c r="U347" s="359" t="s">
        <v>1564</v>
      </c>
      <c r="V347" s="362" t="s">
        <v>1569</v>
      </c>
      <c r="W347" s="360" t="s">
        <v>1570</v>
      </c>
      <c r="X347" s="361">
        <v>15.81</v>
      </c>
    </row>
    <row r="348" spans="5:24" hidden="1">
      <c r="E348" s="84"/>
      <c r="F348" s="84"/>
      <c r="G348" s="84"/>
      <c r="H348" s="84"/>
      <c r="I348" s="84"/>
      <c r="J348" s="84"/>
      <c r="K348" s="84"/>
      <c r="L348" s="84"/>
      <c r="M348" s="84"/>
      <c r="N348" s="84"/>
      <c r="O348" s="84"/>
      <c r="P348" s="84"/>
      <c r="Q348" s="84"/>
      <c r="R348" s="84"/>
      <c r="S348" s="84"/>
      <c r="T348" s="84"/>
      <c r="U348" s="359" t="s">
        <v>1564</v>
      </c>
      <c r="V348" s="362" t="s">
        <v>1571</v>
      </c>
      <c r="W348" s="360" t="s">
        <v>1572</v>
      </c>
      <c r="X348" s="361">
        <v>11.18</v>
      </c>
    </row>
    <row r="349" spans="5:24" hidden="1">
      <c r="E349" s="84"/>
      <c r="F349" s="84"/>
      <c r="G349" s="84"/>
      <c r="H349" s="84"/>
      <c r="I349" s="84"/>
      <c r="J349" s="84"/>
      <c r="K349" s="84"/>
      <c r="L349" s="84"/>
      <c r="M349" s="84"/>
      <c r="N349" s="84"/>
      <c r="O349" s="84"/>
      <c r="P349" s="84"/>
      <c r="Q349" s="84"/>
      <c r="R349" s="84"/>
      <c r="S349" s="84"/>
      <c r="T349" s="84"/>
      <c r="U349" s="359" t="s">
        <v>1564</v>
      </c>
      <c r="V349" s="362" t="s">
        <v>1573</v>
      </c>
      <c r="W349" s="360" t="s">
        <v>1574</v>
      </c>
      <c r="X349" s="361">
        <v>16.989999999999998</v>
      </c>
    </row>
    <row r="350" spans="5:24" hidden="1">
      <c r="E350" s="84"/>
      <c r="F350" s="84"/>
      <c r="G350" s="84"/>
      <c r="H350" s="84"/>
      <c r="I350" s="84"/>
      <c r="J350" s="84"/>
      <c r="K350" s="84"/>
      <c r="L350" s="84"/>
      <c r="M350" s="84"/>
      <c r="N350" s="84"/>
      <c r="O350" s="84"/>
      <c r="P350" s="84"/>
      <c r="Q350" s="84"/>
      <c r="R350" s="84"/>
      <c r="S350" s="84"/>
      <c r="T350" s="84"/>
      <c r="U350" s="359" t="s">
        <v>1564</v>
      </c>
      <c r="V350" s="362" t="s">
        <v>1575</v>
      </c>
      <c r="W350" s="360" t="s">
        <v>1576</v>
      </c>
      <c r="X350" s="361">
        <v>58.98</v>
      </c>
    </row>
    <row r="351" spans="5:24" hidden="1">
      <c r="E351" s="84"/>
      <c r="F351" s="84"/>
      <c r="G351" s="84"/>
      <c r="H351" s="84"/>
      <c r="I351" s="84"/>
      <c r="J351" s="84"/>
      <c r="K351" s="84"/>
      <c r="L351" s="84"/>
      <c r="M351" s="84"/>
      <c r="N351" s="84"/>
      <c r="O351" s="84"/>
      <c r="P351" s="84"/>
      <c r="Q351" s="84"/>
      <c r="R351" s="84"/>
      <c r="S351" s="84"/>
      <c r="T351" s="84"/>
      <c r="U351" s="359" t="s">
        <v>1564</v>
      </c>
      <c r="V351" s="362" t="s">
        <v>1577</v>
      </c>
      <c r="W351" s="360" t="s">
        <v>1578</v>
      </c>
      <c r="X351" s="361">
        <v>58.41</v>
      </c>
    </row>
    <row r="352" spans="5:24" hidden="1">
      <c r="E352" s="84"/>
      <c r="F352" s="84"/>
      <c r="G352" s="84"/>
      <c r="H352" s="84"/>
      <c r="I352" s="84"/>
      <c r="J352" s="84"/>
      <c r="K352" s="84"/>
      <c r="L352" s="84"/>
      <c r="M352" s="84"/>
      <c r="N352" s="84"/>
      <c r="O352" s="84"/>
      <c r="P352" s="84"/>
      <c r="Q352" s="84"/>
      <c r="R352" s="84"/>
      <c r="S352" s="84"/>
      <c r="T352" s="84"/>
      <c r="U352" s="359" t="s">
        <v>1564</v>
      </c>
      <c r="V352" s="362" t="s">
        <v>1579</v>
      </c>
      <c r="W352" s="360" t="s">
        <v>1580</v>
      </c>
      <c r="X352" s="361">
        <v>29.19</v>
      </c>
    </row>
    <row r="353" spans="5:24" hidden="1">
      <c r="E353" s="84"/>
      <c r="F353" s="84"/>
      <c r="G353" s="84"/>
      <c r="H353" s="84"/>
      <c r="I353" s="84"/>
      <c r="J353" s="84"/>
      <c r="K353" s="84"/>
      <c r="L353" s="84"/>
      <c r="M353" s="84"/>
      <c r="N353" s="84"/>
      <c r="O353" s="84"/>
      <c r="P353" s="84"/>
      <c r="Q353" s="84"/>
      <c r="R353" s="84"/>
      <c r="S353" s="84"/>
      <c r="T353" s="84"/>
      <c r="U353" s="359" t="s">
        <v>1564</v>
      </c>
      <c r="V353" s="362" t="s">
        <v>1581</v>
      </c>
      <c r="W353" s="360" t="s">
        <v>1582</v>
      </c>
      <c r="X353" s="361">
        <v>186.17</v>
      </c>
    </row>
    <row r="354" spans="5:24" hidden="1">
      <c r="E354" s="84"/>
      <c r="F354" s="84"/>
      <c r="G354" s="84"/>
      <c r="H354" s="84"/>
      <c r="I354" s="84"/>
      <c r="J354" s="84"/>
      <c r="K354" s="84"/>
      <c r="L354" s="84"/>
      <c r="M354" s="84"/>
      <c r="N354" s="84"/>
      <c r="O354" s="84"/>
      <c r="P354" s="84"/>
      <c r="Q354" s="84"/>
      <c r="R354" s="84"/>
      <c r="S354" s="84"/>
      <c r="T354" s="84"/>
      <c r="U354" s="359" t="s">
        <v>1583</v>
      </c>
      <c r="V354" s="362" t="s">
        <v>1584</v>
      </c>
      <c r="W354" s="360" t="s">
        <v>1585</v>
      </c>
      <c r="X354" s="361">
        <v>2.2999999999999998</v>
      </c>
    </row>
    <row r="355" spans="5:24" hidden="1">
      <c r="E355" s="84"/>
      <c r="F355" s="84"/>
      <c r="G355" s="84"/>
      <c r="H355" s="84"/>
      <c r="I355" s="84"/>
      <c r="J355" s="84"/>
      <c r="K355" s="84"/>
      <c r="L355" s="84"/>
      <c r="M355" s="84"/>
      <c r="N355" s="84"/>
      <c r="O355" s="84"/>
      <c r="P355" s="84"/>
      <c r="Q355" s="84"/>
      <c r="R355" s="84"/>
      <c r="S355" s="84"/>
      <c r="T355" s="84"/>
      <c r="U355" s="359" t="s">
        <v>1586</v>
      </c>
      <c r="V355" s="362" t="s">
        <v>1587</v>
      </c>
      <c r="W355" s="360" t="s">
        <v>1588</v>
      </c>
      <c r="X355" s="361">
        <v>38.07</v>
      </c>
    </row>
    <row r="356" spans="5:24" hidden="1">
      <c r="E356" s="84"/>
      <c r="F356" s="84"/>
      <c r="G356" s="84"/>
      <c r="H356" s="84"/>
      <c r="I356" s="84"/>
      <c r="J356" s="84"/>
      <c r="K356" s="84"/>
      <c r="L356" s="84"/>
      <c r="M356" s="84"/>
      <c r="N356" s="84"/>
      <c r="O356" s="84"/>
      <c r="P356" s="84"/>
      <c r="Q356" s="84"/>
      <c r="R356" s="84"/>
      <c r="S356" s="84"/>
      <c r="T356" s="84"/>
      <c r="U356" s="359" t="s">
        <v>1589</v>
      </c>
      <c r="V356" s="362" t="s">
        <v>1590</v>
      </c>
      <c r="W356" s="360" t="s">
        <v>1591</v>
      </c>
      <c r="X356" s="361">
        <v>35.17</v>
      </c>
    </row>
    <row r="357" spans="5:24" hidden="1">
      <c r="E357" s="84"/>
      <c r="F357" s="84"/>
      <c r="G357" s="84"/>
      <c r="H357" s="84"/>
      <c r="I357" s="84"/>
      <c r="J357" s="84"/>
      <c r="K357" s="84"/>
      <c r="L357" s="84"/>
      <c r="M357" s="84"/>
      <c r="N357" s="84"/>
      <c r="O357" s="84"/>
      <c r="P357" s="84"/>
      <c r="Q357" s="84"/>
      <c r="R357" s="84"/>
      <c r="S357" s="84"/>
      <c r="T357" s="84"/>
      <c r="U357" s="359" t="s">
        <v>1704</v>
      </c>
      <c r="V357" s="362" t="s">
        <v>1703</v>
      </c>
      <c r="W357" s="360" t="s">
        <v>1707</v>
      </c>
      <c r="X357" s="361">
        <v>2.23</v>
      </c>
    </row>
    <row r="358" spans="5:24" hidden="1">
      <c r="E358" s="84"/>
      <c r="F358" s="84"/>
      <c r="G358" s="84"/>
      <c r="H358" s="84"/>
      <c r="I358" s="84"/>
      <c r="J358" s="84"/>
      <c r="K358" s="84"/>
      <c r="L358" s="84"/>
      <c r="M358" s="84"/>
      <c r="N358" s="84"/>
      <c r="O358" s="84"/>
      <c r="P358" s="84"/>
      <c r="Q358" s="84"/>
      <c r="R358" s="84"/>
      <c r="S358" s="84"/>
      <c r="T358" s="84"/>
      <c r="U358" s="359" t="s">
        <v>1592</v>
      </c>
      <c r="V358" s="362">
        <v>344361</v>
      </c>
      <c r="W358" s="360" t="s">
        <v>1593</v>
      </c>
      <c r="X358" s="361">
        <v>1.8</v>
      </c>
    </row>
    <row r="359" spans="5:24" hidden="1">
      <c r="E359" s="84"/>
      <c r="F359" s="84"/>
      <c r="G359" s="84"/>
      <c r="H359" s="84"/>
      <c r="I359" s="84"/>
      <c r="J359" s="84"/>
      <c r="K359" s="84"/>
      <c r="L359" s="84"/>
      <c r="M359" s="84"/>
      <c r="N359" s="84"/>
      <c r="O359" s="84"/>
      <c r="P359" s="84"/>
      <c r="Q359" s="84"/>
      <c r="R359" s="84"/>
      <c r="S359" s="84"/>
      <c r="T359" s="84"/>
      <c r="U359" s="359" t="s">
        <v>1594</v>
      </c>
      <c r="V359" s="362">
        <v>702.75</v>
      </c>
      <c r="W359" s="360" t="s">
        <v>1595</v>
      </c>
      <c r="X359" s="361">
        <v>2.25</v>
      </c>
    </row>
    <row r="360" spans="5:24" hidden="1">
      <c r="E360" s="84"/>
      <c r="F360" s="84"/>
      <c r="G360" s="84"/>
      <c r="H360" s="84"/>
      <c r="I360" s="84"/>
      <c r="J360" s="84"/>
      <c r="K360" s="84"/>
      <c r="L360" s="84"/>
      <c r="M360" s="84"/>
      <c r="N360" s="84"/>
      <c r="O360" s="84"/>
      <c r="P360" s="84"/>
      <c r="Q360" s="84"/>
      <c r="R360" s="84"/>
      <c r="S360" s="84"/>
      <c r="T360" s="84"/>
      <c r="U360" s="359" t="s">
        <v>1594</v>
      </c>
      <c r="V360" s="362">
        <v>52151.5</v>
      </c>
      <c r="W360" s="360" t="s">
        <v>1596</v>
      </c>
      <c r="X360" s="361">
        <v>1.45</v>
      </c>
    </row>
    <row r="361" spans="5:24" hidden="1">
      <c r="E361" s="84"/>
      <c r="F361" s="84"/>
      <c r="G361" s="84"/>
      <c r="H361" s="84"/>
      <c r="I361" s="84"/>
      <c r="J361" s="84"/>
      <c r="K361" s="84"/>
      <c r="L361" s="84"/>
      <c r="M361" s="84"/>
      <c r="N361" s="84"/>
      <c r="O361" s="84"/>
      <c r="P361" s="84"/>
      <c r="Q361" s="84"/>
      <c r="R361" s="84"/>
      <c r="S361" s="84"/>
      <c r="T361" s="84"/>
      <c r="U361" s="359" t="s">
        <v>1594</v>
      </c>
      <c r="V361" s="362">
        <v>58361.5</v>
      </c>
      <c r="W361" s="360" t="s">
        <v>1597</v>
      </c>
      <c r="X361" s="361">
        <v>2.2000000000000002</v>
      </c>
    </row>
    <row r="362" spans="5:24" hidden="1">
      <c r="E362" s="84"/>
      <c r="F362" s="84"/>
      <c r="G362" s="84"/>
      <c r="H362" s="84"/>
      <c r="I362" s="84"/>
      <c r="J362" s="84"/>
      <c r="K362" s="84"/>
      <c r="L362" s="84"/>
      <c r="M362" s="84"/>
      <c r="N362" s="84"/>
      <c r="O362" s="84"/>
      <c r="P362" s="84"/>
      <c r="Q362" s="84"/>
      <c r="R362" s="84"/>
      <c r="S362" s="84"/>
      <c r="T362" s="84"/>
      <c r="U362" s="359" t="s">
        <v>1594</v>
      </c>
      <c r="V362" s="362">
        <v>58371.5</v>
      </c>
      <c r="W362" s="360" t="s">
        <v>1598</v>
      </c>
      <c r="X362" s="361">
        <v>2.56</v>
      </c>
    </row>
    <row r="363" spans="5:24" hidden="1">
      <c r="E363" s="84"/>
      <c r="F363" s="84"/>
      <c r="G363" s="84"/>
      <c r="H363" s="84"/>
      <c r="I363" s="84"/>
      <c r="J363" s="84"/>
      <c r="K363" s="84"/>
      <c r="L363" s="84"/>
      <c r="M363" s="84"/>
      <c r="N363" s="84"/>
      <c r="O363" s="84"/>
      <c r="P363" s="84"/>
      <c r="Q363" s="84"/>
      <c r="R363" s="84"/>
      <c r="S363" s="84"/>
      <c r="T363" s="84"/>
      <c r="U363" s="359" t="s">
        <v>1594</v>
      </c>
      <c r="V363" s="362" t="s">
        <v>1599</v>
      </c>
      <c r="W363" s="360" t="s">
        <v>1600</v>
      </c>
      <c r="X363" s="361">
        <v>5.85</v>
      </c>
    </row>
    <row r="364" spans="5:24" hidden="1">
      <c r="E364" s="84"/>
      <c r="F364" s="84"/>
      <c r="G364" s="84"/>
      <c r="H364" s="84"/>
      <c r="I364" s="84"/>
      <c r="J364" s="84"/>
      <c r="K364" s="84"/>
      <c r="L364" s="84"/>
      <c r="M364" s="84"/>
      <c r="N364" s="84"/>
      <c r="O364" s="84"/>
      <c r="P364" s="84"/>
      <c r="Q364" s="84"/>
      <c r="R364" s="84"/>
      <c r="S364" s="84"/>
      <c r="T364" s="84"/>
      <c r="U364" s="359" t="s">
        <v>1594</v>
      </c>
      <c r="V364" s="362" t="s">
        <v>1601</v>
      </c>
      <c r="W364" s="360" t="s">
        <v>1602</v>
      </c>
      <c r="X364" s="361">
        <v>6.27</v>
      </c>
    </row>
    <row r="365" spans="5:24" hidden="1">
      <c r="E365" s="84"/>
      <c r="F365" s="84"/>
      <c r="G365" s="84"/>
      <c r="H365" s="84"/>
      <c r="I365" s="84"/>
      <c r="J365" s="84"/>
      <c r="K365" s="84"/>
      <c r="L365" s="84"/>
      <c r="M365" s="84"/>
      <c r="N365" s="84"/>
      <c r="O365" s="84"/>
      <c r="P365" s="84"/>
      <c r="Q365" s="84"/>
      <c r="R365" s="84"/>
      <c r="S365" s="84"/>
      <c r="T365" s="84"/>
      <c r="U365" s="359" t="s">
        <v>1594</v>
      </c>
      <c r="V365" s="362" t="s">
        <v>1603</v>
      </c>
      <c r="W365" s="360" t="s">
        <v>1604</v>
      </c>
      <c r="X365" s="361">
        <v>6.69</v>
      </c>
    </row>
    <row r="366" spans="5:24" hidden="1">
      <c r="E366" s="84"/>
      <c r="F366" s="84"/>
      <c r="G366" s="84"/>
      <c r="H366" s="84"/>
      <c r="I366" s="84"/>
      <c r="J366" s="84"/>
      <c r="K366" s="84"/>
      <c r="L366" s="84"/>
      <c r="M366" s="84"/>
      <c r="N366" s="84"/>
      <c r="O366" s="84"/>
      <c r="P366" s="84"/>
      <c r="Q366" s="84"/>
      <c r="R366" s="84"/>
      <c r="S366" s="84"/>
      <c r="T366" s="84"/>
      <c r="U366" s="359" t="s">
        <v>1594</v>
      </c>
      <c r="V366" s="362" t="s">
        <v>1605</v>
      </c>
      <c r="W366" s="360" t="s">
        <v>1606</v>
      </c>
      <c r="X366" s="361">
        <v>2.67</v>
      </c>
    </row>
    <row r="367" spans="5:24" hidden="1">
      <c r="E367" s="84"/>
      <c r="F367" s="84"/>
      <c r="G367" s="84"/>
      <c r="H367" s="84"/>
      <c r="I367" s="84"/>
      <c r="J367" s="84"/>
      <c r="K367" s="84"/>
      <c r="L367" s="84"/>
      <c r="M367" s="84"/>
      <c r="N367" s="84"/>
      <c r="O367" s="84"/>
      <c r="P367" s="84"/>
      <c r="Q367" s="84"/>
      <c r="R367" s="84"/>
      <c r="S367" s="84"/>
      <c r="T367" s="84"/>
      <c r="U367" s="359" t="s">
        <v>1594</v>
      </c>
      <c r="V367" s="362" t="s">
        <v>1607</v>
      </c>
      <c r="W367" s="360" t="s">
        <v>1608</v>
      </c>
      <c r="X367" s="356">
        <v>2.67</v>
      </c>
    </row>
    <row r="368" spans="5:24" hidden="1">
      <c r="E368" s="84"/>
      <c r="F368" s="84"/>
      <c r="G368" s="84"/>
      <c r="H368" s="84"/>
      <c r="I368" s="84"/>
      <c r="J368" s="84"/>
      <c r="K368" s="84"/>
      <c r="L368" s="84"/>
      <c r="M368" s="84"/>
      <c r="N368" s="84"/>
      <c r="O368" s="84"/>
      <c r="P368" s="84"/>
      <c r="Q368" s="84"/>
      <c r="R368" s="84"/>
      <c r="S368" s="84"/>
      <c r="T368" s="84"/>
      <c r="U368" s="359" t="s">
        <v>1594</v>
      </c>
      <c r="V368" s="362" t="s">
        <v>1609</v>
      </c>
      <c r="W368" s="360" t="s">
        <v>1610</v>
      </c>
      <c r="X368" s="361">
        <v>2.94</v>
      </c>
    </row>
    <row r="369" spans="5:24" hidden="1">
      <c r="E369" s="84"/>
      <c r="F369" s="84"/>
      <c r="G369" s="84"/>
      <c r="H369" s="84"/>
      <c r="I369" s="84"/>
      <c r="J369" s="84"/>
      <c r="K369" s="84"/>
      <c r="L369" s="84"/>
      <c r="M369" s="84"/>
      <c r="N369" s="84"/>
      <c r="O369" s="84"/>
      <c r="P369" s="84"/>
      <c r="Q369" s="84"/>
      <c r="R369" s="84"/>
      <c r="S369" s="84"/>
      <c r="T369" s="84"/>
      <c r="U369" s="359" t="s">
        <v>1594</v>
      </c>
      <c r="V369" s="362" t="s">
        <v>1611</v>
      </c>
      <c r="W369" s="360" t="s">
        <v>1612</v>
      </c>
      <c r="X369" s="361">
        <v>0.66</v>
      </c>
    </row>
    <row r="370" spans="5:24" hidden="1">
      <c r="E370" s="84"/>
      <c r="F370" s="84"/>
      <c r="G370" s="84"/>
      <c r="H370" s="84"/>
      <c r="I370" s="84"/>
      <c r="J370" s="84"/>
      <c r="K370" s="84"/>
      <c r="L370" s="84"/>
      <c r="M370" s="84"/>
      <c r="N370" s="84"/>
      <c r="O370" s="84"/>
      <c r="P370" s="84"/>
      <c r="Q370" s="84"/>
      <c r="R370" s="84"/>
      <c r="S370" s="84"/>
      <c r="T370" s="84"/>
      <c r="U370" s="359" t="s">
        <v>1594</v>
      </c>
      <c r="V370" s="362" t="s">
        <v>1613</v>
      </c>
      <c r="W370" s="360" t="s">
        <v>1614</v>
      </c>
      <c r="X370" s="361">
        <v>13.12</v>
      </c>
    </row>
    <row r="371" spans="5:24" hidden="1">
      <c r="E371" s="84"/>
      <c r="F371" s="84"/>
      <c r="G371" s="84"/>
      <c r="H371" s="84"/>
      <c r="I371" s="84"/>
      <c r="J371" s="84"/>
      <c r="K371" s="84"/>
      <c r="L371" s="84"/>
      <c r="M371" s="84"/>
      <c r="N371" s="84"/>
      <c r="O371" s="84"/>
      <c r="P371" s="84"/>
      <c r="Q371" s="84"/>
      <c r="R371" s="84"/>
      <c r="S371" s="84"/>
      <c r="T371" s="84"/>
      <c r="U371" s="359" t="s">
        <v>1594</v>
      </c>
      <c r="V371" s="362" t="s">
        <v>1615</v>
      </c>
      <c r="W371" s="360" t="s">
        <v>1616</v>
      </c>
      <c r="X371" s="361">
        <v>1.17</v>
      </c>
    </row>
    <row r="372" spans="5:24" hidden="1">
      <c r="E372" s="84"/>
      <c r="F372" s="84"/>
      <c r="G372" s="84"/>
      <c r="H372" s="84"/>
      <c r="I372" s="84"/>
      <c r="J372" s="84"/>
      <c r="K372" s="84"/>
      <c r="L372" s="84"/>
      <c r="M372" s="84"/>
      <c r="N372" s="84"/>
      <c r="O372" s="84"/>
      <c r="P372" s="84"/>
      <c r="Q372" s="84"/>
      <c r="R372" s="84"/>
      <c r="S372" s="84"/>
      <c r="T372" s="84"/>
      <c r="U372" s="359" t="s">
        <v>1594</v>
      </c>
      <c r="V372" s="362" t="s">
        <v>1617</v>
      </c>
      <c r="W372" s="360" t="s">
        <v>1618</v>
      </c>
      <c r="X372" s="361">
        <v>3.09</v>
      </c>
    </row>
    <row r="373" spans="5:24" hidden="1">
      <c r="E373" s="84"/>
      <c r="F373" s="84"/>
      <c r="G373" s="84"/>
      <c r="H373" s="84"/>
      <c r="I373" s="84"/>
      <c r="J373" s="84"/>
      <c r="K373" s="84"/>
      <c r="L373" s="84"/>
      <c r="M373" s="84"/>
      <c r="N373" s="84"/>
      <c r="O373" s="84"/>
      <c r="P373" s="84"/>
      <c r="Q373" s="84"/>
      <c r="R373" s="84"/>
      <c r="S373" s="84"/>
      <c r="T373" s="84"/>
      <c r="U373" s="359" t="s">
        <v>1594</v>
      </c>
      <c r="V373" s="362" t="s">
        <v>1619</v>
      </c>
      <c r="W373" s="360" t="s">
        <v>1620</v>
      </c>
      <c r="X373" s="361">
        <v>2.76</v>
      </c>
    </row>
    <row r="374" spans="5:24" hidden="1">
      <c r="E374" s="84"/>
      <c r="F374" s="84"/>
      <c r="G374" s="84"/>
      <c r="H374" s="84"/>
      <c r="I374" s="84"/>
      <c r="J374" s="84"/>
      <c r="K374" s="84"/>
      <c r="L374" s="84"/>
      <c r="M374" s="84"/>
      <c r="N374" s="84"/>
      <c r="O374" s="84"/>
      <c r="P374" s="84"/>
      <c r="Q374" s="84"/>
      <c r="R374" s="84"/>
      <c r="S374" s="84"/>
      <c r="T374" s="84"/>
      <c r="U374" s="359" t="s">
        <v>1594</v>
      </c>
      <c r="V374" s="362" t="s">
        <v>1621</v>
      </c>
      <c r="W374" s="360" t="s">
        <v>1622</v>
      </c>
      <c r="X374" s="361">
        <v>1.88</v>
      </c>
    </row>
    <row r="375" spans="5:24" hidden="1">
      <c r="E375" s="84"/>
      <c r="F375" s="84"/>
      <c r="G375" s="84"/>
      <c r="H375" s="84"/>
      <c r="I375" s="84"/>
      <c r="J375" s="84"/>
      <c r="K375" s="84"/>
      <c r="L375" s="84"/>
      <c r="M375" s="84"/>
      <c r="N375" s="84"/>
      <c r="O375" s="84"/>
      <c r="P375" s="84"/>
      <c r="Q375" s="84"/>
      <c r="R375" s="84"/>
      <c r="S375" s="84"/>
      <c r="T375" s="84"/>
      <c r="U375" s="359" t="s">
        <v>1594</v>
      </c>
      <c r="V375" s="362" t="s">
        <v>1623</v>
      </c>
      <c r="W375" s="360" t="s">
        <v>1624</v>
      </c>
      <c r="X375" s="361">
        <v>10.17</v>
      </c>
    </row>
    <row r="376" spans="5:24" hidden="1">
      <c r="E376" s="84"/>
      <c r="F376" s="84"/>
      <c r="G376" s="84"/>
      <c r="H376" s="84"/>
      <c r="I376" s="84"/>
      <c r="J376" s="84"/>
      <c r="K376" s="84"/>
      <c r="L376" s="84"/>
      <c r="M376" s="84"/>
      <c r="N376" s="84"/>
      <c r="O376" s="84"/>
      <c r="P376" s="84"/>
      <c r="Q376" s="84"/>
      <c r="R376" s="84"/>
      <c r="S376" s="84"/>
      <c r="T376" s="84"/>
      <c r="U376" s="359" t="s">
        <v>1594</v>
      </c>
      <c r="V376" s="362" t="s">
        <v>1625</v>
      </c>
      <c r="W376" s="360" t="s">
        <v>1626</v>
      </c>
      <c r="X376" s="361">
        <v>5.0599999999999996</v>
      </c>
    </row>
    <row r="377" spans="5:24" hidden="1">
      <c r="E377" s="84"/>
      <c r="F377" s="84"/>
      <c r="G377" s="84"/>
      <c r="H377" s="84"/>
      <c r="I377" s="84"/>
      <c r="J377" s="84"/>
      <c r="K377" s="84"/>
      <c r="L377" s="84"/>
      <c r="M377" s="84"/>
      <c r="N377" s="84"/>
      <c r="O377" s="84"/>
      <c r="P377" s="84"/>
      <c r="Q377" s="84"/>
      <c r="R377" s="84"/>
      <c r="S377" s="84"/>
      <c r="T377" s="84"/>
      <c r="U377" s="359" t="s">
        <v>1594</v>
      </c>
      <c r="V377" s="362" t="s">
        <v>1627</v>
      </c>
      <c r="W377" s="360" t="s">
        <v>1628</v>
      </c>
      <c r="X377" s="361">
        <v>4.49</v>
      </c>
    </row>
    <row r="378" spans="5:24" hidden="1">
      <c r="E378" s="84"/>
      <c r="F378" s="84"/>
      <c r="G378" s="84"/>
      <c r="H378" s="84"/>
      <c r="I378" s="84"/>
      <c r="J378" s="84"/>
      <c r="K378" s="84"/>
      <c r="L378" s="84"/>
      <c r="M378" s="84"/>
      <c r="N378" s="84"/>
      <c r="O378" s="84"/>
      <c r="P378" s="84"/>
      <c r="Q378" s="84"/>
      <c r="R378" s="84"/>
      <c r="S378" s="84"/>
      <c r="T378" s="84"/>
      <c r="U378" s="359" t="s">
        <v>1594</v>
      </c>
      <c r="V378" s="362" t="s">
        <v>1629</v>
      </c>
      <c r="W378" s="360" t="s">
        <v>1630</v>
      </c>
      <c r="X378" s="361">
        <v>2.23</v>
      </c>
    </row>
    <row r="379" spans="5:24" hidden="1">
      <c r="E379" s="84"/>
      <c r="F379" s="84"/>
      <c r="G379" s="84"/>
      <c r="H379" s="84"/>
      <c r="I379" s="84"/>
      <c r="J379" s="84"/>
      <c r="K379" s="84"/>
      <c r="L379" s="84"/>
      <c r="M379" s="84"/>
      <c r="N379" s="84"/>
      <c r="O379" s="84"/>
      <c r="P379" s="84"/>
      <c r="Q379" s="84"/>
      <c r="R379" s="84"/>
      <c r="S379" s="84"/>
      <c r="T379" s="84"/>
      <c r="U379" s="359" t="s">
        <v>1594</v>
      </c>
      <c r="V379" s="362" t="s">
        <v>1631</v>
      </c>
      <c r="W379" s="360" t="s">
        <v>1632</v>
      </c>
      <c r="X379" s="361">
        <v>2.23</v>
      </c>
    </row>
    <row r="380" spans="5:24" hidden="1">
      <c r="E380" s="84"/>
      <c r="F380" s="84"/>
      <c r="G380" s="84"/>
      <c r="H380" s="84"/>
      <c r="I380" s="84"/>
      <c r="J380" s="84"/>
      <c r="K380" s="84"/>
      <c r="L380" s="84"/>
      <c r="M380" s="84"/>
      <c r="N380" s="84"/>
      <c r="O380" s="84"/>
      <c r="P380" s="84"/>
      <c r="Q380" s="84"/>
      <c r="R380" s="84"/>
      <c r="S380" s="84"/>
      <c r="T380" s="84"/>
      <c r="U380" s="359" t="s">
        <v>1594</v>
      </c>
      <c r="V380" s="362" t="s">
        <v>1633</v>
      </c>
      <c r="W380" s="360" t="s">
        <v>1634</v>
      </c>
      <c r="X380" s="361">
        <v>0.64</v>
      </c>
    </row>
    <row r="381" spans="5:24" hidden="1">
      <c r="E381" s="84"/>
      <c r="F381" s="84"/>
      <c r="G381" s="84"/>
      <c r="H381" s="84"/>
      <c r="I381" s="84"/>
      <c r="J381" s="84"/>
      <c r="K381" s="84"/>
      <c r="L381" s="84"/>
      <c r="M381" s="84"/>
      <c r="N381" s="84"/>
      <c r="O381" s="84"/>
      <c r="P381" s="84"/>
      <c r="Q381" s="84"/>
      <c r="R381" s="84"/>
      <c r="S381" s="84"/>
      <c r="T381" s="84"/>
      <c r="U381" s="359" t="s">
        <v>1594</v>
      </c>
      <c r="V381" s="362" t="s">
        <v>1635</v>
      </c>
      <c r="W381" s="360" t="s">
        <v>1636</v>
      </c>
      <c r="X381" s="361">
        <v>5.63</v>
      </c>
    </row>
    <row r="382" spans="5:24" hidden="1">
      <c r="E382" s="84"/>
      <c r="F382" s="84"/>
      <c r="G382" s="84"/>
      <c r="H382" s="84"/>
      <c r="I382" s="84"/>
      <c r="J382" s="84"/>
      <c r="K382" s="84"/>
      <c r="L382" s="84"/>
      <c r="M382" s="84"/>
      <c r="N382" s="84"/>
      <c r="O382" s="84"/>
      <c r="P382" s="84"/>
      <c r="Q382" s="84"/>
      <c r="R382" s="84"/>
      <c r="S382" s="84"/>
      <c r="T382" s="84"/>
      <c r="U382" s="359" t="s">
        <v>1594</v>
      </c>
      <c r="V382" s="362" t="s">
        <v>1637</v>
      </c>
      <c r="W382" s="360" t="s">
        <v>1638</v>
      </c>
      <c r="X382" s="361">
        <v>5.65</v>
      </c>
    </row>
    <row r="383" spans="5:24" hidden="1">
      <c r="E383" s="84"/>
      <c r="F383" s="84"/>
      <c r="G383" s="84"/>
      <c r="H383" s="84"/>
      <c r="I383" s="84"/>
      <c r="J383" s="84"/>
      <c r="K383" s="84"/>
      <c r="L383" s="84"/>
      <c r="M383" s="84"/>
      <c r="N383" s="84"/>
      <c r="O383" s="84"/>
      <c r="P383" s="84"/>
      <c r="Q383" s="84"/>
      <c r="R383" s="84"/>
      <c r="S383" s="84"/>
      <c r="T383" s="84"/>
      <c r="U383" s="359" t="s">
        <v>1594</v>
      </c>
      <c r="V383" s="362" t="s">
        <v>1639</v>
      </c>
      <c r="W383" s="360" t="s">
        <v>1640</v>
      </c>
      <c r="X383" s="361">
        <v>5.27</v>
      </c>
    </row>
    <row r="384" spans="5:24" hidden="1">
      <c r="E384" s="84"/>
      <c r="F384" s="84"/>
      <c r="G384" s="84"/>
      <c r="H384" s="84"/>
      <c r="I384" s="84"/>
      <c r="J384" s="84"/>
      <c r="K384" s="84"/>
      <c r="L384" s="84"/>
      <c r="M384" s="84"/>
      <c r="N384" s="84"/>
      <c r="O384" s="84"/>
      <c r="P384" s="84"/>
      <c r="Q384" s="84"/>
      <c r="R384" s="84"/>
      <c r="S384" s="84"/>
      <c r="T384" s="84"/>
      <c r="U384" s="359" t="s">
        <v>1594</v>
      </c>
      <c r="V384" s="362" t="s">
        <v>1641</v>
      </c>
      <c r="W384" s="360" t="s">
        <v>1642</v>
      </c>
      <c r="X384" s="361">
        <v>1.31</v>
      </c>
    </row>
    <row r="385" spans="5:24" hidden="1">
      <c r="E385" s="84"/>
      <c r="F385" s="84"/>
      <c r="G385" s="84"/>
      <c r="H385" s="84"/>
      <c r="I385" s="84"/>
      <c r="J385" s="84"/>
      <c r="K385" s="84"/>
      <c r="L385" s="84"/>
      <c r="M385" s="84"/>
      <c r="N385" s="84"/>
      <c r="O385" s="84"/>
      <c r="P385" s="84"/>
      <c r="Q385" s="84"/>
      <c r="R385" s="84"/>
      <c r="S385" s="84"/>
      <c r="T385" s="84"/>
      <c r="U385" s="359" t="s">
        <v>1594</v>
      </c>
      <c r="V385" s="362" t="s">
        <v>1643</v>
      </c>
      <c r="W385" s="360" t="s">
        <v>1644</v>
      </c>
      <c r="X385" s="361">
        <v>1.47</v>
      </c>
    </row>
    <row r="386" spans="5:24" hidden="1">
      <c r="E386" s="84"/>
      <c r="F386" s="84"/>
      <c r="G386" s="84"/>
      <c r="H386" s="84"/>
      <c r="I386" s="84"/>
      <c r="J386" s="84"/>
      <c r="K386" s="84"/>
      <c r="L386" s="84"/>
      <c r="M386" s="84"/>
      <c r="N386" s="84"/>
      <c r="O386" s="84"/>
      <c r="P386" s="84"/>
      <c r="Q386" s="84"/>
      <c r="R386" s="84"/>
      <c r="S386" s="84"/>
      <c r="T386" s="84"/>
      <c r="U386" s="359" t="s">
        <v>1594</v>
      </c>
      <c r="V386" s="362" t="s">
        <v>1645</v>
      </c>
      <c r="W386" s="360" t="s">
        <v>1646</v>
      </c>
      <c r="X386" s="361">
        <v>18.920000000000002</v>
      </c>
    </row>
    <row r="387" spans="5:24" hidden="1">
      <c r="E387" s="84"/>
      <c r="F387" s="84"/>
      <c r="G387" s="84"/>
      <c r="H387" s="84"/>
      <c r="I387" s="84"/>
      <c r="J387" s="84"/>
      <c r="K387" s="84"/>
      <c r="L387" s="84"/>
      <c r="M387" s="84"/>
      <c r="N387" s="84"/>
      <c r="O387" s="84"/>
      <c r="P387" s="84"/>
      <c r="Q387" s="84"/>
      <c r="R387" s="84"/>
      <c r="S387" s="84"/>
      <c r="T387" s="84"/>
      <c r="U387" s="359" t="s">
        <v>1594</v>
      </c>
      <c r="V387" s="362" t="s">
        <v>1647</v>
      </c>
      <c r="W387" s="360" t="s">
        <v>1648</v>
      </c>
      <c r="X387" s="361">
        <v>1.73</v>
      </c>
    </row>
    <row r="388" spans="5:24" hidden="1">
      <c r="E388" s="84"/>
      <c r="F388" s="84"/>
      <c r="G388" s="84"/>
      <c r="H388" s="84"/>
      <c r="I388" s="84"/>
      <c r="J388" s="84"/>
      <c r="K388" s="84"/>
      <c r="L388" s="84"/>
      <c r="M388" s="84"/>
      <c r="N388" s="84"/>
      <c r="O388" s="84"/>
      <c r="P388" s="84"/>
      <c r="Q388" s="84"/>
      <c r="R388" s="84"/>
      <c r="S388" s="84"/>
      <c r="T388" s="84"/>
      <c r="U388" s="359" t="s">
        <v>1594</v>
      </c>
      <c r="V388" s="362" t="s">
        <v>1649</v>
      </c>
      <c r="W388" s="360" t="s">
        <v>1650</v>
      </c>
      <c r="X388" s="361">
        <v>5.22</v>
      </c>
    </row>
    <row r="389" spans="5:24" hidden="1">
      <c r="E389" s="84"/>
      <c r="F389" s="84"/>
      <c r="G389" s="84"/>
      <c r="H389" s="84"/>
      <c r="I389" s="84"/>
      <c r="J389" s="84"/>
      <c r="K389" s="84"/>
      <c r="L389" s="84"/>
      <c r="M389" s="84"/>
      <c r="N389" s="84"/>
      <c r="O389" s="84"/>
      <c r="P389" s="84"/>
      <c r="Q389" s="84"/>
      <c r="R389" s="84"/>
      <c r="S389" s="84"/>
      <c r="T389" s="84"/>
      <c r="U389" s="359" t="s">
        <v>1594</v>
      </c>
      <c r="V389" s="362" t="s">
        <v>1651</v>
      </c>
      <c r="W389" s="360" t="s">
        <v>1652</v>
      </c>
      <c r="X389" s="361">
        <v>0.45</v>
      </c>
    </row>
    <row r="390" spans="5:24" hidden="1">
      <c r="E390" s="84"/>
      <c r="F390" s="84"/>
      <c r="G390" s="84"/>
      <c r="H390" s="84"/>
      <c r="I390" s="84"/>
      <c r="J390" s="84"/>
      <c r="K390" s="84"/>
      <c r="L390" s="84"/>
      <c r="M390" s="84"/>
      <c r="N390" s="84"/>
      <c r="O390" s="84"/>
      <c r="P390" s="84"/>
      <c r="Q390" s="84"/>
      <c r="R390" s="84"/>
      <c r="S390" s="84"/>
      <c r="T390" s="84"/>
      <c r="U390" s="359" t="s">
        <v>1594</v>
      </c>
      <c r="V390" s="362" t="s">
        <v>1653</v>
      </c>
      <c r="W390" s="360" t="s">
        <v>1654</v>
      </c>
      <c r="X390" s="361">
        <v>1.04</v>
      </c>
    </row>
    <row r="391" spans="5:24" hidden="1">
      <c r="E391" s="84"/>
      <c r="F391" s="84"/>
      <c r="G391" s="84"/>
      <c r="H391" s="84"/>
      <c r="I391" s="84"/>
      <c r="J391" s="84"/>
      <c r="K391" s="84"/>
      <c r="L391" s="84"/>
      <c r="M391" s="84"/>
      <c r="N391" s="84"/>
      <c r="O391" s="84"/>
      <c r="P391" s="84"/>
      <c r="Q391" s="84"/>
      <c r="R391" s="84"/>
      <c r="S391" s="84"/>
      <c r="T391" s="84"/>
      <c r="U391" s="359" t="s">
        <v>1594</v>
      </c>
      <c r="V391" s="362" t="s">
        <v>1655</v>
      </c>
      <c r="W391" s="360" t="s">
        <v>1656</v>
      </c>
      <c r="X391" s="361">
        <v>1.94</v>
      </c>
    </row>
    <row r="392" spans="5:24" hidden="1">
      <c r="E392" s="84"/>
      <c r="F392" s="84"/>
      <c r="G392" s="84"/>
      <c r="H392" s="84"/>
      <c r="I392" s="84"/>
      <c r="J392" s="84"/>
      <c r="K392" s="84"/>
      <c r="L392" s="84"/>
      <c r="M392" s="84"/>
      <c r="N392" s="84"/>
      <c r="O392" s="84"/>
      <c r="P392" s="84"/>
      <c r="Q392" s="84"/>
      <c r="R392" s="84"/>
      <c r="S392" s="84"/>
      <c r="T392" s="84"/>
      <c r="U392" s="359" t="s">
        <v>1594</v>
      </c>
      <c r="V392" s="362" t="s">
        <v>1657</v>
      </c>
      <c r="W392" s="360" t="s">
        <v>1658</v>
      </c>
      <c r="X392" s="361">
        <v>21.4</v>
      </c>
    </row>
    <row r="393" spans="5:24" hidden="1">
      <c r="E393" s="84"/>
      <c r="F393" s="84"/>
      <c r="G393" s="84"/>
      <c r="H393" s="84"/>
      <c r="I393" s="84"/>
      <c r="J393" s="84"/>
      <c r="K393" s="84"/>
      <c r="L393" s="84"/>
      <c r="M393" s="84"/>
      <c r="N393" s="84"/>
      <c r="O393" s="84"/>
      <c r="P393" s="84"/>
      <c r="Q393" s="84"/>
      <c r="R393" s="84"/>
      <c r="S393" s="84"/>
      <c r="T393" s="84"/>
      <c r="U393" s="359" t="s">
        <v>1594</v>
      </c>
      <c r="V393" s="362" t="s">
        <v>1659</v>
      </c>
      <c r="W393" s="360" t="s">
        <v>1660</v>
      </c>
      <c r="X393" s="361">
        <v>0.87</v>
      </c>
    </row>
    <row r="394" spans="5:24" hidden="1">
      <c r="E394" s="84"/>
      <c r="F394" s="84"/>
      <c r="G394" s="84"/>
      <c r="H394" s="84"/>
      <c r="I394" s="84"/>
      <c r="J394" s="84"/>
      <c r="K394" s="84"/>
      <c r="L394" s="84"/>
      <c r="M394" s="84"/>
      <c r="N394" s="84"/>
      <c r="O394" s="84"/>
      <c r="P394" s="84"/>
      <c r="Q394" s="84"/>
      <c r="R394" s="84"/>
      <c r="S394" s="84"/>
      <c r="T394" s="84"/>
      <c r="U394" s="359" t="s">
        <v>1594</v>
      </c>
      <c r="V394" s="362" t="s">
        <v>1661</v>
      </c>
      <c r="W394" s="360" t="s">
        <v>1662</v>
      </c>
      <c r="X394" s="361">
        <v>0.9</v>
      </c>
    </row>
    <row r="395" spans="5:24" hidden="1">
      <c r="E395" s="84"/>
      <c r="F395" s="84"/>
      <c r="G395" s="84"/>
      <c r="H395" s="84"/>
      <c r="I395" s="84"/>
      <c r="J395" s="84"/>
      <c r="K395" s="84"/>
      <c r="L395" s="84"/>
      <c r="M395" s="84"/>
      <c r="N395" s="84"/>
      <c r="O395" s="84"/>
      <c r="P395" s="84"/>
      <c r="Q395" s="84"/>
      <c r="R395" s="84"/>
      <c r="S395" s="84"/>
      <c r="T395" s="84"/>
      <c r="U395" s="359" t="s">
        <v>1594</v>
      </c>
      <c r="V395" s="362" t="s">
        <v>1663</v>
      </c>
      <c r="W395" s="360" t="s">
        <v>1664</v>
      </c>
      <c r="X395" s="361">
        <v>1.73</v>
      </c>
    </row>
    <row r="396" spans="5:24" hidden="1">
      <c r="E396" s="84"/>
      <c r="F396" s="84"/>
      <c r="G396" s="84"/>
      <c r="H396" s="84"/>
      <c r="I396" s="84"/>
      <c r="J396" s="84"/>
      <c r="K396" s="84"/>
      <c r="L396" s="84"/>
      <c r="M396" s="84"/>
      <c r="N396" s="84"/>
      <c r="O396" s="84"/>
      <c r="P396" s="84"/>
      <c r="Q396" s="84"/>
      <c r="R396" s="84"/>
      <c r="S396" s="84"/>
      <c r="T396" s="84"/>
      <c r="U396" s="359" t="s">
        <v>1594</v>
      </c>
      <c r="V396" s="362" t="s">
        <v>1665</v>
      </c>
      <c r="W396" s="360" t="s">
        <v>1666</v>
      </c>
      <c r="X396" s="361">
        <v>5.0999999999999996</v>
      </c>
    </row>
    <row r="397" spans="5:24" hidden="1">
      <c r="E397" s="84"/>
      <c r="F397" s="84"/>
      <c r="G397" s="84"/>
      <c r="H397" s="84"/>
      <c r="I397" s="84"/>
      <c r="J397" s="84"/>
      <c r="K397" s="84"/>
      <c r="L397" s="84"/>
      <c r="M397" s="84"/>
      <c r="N397" s="84"/>
      <c r="O397" s="84"/>
      <c r="P397" s="84"/>
      <c r="Q397" s="84"/>
      <c r="R397" s="84"/>
      <c r="S397" s="84"/>
      <c r="T397" s="84"/>
      <c r="U397" s="359" t="s">
        <v>1594</v>
      </c>
      <c r="V397" s="362" t="s">
        <v>1667</v>
      </c>
      <c r="W397" s="360" t="s">
        <v>1668</v>
      </c>
      <c r="X397" s="361">
        <v>0.5</v>
      </c>
    </row>
    <row r="398" spans="5:24" hidden="1">
      <c r="E398" s="84"/>
      <c r="F398" s="84"/>
      <c r="G398" s="84"/>
      <c r="H398" s="84"/>
      <c r="I398" s="84"/>
      <c r="J398" s="84"/>
      <c r="K398" s="84"/>
      <c r="L398" s="84"/>
      <c r="M398" s="84"/>
      <c r="N398" s="84"/>
      <c r="O398" s="84"/>
      <c r="P398" s="84"/>
      <c r="Q398" s="84"/>
      <c r="R398" s="84"/>
      <c r="S398" s="84"/>
      <c r="T398" s="84"/>
      <c r="U398" s="359" t="s">
        <v>1594</v>
      </c>
      <c r="V398" s="362" t="s">
        <v>1669</v>
      </c>
      <c r="W398" s="360" t="s">
        <v>1670</v>
      </c>
      <c r="X398" s="361">
        <v>1.07</v>
      </c>
    </row>
    <row r="399" spans="5:24" hidden="1">
      <c r="E399" s="84"/>
      <c r="F399" s="84"/>
      <c r="G399" s="84"/>
      <c r="H399" s="84"/>
      <c r="I399" s="84"/>
      <c r="J399" s="84"/>
      <c r="K399" s="84"/>
      <c r="L399" s="84"/>
      <c r="M399" s="84"/>
      <c r="N399" s="84"/>
      <c r="O399" s="84"/>
      <c r="P399" s="84"/>
      <c r="Q399" s="84"/>
      <c r="R399" s="84"/>
      <c r="S399" s="84"/>
      <c r="T399" s="84"/>
      <c r="U399" s="359" t="s">
        <v>1594</v>
      </c>
      <c r="V399" s="362" t="s">
        <v>1671</v>
      </c>
      <c r="W399" s="360" t="s">
        <v>1672</v>
      </c>
      <c r="X399" s="361">
        <v>4.93</v>
      </c>
    </row>
    <row r="400" spans="5:24" hidden="1">
      <c r="E400" s="84"/>
      <c r="F400" s="84"/>
      <c r="G400" s="84"/>
      <c r="H400" s="84"/>
      <c r="I400" s="84"/>
      <c r="J400" s="84"/>
      <c r="K400" s="84"/>
      <c r="L400" s="84"/>
      <c r="M400" s="84"/>
      <c r="N400" s="84"/>
      <c r="O400" s="84"/>
      <c r="P400" s="84"/>
      <c r="Q400" s="84"/>
      <c r="R400" s="84"/>
      <c r="S400" s="84"/>
      <c r="T400" s="84"/>
      <c r="U400" s="359" t="s">
        <v>1594</v>
      </c>
      <c r="V400" s="362" t="s">
        <v>1673</v>
      </c>
      <c r="W400" s="360" t="s">
        <v>1674</v>
      </c>
      <c r="X400" s="361">
        <v>1.2</v>
      </c>
    </row>
    <row r="401" spans="1:24" hidden="1">
      <c r="E401" s="84"/>
      <c r="F401" s="84"/>
      <c r="G401" s="84"/>
      <c r="H401" s="84"/>
      <c r="I401" s="84"/>
      <c r="J401" s="84"/>
      <c r="K401" s="84"/>
      <c r="L401" s="84"/>
      <c r="M401" s="84"/>
      <c r="N401" s="84"/>
      <c r="O401" s="84"/>
      <c r="P401" s="84"/>
      <c r="Q401" s="84"/>
      <c r="R401" s="84"/>
      <c r="S401" s="84"/>
      <c r="T401" s="84"/>
      <c r="U401" s="359" t="s">
        <v>1594</v>
      </c>
      <c r="V401" s="362" t="s">
        <v>1675</v>
      </c>
      <c r="W401" s="360" t="s">
        <v>1676</v>
      </c>
      <c r="X401" s="361">
        <v>1.01</v>
      </c>
    </row>
    <row r="402" spans="1:24" hidden="1">
      <c r="E402" s="84"/>
      <c r="F402" s="84"/>
      <c r="G402" s="84"/>
      <c r="H402" s="84"/>
      <c r="I402" s="84"/>
      <c r="J402" s="84"/>
      <c r="K402" s="84"/>
      <c r="L402" s="84"/>
      <c r="M402" s="84"/>
      <c r="N402" s="84"/>
      <c r="O402" s="84"/>
      <c r="P402" s="84"/>
      <c r="Q402" s="84"/>
      <c r="R402" s="84"/>
      <c r="S402" s="84"/>
      <c r="T402" s="84"/>
      <c r="U402" s="359" t="s">
        <v>1677</v>
      </c>
      <c r="V402" s="362" t="s">
        <v>1678</v>
      </c>
      <c r="W402" s="360" t="s">
        <v>1679</v>
      </c>
      <c r="X402" s="361">
        <v>20.010000000000002</v>
      </c>
    </row>
    <row r="403" spans="1:24" hidden="1">
      <c r="E403" s="84"/>
      <c r="F403" s="84"/>
      <c r="G403" s="84"/>
      <c r="H403" s="84"/>
      <c r="I403" s="84"/>
      <c r="J403" s="84"/>
      <c r="K403" s="84"/>
      <c r="L403" s="84"/>
      <c r="M403" s="84"/>
      <c r="N403" s="84"/>
      <c r="O403" s="84"/>
      <c r="P403" s="84"/>
      <c r="Q403" s="84"/>
      <c r="R403" s="84"/>
      <c r="S403" s="84"/>
      <c r="T403" s="84"/>
      <c r="U403" s="359" t="s">
        <v>1680</v>
      </c>
      <c r="V403" s="362">
        <v>53722</v>
      </c>
      <c r="W403" s="360" t="s">
        <v>1681</v>
      </c>
      <c r="X403" s="361">
        <v>0.71</v>
      </c>
    </row>
    <row r="404" spans="1:24" hidden="1">
      <c r="E404" s="84"/>
      <c r="F404" s="84"/>
      <c r="G404" s="84"/>
      <c r="H404" s="84"/>
      <c r="I404" s="84"/>
      <c r="J404" s="84"/>
      <c r="K404" s="84"/>
      <c r="L404" s="84"/>
      <c r="M404" s="84"/>
      <c r="N404" s="84"/>
      <c r="O404" s="84"/>
      <c r="P404" s="84"/>
      <c r="Q404" s="84"/>
      <c r="R404" s="84"/>
      <c r="S404" s="84"/>
      <c r="T404" s="84"/>
      <c r="U404" s="359" t="s">
        <v>1682</v>
      </c>
      <c r="V404" s="362">
        <v>189645</v>
      </c>
      <c r="W404" s="360" t="s">
        <v>1683</v>
      </c>
      <c r="X404" s="361">
        <v>9.07</v>
      </c>
    </row>
    <row r="405" spans="1:24" hidden="1">
      <c r="E405" s="84"/>
      <c r="F405" s="84"/>
      <c r="G405" s="84"/>
      <c r="H405" s="84"/>
      <c r="I405" s="84"/>
      <c r="J405" s="84"/>
      <c r="K405" s="84"/>
      <c r="L405" s="84"/>
      <c r="M405" s="84"/>
      <c r="N405" s="84"/>
      <c r="O405" s="84"/>
      <c r="P405" s="84"/>
      <c r="Q405" s="84"/>
      <c r="R405" s="84"/>
      <c r="S405" s="84"/>
      <c r="T405" s="84"/>
      <c r="U405" s="359" t="s">
        <v>1682</v>
      </c>
      <c r="V405" s="362" t="s">
        <v>1684</v>
      </c>
      <c r="W405" s="360" t="s">
        <v>1685</v>
      </c>
      <c r="X405" s="361">
        <v>16.350000000000001</v>
      </c>
    </row>
    <row r="406" spans="1:24" hidden="1">
      <c r="E406" s="84"/>
      <c r="F406" s="84"/>
      <c r="G406" s="84"/>
      <c r="H406" s="84"/>
      <c r="I406" s="84"/>
      <c r="J406" s="84"/>
      <c r="K406" s="84"/>
      <c r="L406" s="84"/>
      <c r="M406" s="84"/>
      <c r="N406" s="84"/>
      <c r="O406" s="84"/>
      <c r="P406" s="84"/>
      <c r="Q406" s="84"/>
      <c r="R406" s="84"/>
      <c r="S406" s="84"/>
      <c r="T406" s="84"/>
      <c r="U406" s="359" t="s">
        <v>1686</v>
      </c>
      <c r="V406" s="362" t="s">
        <v>1687</v>
      </c>
      <c r="W406" s="360" t="s">
        <v>1688</v>
      </c>
      <c r="X406" s="361">
        <v>0.83</v>
      </c>
    </row>
    <row r="407" spans="1:24" hidden="1">
      <c r="E407" s="84"/>
      <c r="F407" s="84"/>
      <c r="G407" s="84"/>
      <c r="H407" s="84"/>
      <c r="I407" s="84"/>
      <c r="J407" s="84"/>
      <c r="K407" s="84"/>
      <c r="L407" s="84"/>
      <c r="M407" s="84"/>
      <c r="N407" s="84"/>
      <c r="O407" s="84"/>
      <c r="P407" s="84"/>
      <c r="Q407" s="84"/>
      <c r="R407" s="84"/>
      <c r="S407" s="84"/>
      <c r="T407" s="84"/>
      <c r="U407" s="359" t="s">
        <v>1686</v>
      </c>
      <c r="V407" s="362" t="s">
        <v>1689</v>
      </c>
      <c r="W407" s="360" t="s">
        <v>1690</v>
      </c>
      <c r="X407" s="361">
        <v>0.08</v>
      </c>
    </row>
    <row r="408" spans="1:24" hidden="1">
      <c r="E408" s="84"/>
      <c r="F408" s="84"/>
      <c r="G408" s="84"/>
      <c r="H408" s="84"/>
      <c r="I408" s="84"/>
      <c r="J408" s="84"/>
      <c r="K408" s="84"/>
      <c r="L408" s="84"/>
      <c r="M408" s="84"/>
      <c r="N408" s="84"/>
      <c r="O408" s="84"/>
      <c r="P408" s="84"/>
      <c r="Q408" s="84"/>
      <c r="R408" s="84"/>
      <c r="S408" s="84"/>
      <c r="T408" s="84"/>
      <c r="U408" s="359" t="s">
        <v>1686</v>
      </c>
      <c r="V408" s="362" t="s">
        <v>1691</v>
      </c>
      <c r="W408" s="360" t="s">
        <v>1692</v>
      </c>
      <c r="X408" s="361">
        <v>0.08</v>
      </c>
    </row>
    <row r="409" spans="1:24" hidden="1">
      <c r="G409" s="84"/>
      <c r="H409" s="84"/>
      <c r="I409" s="84"/>
      <c r="J409" s="84"/>
      <c r="K409" s="84"/>
      <c r="L409" s="84"/>
      <c r="M409" s="84"/>
      <c r="N409" s="84"/>
      <c r="O409" s="84"/>
      <c r="P409" s="84"/>
      <c r="Q409" s="84"/>
      <c r="R409" s="84"/>
      <c r="S409" s="84"/>
      <c r="T409" s="84"/>
      <c r="U409" s="359" t="s">
        <v>1686</v>
      </c>
      <c r="V409" s="362" t="s">
        <v>1693</v>
      </c>
      <c r="W409" s="360" t="s">
        <v>1694</v>
      </c>
      <c r="X409" s="361">
        <v>0.08</v>
      </c>
    </row>
    <row r="410" spans="1:24" hidden="1">
      <c r="G410" s="84"/>
      <c r="H410" s="84"/>
      <c r="I410" s="84"/>
      <c r="J410" s="84"/>
      <c r="K410" s="84"/>
      <c r="L410" s="84"/>
      <c r="M410" s="84"/>
      <c r="N410" s="84"/>
      <c r="O410" s="84"/>
      <c r="P410" s="84"/>
      <c r="Q410" s="84"/>
      <c r="R410" s="84"/>
      <c r="S410" s="84"/>
      <c r="T410" s="84"/>
      <c r="U410" s="359" t="s">
        <v>1695</v>
      </c>
      <c r="V410" s="362" t="s">
        <v>1696</v>
      </c>
      <c r="W410" s="360" t="s">
        <v>1697</v>
      </c>
      <c r="X410" s="361">
        <v>52.87</v>
      </c>
    </row>
    <row r="411" spans="1:24" hidden="1">
      <c r="G411" s="84"/>
      <c r="H411" s="84"/>
      <c r="I411" s="84"/>
      <c r="J411" s="84"/>
      <c r="K411" s="84"/>
      <c r="L411" s="84"/>
      <c r="M411" s="84"/>
      <c r="N411" s="84"/>
      <c r="O411" s="84"/>
      <c r="P411" s="84"/>
      <c r="Q411" s="84"/>
      <c r="R411" s="84"/>
      <c r="S411" s="84"/>
      <c r="T411" s="84"/>
    </row>
    <row r="412" spans="1:24" hidden="1">
      <c r="O412" s="84"/>
      <c r="P412" s="84"/>
      <c r="Q412" s="84"/>
      <c r="R412" s="84"/>
      <c r="S412" s="84"/>
    </row>
    <row r="413" spans="1:24">
      <c r="O413" s="84"/>
      <c r="P413" s="84"/>
      <c r="Q413" s="84"/>
      <c r="R413" s="84"/>
      <c r="S413" s="84"/>
    </row>
    <row r="414" spans="1:24">
      <c r="O414" s="84"/>
      <c r="P414" s="84"/>
      <c r="Q414" s="84"/>
      <c r="R414" s="84"/>
      <c r="S414" s="84"/>
    </row>
    <row r="415" spans="1:24">
      <c r="O415" s="84"/>
      <c r="P415" s="84"/>
      <c r="Q415" s="84"/>
      <c r="R415" s="84"/>
      <c r="S415" s="84"/>
    </row>
    <row r="416" spans="1:24">
      <c r="A416" s="74"/>
      <c r="O416" s="84"/>
      <c r="P416" s="84"/>
      <c r="Q416" s="84"/>
      <c r="R416" s="84"/>
      <c r="S416" s="84"/>
    </row>
    <row r="417" spans="15:19">
      <c r="O417" s="84"/>
      <c r="P417" s="84"/>
      <c r="Q417" s="84"/>
      <c r="R417" s="84"/>
      <c r="S417" s="84"/>
    </row>
    <row r="418" spans="15:19">
      <c r="O418" s="84"/>
      <c r="P418" s="84"/>
      <c r="Q418" s="84"/>
      <c r="R418" s="84"/>
      <c r="S418" s="84"/>
    </row>
    <row r="419" spans="15:19">
      <c r="O419" s="84"/>
      <c r="P419" s="84"/>
      <c r="Q419" s="84"/>
      <c r="R419" s="84"/>
      <c r="S419" s="84"/>
    </row>
    <row r="420" spans="15:19">
      <c r="O420" s="84"/>
      <c r="P420" s="84"/>
      <c r="Q420" s="84"/>
      <c r="R420" s="84"/>
      <c r="S420" s="84"/>
    </row>
    <row r="421" spans="15:19">
      <c r="O421" s="84"/>
      <c r="P421" s="84"/>
      <c r="Q421" s="84"/>
      <c r="R421" s="84"/>
      <c r="S421" s="84"/>
    </row>
    <row r="422" spans="15:19">
      <c r="O422" s="84"/>
      <c r="P422" s="84"/>
      <c r="Q422" s="84"/>
      <c r="R422" s="84"/>
      <c r="S422" s="84"/>
    </row>
    <row r="423" spans="15:19">
      <c r="O423" s="84"/>
      <c r="P423" s="84"/>
      <c r="Q423" s="84"/>
      <c r="R423" s="84"/>
      <c r="S423" s="84"/>
    </row>
    <row r="424" spans="15:19">
      <c r="O424" s="84"/>
      <c r="P424" s="84"/>
      <c r="Q424" s="84"/>
      <c r="R424" s="84"/>
      <c r="S424" s="84"/>
    </row>
    <row r="425" spans="15:19">
      <c r="O425" s="84"/>
      <c r="P425" s="84"/>
      <c r="Q425" s="84"/>
      <c r="R425" s="84"/>
      <c r="S425" s="84"/>
    </row>
    <row r="426" spans="15:19">
      <c r="O426" s="84"/>
      <c r="P426" s="84"/>
      <c r="Q426" s="84"/>
      <c r="R426" s="84"/>
      <c r="S426" s="84"/>
    </row>
    <row r="427" spans="15:19">
      <c r="O427" s="84"/>
      <c r="P427" s="84"/>
      <c r="Q427" s="84"/>
      <c r="R427" s="84"/>
      <c r="S427" s="84"/>
    </row>
    <row r="428" spans="15:19">
      <c r="O428" s="84"/>
      <c r="P428" s="84"/>
      <c r="Q428" s="84"/>
      <c r="R428" s="84"/>
      <c r="S428" s="84"/>
    </row>
    <row r="429" spans="15:19">
      <c r="O429" s="84"/>
      <c r="P429" s="84"/>
      <c r="Q429" s="84"/>
      <c r="R429" s="84"/>
      <c r="S429" s="84"/>
    </row>
    <row r="430" spans="15:19">
      <c r="O430" s="84"/>
      <c r="P430" s="84"/>
      <c r="Q430" s="84"/>
      <c r="R430" s="84"/>
      <c r="S430" s="84"/>
    </row>
    <row r="431" spans="15:19">
      <c r="O431" s="84"/>
      <c r="P431" s="84"/>
      <c r="Q431" s="84"/>
      <c r="R431" s="84"/>
      <c r="S431" s="84"/>
    </row>
    <row r="432" spans="15:19">
      <c r="O432" s="84"/>
      <c r="P432" s="84"/>
      <c r="Q432" s="84"/>
      <c r="R432" s="84"/>
      <c r="S432" s="84"/>
    </row>
    <row r="433" spans="15:19">
      <c r="O433" s="84"/>
      <c r="P433" s="84"/>
      <c r="Q433" s="84"/>
      <c r="R433" s="84"/>
      <c r="S433" s="84"/>
    </row>
    <row r="434" spans="15:19">
      <c r="O434" s="84"/>
      <c r="P434" s="84"/>
      <c r="Q434" s="84"/>
      <c r="R434" s="84"/>
      <c r="S434" s="84"/>
    </row>
    <row r="435" spans="15:19">
      <c r="O435" s="84"/>
      <c r="P435" s="84"/>
      <c r="Q435" s="84"/>
      <c r="R435" s="84"/>
      <c r="S435" s="84"/>
    </row>
    <row r="436" spans="15:19">
      <c r="O436" s="84"/>
      <c r="P436" s="84"/>
      <c r="Q436" s="84"/>
      <c r="R436" s="84"/>
      <c r="S436" s="84"/>
    </row>
    <row r="437" spans="15:19">
      <c r="O437" s="84"/>
      <c r="P437" s="84"/>
      <c r="Q437" s="84"/>
      <c r="R437" s="84"/>
      <c r="S437" s="84"/>
    </row>
    <row r="438" spans="15:19">
      <c r="O438" s="84"/>
      <c r="P438" s="84"/>
      <c r="Q438" s="84"/>
      <c r="R438" s="84"/>
      <c r="S438" s="84"/>
    </row>
    <row r="439" spans="15:19">
      <c r="O439" s="84"/>
      <c r="P439" s="84"/>
      <c r="Q439" s="84"/>
      <c r="R439" s="84"/>
      <c r="S439" s="84"/>
    </row>
    <row r="440" spans="15:19">
      <c r="O440" s="84"/>
      <c r="P440" s="84"/>
      <c r="Q440" s="84"/>
      <c r="R440" s="84"/>
      <c r="S440" s="84"/>
    </row>
    <row r="441" spans="15:19">
      <c r="O441" s="84"/>
      <c r="P441" s="84"/>
      <c r="Q441" s="84"/>
      <c r="R441" s="84"/>
      <c r="S441" s="84"/>
    </row>
    <row r="442" spans="15:19">
      <c r="O442" s="84"/>
      <c r="P442" s="84"/>
      <c r="Q442" s="84"/>
      <c r="R442" s="84"/>
      <c r="S442" s="84"/>
    </row>
    <row r="443" spans="15:19">
      <c r="O443" s="84"/>
      <c r="P443" s="84"/>
      <c r="Q443" s="84"/>
      <c r="R443" s="84"/>
      <c r="S443" s="84"/>
    </row>
    <row r="444" spans="15:19">
      <c r="O444" s="84"/>
      <c r="P444" s="84"/>
      <c r="Q444" s="84"/>
      <c r="R444" s="84"/>
      <c r="S444" s="84"/>
    </row>
    <row r="445" spans="15:19">
      <c r="O445" s="84"/>
      <c r="P445" s="84"/>
      <c r="Q445" s="84"/>
      <c r="R445" s="84"/>
      <c r="S445" s="84"/>
    </row>
    <row r="446" spans="15:19">
      <c r="O446" s="84"/>
      <c r="P446" s="84"/>
      <c r="Q446" s="84"/>
      <c r="R446" s="84"/>
      <c r="S446" s="84"/>
    </row>
    <row r="447" spans="15:19">
      <c r="O447" s="84"/>
      <c r="P447" s="84"/>
      <c r="Q447" s="84"/>
      <c r="R447" s="84"/>
      <c r="S447" s="84"/>
    </row>
    <row r="448" spans="15:19">
      <c r="O448" s="84"/>
      <c r="P448" s="84"/>
      <c r="Q448" s="84"/>
      <c r="R448" s="84"/>
      <c r="S448" s="84"/>
    </row>
    <row r="449" spans="15:19">
      <c r="O449" s="84"/>
      <c r="P449" s="84"/>
      <c r="Q449" s="84"/>
      <c r="R449" s="84"/>
      <c r="S449" s="84"/>
    </row>
    <row r="450" spans="15:19">
      <c r="O450" s="84"/>
      <c r="P450" s="84"/>
      <c r="Q450" s="84"/>
      <c r="R450" s="84"/>
      <c r="S450" s="84"/>
    </row>
    <row r="451" spans="15:19">
      <c r="O451" s="84"/>
      <c r="P451" s="84"/>
      <c r="Q451" s="84"/>
      <c r="R451" s="84"/>
      <c r="S451" s="84"/>
    </row>
    <row r="452" spans="15:19">
      <c r="O452" s="84"/>
      <c r="P452" s="84"/>
      <c r="Q452" s="84"/>
      <c r="R452" s="84"/>
      <c r="S452" s="84"/>
    </row>
    <row r="453" spans="15:19">
      <c r="O453" s="84"/>
      <c r="P453" s="84"/>
      <c r="Q453" s="84"/>
      <c r="R453" s="84"/>
      <c r="S453" s="84"/>
    </row>
    <row r="454" spans="15:19">
      <c r="O454" s="84"/>
      <c r="P454" s="84"/>
      <c r="Q454" s="84"/>
      <c r="R454" s="84"/>
      <c r="S454" s="84"/>
    </row>
    <row r="455" spans="15:19">
      <c r="O455" s="84"/>
      <c r="P455" s="84"/>
      <c r="Q455" s="84"/>
      <c r="R455" s="84"/>
      <c r="S455" s="84"/>
    </row>
    <row r="456" spans="15:19">
      <c r="O456" s="84"/>
      <c r="P456" s="84"/>
      <c r="Q456" s="84"/>
      <c r="R456" s="84"/>
      <c r="S456" s="84"/>
    </row>
    <row r="457" spans="15:19">
      <c r="O457" s="84"/>
      <c r="P457" s="84"/>
      <c r="Q457" s="84"/>
      <c r="R457" s="84"/>
      <c r="S457" s="84"/>
    </row>
    <row r="458" spans="15:19">
      <c r="O458" s="84"/>
      <c r="P458" s="84"/>
      <c r="Q458" s="84"/>
      <c r="R458" s="84"/>
      <c r="S458" s="84"/>
    </row>
    <row r="459" spans="15:19">
      <c r="O459" s="84"/>
      <c r="P459" s="84"/>
      <c r="Q459" s="84"/>
      <c r="R459" s="84"/>
      <c r="S459" s="84"/>
    </row>
    <row r="460" spans="15:19">
      <c r="O460" s="84"/>
      <c r="P460" s="84"/>
      <c r="Q460" s="84"/>
      <c r="R460" s="84"/>
      <c r="S460" s="84"/>
    </row>
    <row r="461" spans="15:19">
      <c r="O461" s="84"/>
      <c r="P461" s="84"/>
      <c r="Q461" s="84"/>
      <c r="R461" s="84"/>
      <c r="S461" s="84"/>
    </row>
    <row r="462" spans="15:19">
      <c r="O462" s="84"/>
      <c r="P462" s="84"/>
      <c r="Q462" s="84"/>
      <c r="R462" s="84"/>
      <c r="S462" s="84"/>
    </row>
    <row r="463" spans="15:19">
      <c r="O463" s="84"/>
      <c r="P463" s="84"/>
      <c r="Q463" s="84"/>
      <c r="R463" s="84"/>
      <c r="S463" s="84"/>
    </row>
    <row r="464" spans="15:19">
      <c r="O464" s="84"/>
      <c r="P464" s="84"/>
      <c r="Q464" s="84"/>
      <c r="R464" s="84"/>
      <c r="S464" s="84"/>
    </row>
    <row r="465" spans="15:19">
      <c r="O465" s="84"/>
      <c r="P465" s="84"/>
      <c r="Q465" s="84"/>
      <c r="R465" s="84"/>
      <c r="S465" s="84"/>
    </row>
    <row r="466" spans="15:19">
      <c r="O466" s="84"/>
      <c r="P466" s="84"/>
      <c r="Q466" s="84"/>
      <c r="R466" s="84"/>
      <c r="S466" s="84"/>
    </row>
    <row r="467" spans="15:19">
      <c r="O467" s="84"/>
      <c r="P467" s="84"/>
      <c r="Q467" s="84"/>
      <c r="R467" s="84"/>
      <c r="S467" s="84"/>
    </row>
    <row r="468" spans="15:19">
      <c r="O468" s="84"/>
      <c r="P468" s="84"/>
      <c r="Q468" s="84"/>
      <c r="R468" s="84"/>
      <c r="S468" s="84"/>
    </row>
    <row r="469" spans="15:19">
      <c r="O469" s="84"/>
      <c r="P469" s="84"/>
      <c r="Q469" s="84"/>
      <c r="R469" s="84"/>
      <c r="S469" s="84"/>
    </row>
    <row r="470" spans="15:19">
      <c r="O470" s="84"/>
      <c r="P470" s="84"/>
      <c r="Q470" s="84"/>
      <c r="R470" s="84"/>
      <c r="S470" s="84"/>
    </row>
    <row r="471" spans="15:19">
      <c r="O471" s="84"/>
      <c r="P471" s="84"/>
      <c r="Q471" s="84"/>
      <c r="R471" s="84"/>
      <c r="S471" s="84"/>
    </row>
    <row r="472" spans="15:19">
      <c r="O472" s="84"/>
      <c r="P472" s="84"/>
      <c r="Q472" s="84"/>
      <c r="R472" s="84"/>
      <c r="S472" s="84"/>
    </row>
    <row r="473" spans="15:19">
      <c r="O473" s="84"/>
      <c r="P473" s="84"/>
      <c r="Q473" s="84"/>
      <c r="R473" s="84"/>
      <c r="S473" s="84"/>
    </row>
    <row r="474" spans="15:19">
      <c r="O474" s="84"/>
      <c r="P474" s="84"/>
      <c r="Q474" s="84"/>
      <c r="R474" s="84"/>
      <c r="S474" s="84"/>
    </row>
    <row r="475" spans="15:19">
      <c r="O475" s="84"/>
      <c r="P475" s="84"/>
      <c r="Q475" s="84"/>
      <c r="R475" s="84"/>
      <c r="S475" s="84"/>
    </row>
    <row r="476" spans="15:19">
      <c r="O476" s="84"/>
      <c r="P476" s="84"/>
      <c r="Q476" s="84"/>
      <c r="R476" s="84"/>
      <c r="S476" s="84"/>
    </row>
    <row r="477" spans="15:19">
      <c r="O477" s="84"/>
      <c r="P477" s="84"/>
      <c r="Q477" s="84"/>
      <c r="R477" s="84"/>
      <c r="S477" s="84"/>
    </row>
    <row r="478" spans="15:19">
      <c r="O478" s="84"/>
      <c r="P478" s="84"/>
      <c r="Q478" s="84"/>
      <c r="R478" s="84"/>
      <c r="S478" s="84"/>
    </row>
    <row r="479" spans="15:19">
      <c r="O479" s="84"/>
      <c r="P479" s="84"/>
      <c r="Q479" s="84"/>
      <c r="R479" s="84"/>
      <c r="S479" s="84"/>
    </row>
    <row r="480" spans="15:19">
      <c r="O480" s="84"/>
      <c r="P480" s="84"/>
      <c r="Q480" s="84"/>
      <c r="R480" s="84"/>
      <c r="S480" s="84"/>
    </row>
    <row r="481" spans="15:19">
      <c r="O481" s="84"/>
      <c r="P481" s="84"/>
      <c r="Q481" s="84"/>
      <c r="R481" s="84"/>
      <c r="S481" s="84"/>
    </row>
    <row r="482" spans="15:19">
      <c r="O482" s="84"/>
      <c r="P482" s="84"/>
      <c r="Q482" s="84"/>
      <c r="R482" s="84"/>
      <c r="S482" s="84"/>
    </row>
    <row r="483" spans="15:19">
      <c r="O483" s="84"/>
      <c r="P483" s="84"/>
      <c r="Q483" s="84"/>
      <c r="R483" s="84"/>
      <c r="S483" s="84"/>
    </row>
    <row r="484" spans="15:19">
      <c r="O484" s="84"/>
      <c r="P484" s="84"/>
      <c r="Q484" s="84"/>
      <c r="R484" s="84"/>
      <c r="S484" s="84"/>
    </row>
    <row r="485" spans="15:19">
      <c r="O485" s="84"/>
      <c r="P485" s="84"/>
      <c r="Q485" s="84"/>
      <c r="R485" s="84"/>
      <c r="S485" s="84"/>
    </row>
    <row r="486" spans="15:19">
      <c r="O486" s="84"/>
      <c r="P486" s="84"/>
      <c r="Q486" s="84"/>
      <c r="R486" s="84"/>
      <c r="S486" s="84"/>
    </row>
    <row r="487" spans="15:19">
      <c r="O487" s="84"/>
      <c r="P487" s="84"/>
      <c r="Q487" s="84"/>
      <c r="R487" s="84"/>
      <c r="S487" s="84"/>
    </row>
    <row r="488" spans="15:19">
      <c r="O488" s="84"/>
      <c r="P488" s="84"/>
      <c r="Q488" s="84"/>
      <c r="R488" s="84"/>
      <c r="S488" s="84"/>
    </row>
    <row r="489" spans="15:19">
      <c r="O489" s="84"/>
      <c r="P489" s="84"/>
      <c r="Q489" s="84"/>
      <c r="R489" s="84"/>
      <c r="S489" s="84"/>
    </row>
    <row r="490" spans="15:19">
      <c r="O490" s="84"/>
      <c r="P490" s="84"/>
      <c r="Q490" s="84"/>
      <c r="R490" s="84"/>
      <c r="S490" s="84"/>
    </row>
    <row r="491" spans="15:19">
      <c r="O491" s="84"/>
      <c r="P491" s="84"/>
      <c r="Q491" s="84"/>
      <c r="R491" s="84"/>
      <c r="S491" s="84"/>
    </row>
    <row r="492" spans="15:19">
      <c r="O492" s="84"/>
      <c r="P492" s="84"/>
      <c r="Q492" s="84"/>
      <c r="R492" s="84"/>
      <c r="S492" s="84"/>
    </row>
    <row r="493" spans="15:19">
      <c r="O493" s="84"/>
      <c r="P493" s="84"/>
      <c r="Q493" s="84"/>
      <c r="R493" s="84"/>
      <c r="S493" s="84"/>
    </row>
    <row r="494" spans="15:19">
      <c r="O494" s="84"/>
      <c r="P494" s="84"/>
      <c r="Q494" s="84"/>
      <c r="R494" s="84"/>
      <c r="S494" s="84"/>
    </row>
    <row r="495" spans="15:19">
      <c r="O495" s="84"/>
      <c r="P495" s="84"/>
      <c r="Q495" s="84"/>
      <c r="R495" s="84"/>
      <c r="S495" s="84"/>
    </row>
    <row r="496" spans="15:19">
      <c r="O496" s="84"/>
      <c r="P496" s="84"/>
      <c r="Q496" s="84"/>
      <c r="R496" s="84"/>
      <c r="S496" s="84"/>
    </row>
    <row r="497" spans="15:19">
      <c r="O497" s="84"/>
      <c r="P497" s="84"/>
      <c r="Q497" s="84"/>
      <c r="R497" s="84"/>
      <c r="S497" s="84"/>
    </row>
    <row r="498" spans="15:19">
      <c r="O498" s="84"/>
      <c r="P498" s="84"/>
      <c r="Q498" s="84"/>
      <c r="R498" s="84"/>
      <c r="S498" s="84"/>
    </row>
    <row r="499" spans="15:19">
      <c r="O499" s="84"/>
      <c r="P499" s="84"/>
      <c r="Q499" s="84"/>
      <c r="R499" s="84"/>
      <c r="S499" s="84"/>
    </row>
    <row r="500" spans="15:19">
      <c r="O500" s="84"/>
      <c r="P500" s="84"/>
      <c r="Q500" s="84"/>
      <c r="R500" s="84"/>
      <c r="S500" s="84"/>
    </row>
    <row r="501" spans="15:19">
      <c r="O501" s="84"/>
      <c r="P501" s="84"/>
      <c r="Q501" s="84"/>
      <c r="R501" s="84"/>
      <c r="S501" s="84"/>
    </row>
    <row r="502" spans="15:19">
      <c r="O502" s="84"/>
      <c r="P502" s="84"/>
      <c r="Q502" s="84"/>
      <c r="R502" s="84"/>
      <c r="S502" s="84"/>
    </row>
  </sheetData>
  <sheetProtection algorithmName="SHA-512" hashValue="5yhFLaKEuss6M6iR1VWt31h5/BYSQQIIGi5g+sTvuIcruc8enxNXDfwfRxbxdYBRmBSvOMAMmwSeaIw9PkpoPA==" saltValue="2ZzJNkh8DXMph3SKxqtZ9g==" spinCount="100000" sheet="1" objects="1" scenarios="1" selectLockedCells="1" selectUnlockedCells="1"/>
  <phoneticPr fontId="46" type="noConversion"/>
  <pageMargins left="0.45" right="0.45" top="0.5" bottom="0.5" header="0.3" footer="0.3"/>
  <pageSetup scale="18" fitToHeight="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J84"/>
  <sheetViews>
    <sheetView showZeros="0" zoomScaleNormal="100" workbookViewId="0">
      <pane xSplit="1" ySplit="2" topLeftCell="B3" activePane="bottomRight" state="frozen"/>
      <selection pane="topRight" activeCell="B1" sqref="B1"/>
      <selection pane="bottomLeft" activeCell="A3" sqref="A3"/>
      <selection pane="bottomRight" activeCell="A3" sqref="A3"/>
    </sheetView>
  </sheetViews>
  <sheetFormatPr defaultColWidth="9" defaultRowHeight="11.5"/>
  <cols>
    <col min="1" max="1" width="96.26953125" style="7" bestFit="1" customWidth="1"/>
    <col min="2" max="2" width="28.1796875" style="148" bestFit="1" customWidth="1"/>
    <col min="3" max="3" width="13.54296875" style="148" bestFit="1" customWidth="1"/>
    <col min="4" max="4" width="21.54296875" style="148" bestFit="1" customWidth="1"/>
    <col min="5" max="5" width="9.81640625" style="149" bestFit="1" customWidth="1"/>
    <col min="6" max="6" width="13.1796875" style="84" bestFit="1" customWidth="1"/>
    <col min="7" max="9" width="5.7265625" style="84" customWidth="1"/>
    <col min="10" max="10" width="7.81640625" style="84" bestFit="1" customWidth="1"/>
    <col min="11" max="11" width="5.7265625" style="84" customWidth="1"/>
    <col min="12" max="12" width="9" style="84"/>
    <col min="13" max="13" width="11.7265625" style="84" customWidth="1"/>
    <col min="14" max="14" width="13.7265625" style="84" customWidth="1"/>
    <col min="15" max="16384" width="9" style="84"/>
  </cols>
  <sheetData>
    <row r="1" spans="1:10" s="93" customFormat="1" ht="25">
      <c r="A1" s="91" t="s">
        <v>132</v>
      </c>
      <c r="B1" s="92" t="s">
        <v>99</v>
      </c>
      <c r="C1" s="92" t="s">
        <v>128</v>
      </c>
      <c r="D1" s="92" t="s">
        <v>185</v>
      </c>
      <c r="E1" s="94" t="s">
        <v>62</v>
      </c>
      <c r="F1" s="94" t="s">
        <v>1966</v>
      </c>
    </row>
    <row r="2" spans="1:10" hidden="1">
      <c r="A2" s="7" t="s">
        <v>2679</v>
      </c>
      <c r="B2" s="148" t="s">
        <v>2668</v>
      </c>
      <c r="C2" s="148" t="s">
        <v>188</v>
      </c>
      <c r="D2" s="148" t="s">
        <v>189</v>
      </c>
      <c r="E2" s="149">
        <v>0</v>
      </c>
    </row>
    <row r="3" spans="1:10">
      <c r="F3" s="7"/>
      <c r="G3" s="375"/>
    </row>
    <row r="4" spans="1:10">
      <c r="F4" s="7"/>
      <c r="G4" s="375"/>
    </row>
    <row r="5" spans="1:10">
      <c r="F5" s="7"/>
      <c r="G5" s="375"/>
    </row>
    <row r="6" spans="1:10">
      <c r="F6" s="7"/>
      <c r="G6" s="375"/>
    </row>
    <row r="7" spans="1:10">
      <c r="F7" s="7"/>
      <c r="G7" s="375"/>
    </row>
    <row r="8" spans="1:10">
      <c r="F8" s="7"/>
      <c r="G8" s="375"/>
    </row>
    <row r="9" spans="1:10">
      <c r="F9" s="7"/>
      <c r="G9" s="375"/>
    </row>
    <row r="10" spans="1:10">
      <c r="F10" s="7"/>
      <c r="G10" s="375"/>
    </row>
    <row r="11" spans="1:10">
      <c r="F11" s="7"/>
      <c r="G11" s="375"/>
    </row>
    <row r="12" spans="1:10">
      <c r="F12" s="7"/>
      <c r="G12" s="375"/>
    </row>
    <row r="13" spans="1:10">
      <c r="F13" s="7"/>
      <c r="G13" s="375"/>
    </row>
    <row r="14" spans="1:10">
      <c r="F14" s="7"/>
      <c r="G14" s="375"/>
    </row>
    <row r="15" spans="1:10">
      <c r="F15" s="7"/>
      <c r="G15" s="375"/>
      <c r="J15" s="149"/>
    </row>
    <row r="16" spans="1:10">
      <c r="F16" s="7"/>
      <c r="G16" s="375"/>
      <c r="J16" s="149"/>
    </row>
    <row r="17" spans="6:10">
      <c r="F17" s="7"/>
      <c r="G17" s="375"/>
      <c r="J17" s="149"/>
    </row>
    <row r="18" spans="6:10">
      <c r="F18" s="7"/>
      <c r="G18" s="375"/>
      <c r="J18" s="149"/>
    </row>
    <row r="19" spans="6:10">
      <c r="F19" s="7"/>
      <c r="G19" s="375"/>
      <c r="J19" s="149"/>
    </row>
    <row r="20" spans="6:10">
      <c r="F20" s="7"/>
      <c r="G20" s="375"/>
      <c r="J20" s="149"/>
    </row>
    <row r="21" spans="6:10">
      <c r="F21" s="7"/>
      <c r="G21" s="375"/>
      <c r="J21" s="149"/>
    </row>
    <row r="22" spans="6:10">
      <c r="F22" s="7"/>
      <c r="J22" s="149"/>
    </row>
    <row r="23" spans="6:10">
      <c r="F23" s="7"/>
      <c r="J23" s="149"/>
    </row>
    <row r="24" spans="6:10">
      <c r="F24" s="7"/>
      <c r="J24" s="149"/>
    </row>
    <row r="25" spans="6:10">
      <c r="F25" s="7"/>
      <c r="J25" s="149"/>
    </row>
    <row r="26" spans="6:10">
      <c r="F26" s="7"/>
      <c r="J26" s="149"/>
    </row>
    <row r="27" spans="6:10">
      <c r="F27" s="7"/>
      <c r="J27" s="149"/>
    </row>
    <row r="28" spans="6:10">
      <c r="F28" s="7"/>
      <c r="J28" s="149"/>
    </row>
    <row r="29" spans="6:10">
      <c r="F29" s="7"/>
      <c r="J29" s="149"/>
    </row>
    <row r="30" spans="6:10">
      <c r="F30" s="7"/>
      <c r="J30" s="149"/>
    </row>
    <row r="31" spans="6:10">
      <c r="F31" s="7"/>
      <c r="J31" s="149"/>
    </row>
    <row r="32" spans="6:10">
      <c r="F32" s="7"/>
      <c r="J32" s="149"/>
    </row>
    <row r="33" spans="6:10">
      <c r="F33" s="7"/>
      <c r="J33" s="149"/>
    </row>
    <row r="34" spans="6:10">
      <c r="F34" s="7"/>
      <c r="J34" s="149"/>
    </row>
    <row r="35" spans="6:10">
      <c r="F35" s="7"/>
      <c r="J35" s="149"/>
    </row>
    <row r="36" spans="6:10">
      <c r="F36" s="7"/>
      <c r="J36" s="149"/>
    </row>
    <row r="37" spans="6:10">
      <c r="F37" s="7"/>
      <c r="J37" s="149"/>
    </row>
    <row r="38" spans="6:10">
      <c r="F38" s="7"/>
      <c r="J38" s="149"/>
    </row>
    <row r="39" spans="6:10">
      <c r="F39" s="7"/>
      <c r="J39" s="149"/>
    </row>
    <row r="40" spans="6:10">
      <c r="F40" s="7"/>
      <c r="J40" s="149"/>
    </row>
    <row r="41" spans="6:10">
      <c r="F41" s="7"/>
      <c r="J41" s="149"/>
    </row>
    <row r="42" spans="6:10">
      <c r="F42" s="7"/>
      <c r="J42" s="149"/>
    </row>
    <row r="43" spans="6:10">
      <c r="F43" s="7"/>
      <c r="J43" s="149"/>
    </row>
    <row r="44" spans="6:10">
      <c r="F44" s="7"/>
      <c r="J44" s="149"/>
    </row>
    <row r="45" spans="6:10">
      <c r="F45" s="7"/>
      <c r="J45" s="149"/>
    </row>
    <row r="46" spans="6:10">
      <c r="F46" s="7"/>
      <c r="J46" s="149"/>
    </row>
    <row r="47" spans="6:10">
      <c r="F47" s="7"/>
      <c r="J47" s="149"/>
    </row>
    <row r="48" spans="6:10">
      <c r="F48" s="7"/>
      <c r="J48" s="149"/>
    </row>
    <row r="49" spans="6:10">
      <c r="F49" s="7"/>
      <c r="J49" s="149"/>
    </row>
    <row r="50" spans="6:10">
      <c r="F50" s="7"/>
      <c r="J50" s="149"/>
    </row>
    <row r="51" spans="6:10">
      <c r="F51" s="7"/>
      <c r="J51" s="149"/>
    </row>
    <row r="52" spans="6:10">
      <c r="F52" s="7"/>
      <c r="J52" s="149"/>
    </row>
    <row r="53" spans="6:10">
      <c r="F53" s="7"/>
      <c r="J53" s="149"/>
    </row>
    <row r="54" spans="6:10">
      <c r="F54" s="7"/>
      <c r="J54" s="149"/>
    </row>
    <row r="55" spans="6:10">
      <c r="F55" s="7"/>
      <c r="J55" s="149"/>
    </row>
    <row r="56" spans="6:10">
      <c r="F56" s="7"/>
      <c r="J56" s="149"/>
    </row>
    <row r="60" spans="6:10">
      <c r="F60" s="7"/>
    </row>
    <row r="63" spans="6:10">
      <c r="F63" s="7"/>
    </row>
    <row r="64" spans="6:10">
      <c r="F64" s="7"/>
    </row>
    <row r="65" spans="6:6">
      <c r="F65" s="7"/>
    </row>
    <row r="66" spans="6:6">
      <c r="F66" s="7"/>
    </row>
    <row r="67" spans="6:6">
      <c r="F67" s="7"/>
    </row>
    <row r="68" spans="6:6">
      <c r="F68" s="7"/>
    </row>
    <row r="69" spans="6:6">
      <c r="F69" s="7"/>
    </row>
    <row r="70" spans="6:6">
      <c r="F70" s="7"/>
    </row>
    <row r="73" spans="6:6">
      <c r="F73" s="7"/>
    </row>
    <row r="74" spans="6:6">
      <c r="F74" s="7"/>
    </row>
    <row r="75" spans="6:6">
      <c r="F75" s="7"/>
    </row>
    <row r="79" spans="6:6">
      <c r="F79" s="7"/>
    </row>
    <row r="80" spans="6:6">
      <c r="F80" s="7"/>
    </row>
    <row r="81" spans="6:6">
      <c r="F81" s="7"/>
    </row>
    <row r="82" spans="6:6">
      <c r="F82" s="7"/>
    </row>
    <row r="83" spans="6:6">
      <c r="F83" s="7"/>
    </row>
    <row r="84" spans="6:6">
      <c r="F84" s="7"/>
    </row>
  </sheetData>
  <sheetProtection algorithmName="SHA-512" hashValue="dmURclUuTgt/rI3PeS5GQ3AiBsN7hTeAukRNFFB3KB2mY0z4Jtfiat8OK7JkwVHzS5115F2ujdaIZCf+UQRenA==" saltValue="CwnSoLGnO2bJXjigS+r7hg==" spinCount="100000" sheet="1" objects="1" scenarios="1" selectLockedCells="1" selectUnlockedCell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9">
    <pageSetUpPr fitToPage="1"/>
  </sheetPr>
  <dimension ref="A1:G116"/>
  <sheetViews>
    <sheetView zoomScaleNormal="100" workbookViewId="0">
      <pane ySplit="2" topLeftCell="A24" activePane="bottomLeft" state="frozen"/>
      <selection pane="bottomLeft" activeCell="G1" sqref="G1"/>
    </sheetView>
  </sheetViews>
  <sheetFormatPr defaultColWidth="0" defaultRowHeight="12.5" zeroHeight="1"/>
  <cols>
    <col min="1" max="1" width="53.81640625" bestFit="1" customWidth="1"/>
    <col min="2" max="2" width="12.1796875" style="26" bestFit="1" customWidth="1"/>
    <col min="3" max="4" width="9.81640625" bestFit="1" customWidth="1"/>
    <col min="5" max="5" width="9.81640625" customWidth="1"/>
    <col min="6" max="6" width="9.81640625" bestFit="1" customWidth="1"/>
    <col min="7" max="7" width="2.7265625" style="196" customWidth="1"/>
    <col min="8" max="16384" width="9.1796875" hidden="1"/>
  </cols>
  <sheetData>
    <row r="1" spans="1:6" ht="13">
      <c r="A1" s="57" t="str">
        <f>CONCATENATE("Version ",+'Change History'!$A$27)</f>
        <v>Version 4.0</v>
      </c>
      <c r="B1" s="29" t="str">
        <f>+Data!I3</f>
        <v>FY2014</v>
      </c>
      <c r="C1" s="29" t="str">
        <f>+Data!J3</f>
        <v>FY2015</v>
      </c>
      <c r="D1" s="29" t="str">
        <f>+Data!K3</f>
        <v>FY2016</v>
      </c>
      <c r="E1" s="29" t="str">
        <f>+Data!L3</f>
        <v>FY2017</v>
      </c>
      <c r="F1" s="29" t="str">
        <f>+Data!M3</f>
        <v>FY2018</v>
      </c>
    </row>
    <row r="2" spans="1:6" ht="13">
      <c r="A2" s="29" t="s">
        <v>490</v>
      </c>
      <c r="B2" s="29" t="str">
        <f>+Data!I4</f>
        <v>Price</v>
      </c>
      <c r="C2" s="29" t="str">
        <f>+Data!J4</f>
        <v>Price</v>
      </c>
      <c r="D2" s="29" t="str">
        <f>+Data!K4</f>
        <v>Price</v>
      </c>
      <c r="E2" s="29" t="str">
        <f>+Data!L4</f>
        <v>Price</v>
      </c>
      <c r="F2" s="29" t="str">
        <f>+Data!M4</f>
        <v>Price</v>
      </c>
    </row>
    <row r="3" spans="1:6">
      <c r="A3" s="39" t="str">
        <f>+Data!H5</f>
        <v>Active Directory / Exchange Specialist Junior</v>
      </c>
      <c r="B3" s="61">
        <f>+Data!I5</f>
        <v>49.33</v>
      </c>
      <c r="C3" s="61">
        <f>+Data!J5</f>
        <v>50.31</v>
      </c>
      <c r="D3" s="61">
        <f>+Data!K5</f>
        <v>51.55</v>
      </c>
      <c r="E3" s="61">
        <f>+Data!L5</f>
        <v>52.81</v>
      </c>
      <c r="F3" s="61">
        <f>+Data!M5</f>
        <v>54.02</v>
      </c>
    </row>
    <row r="4" spans="1:6">
      <c r="A4" s="39" t="str">
        <f>+Data!H6</f>
        <v>Active Directory / Exchange Specialist Mid</v>
      </c>
      <c r="B4" s="61">
        <f>+Data!I6</f>
        <v>62.27</v>
      </c>
      <c r="C4" s="61">
        <f>+Data!J6</f>
        <v>63.51</v>
      </c>
      <c r="D4" s="61">
        <f>+Data!K6</f>
        <v>65.06</v>
      </c>
      <c r="E4" s="61">
        <f>+Data!L6</f>
        <v>66.62</v>
      </c>
      <c r="F4" s="61">
        <f>+Data!M6</f>
        <v>68.14</v>
      </c>
    </row>
    <row r="5" spans="1:6">
      <c r="A5" s="39" t="str">
        <f>+Data!H7</f>
        <v>Active Directory / Exchange Specialist Senior</v>
      </c>
      <c r="B5" s="61">
        <f>+Data!I7</f>
        <v>70.38</v>
      </c>
      <c r="C5" s="61">
        <f>+Data!J7</f>
        <v>71.78</v>
      </c>
      <c r="D5" s="61">
        <f>+Data!K7</f>
        <v>73.540000000000006</v>
      </c>
      <c r="E5" s="61">
        <f>+Data!L7</f>
        <v>75.319999999999993</v>
      </c>
      <c r="F5" s="61">
        <f>+Data!M7</f>
        <v>77.040000000000006</v>
      </c>
    </row>
    <row r="6" spans="1:6">
      <c r="A6" s="39" t="str">
        <f>+Data!H8</f>
        <v>Administrative Assistant Junior</v>
      </c>
      <c r="B6" s="61">
        <f>+Data!I8</f>
        <v>36.270000000000003</v>
      </c>
      <c r="C6" s="61">
        <f>+Data!J8</f>
        <v>37</v>
      </c>
      <c r="D6" s="61">
        <f>+Data!K8</f>
        <v>37.909999999999997</v>
      </c>
      <c r="E6" s="61">
        <f>+Data!L8</f>
        <v>38.840000000000003</v>
      </c>
      <c r="F6" s="61">
        <f>+Data!M8</f>
        <v>39.729999999999997</v>
      </c>
    </row>
    <row r="7" spans="1:6">
      <c r="A7" s="39" t="str">
        <f>+Data!H9</f>
        <v>Asset Management Specialist (Japan) Junior</v>
      </c>
      <c r="B7" s="61">
        <f>+Data!I9</f>
        <v>58.41</v>
      </c>
      <c r="C7" s="61">
        <f>+Data!J9</f>
        <v>59.87</v>
      </c>
      <c r="D7" s="61">
        <f>+Data!K9</f>
        <v>61.84</v>
      </c>
      <c r="E7" s="61">
        <f>+Data!L9</f>
        <v>63.81</v>
      </c>
      <c r="F7" s="61">
        <f>+Data!M9</f>
        <v>65.599999999999994</v>
      </c>
    </row>
    <row r="8" spans="1:6">
      <c r="A8" s="39" t="str">
        <f>+Data!H10</f>
        <v>Asset Management Specialist Junior</v>
      </c>
      <c r="B8" s="61">
        <f>+Data!I10</f>
        <v>30.69</v>
      </c>
      <c r="C8" s="61">
        <f>+Data!J10</f>
        <v>31.29</v>
      </c>
      <c r="D8" s="61">
        <f>+Data!K10</f>
        <v>32.06</v>
      </c>
      <c r="E8" s="61">
        <f>+Data!L10</f>
        <v>32.83</v>
      </c>
      <c r="F8" s="61">
        <f>+Data!M10</f>
        <v>33.58</v>
      </c>
    </row>
    <row r="9" spans="1:6">
      <c r="A9" s="39" t="str">
        <f>+Data!H11</f>
        <v>Asset Management Specialist Mid</v>
      </c>
      <c r="B9" s="61">
        <f>+Data!I11</f>
        <v>41.62</v>
      </c>
      <c r="C9" s="61">
        <f>+Data!J11</f>
        <v>42.45</v>
      </c>
      <c r="D9" s="61">
        <f>+Data!K11</f>
        <v>43.48</v>
      </c>
      <c r="E9" s="61">
        <f>+Data!L11</f>
        <v>44.53</v>
      </c>
      <c r="F9" s="61">
        <f>+Data!M11</f>
        <v>45.55</v>
      </c>
    </row>
    <row r="10" spans="1:6">
      <c r="A10" s="39" t="str">
        <f>+Data!H12</f>
        <v>Asset Management Specialist (Guam) Mid</v>
      </c>
      <c r="B10" s="61">
        <f>+Data!I12</f>
        <v>70.459999999999994</v>
      </c>
      <c r="C10" s="61">
        <f>+Data!J12</f>
        <v>72.22</v>
      </c>
      <c r="D10" s="61">
        <f>+Data!K12</f>
        <v>74.599999999999994</v>
      </c>
      <c r="E10" s="61">
        <f>+Data!L12</f>
        <v>76.98</v>
      </c>
      <c r="F10" s="61">
        <f>+Data!M12</f>
        <v>79.14</v>
      </c>
    </row>
    <row r="11" spans="1:6">
      <c r="A11" s="39" t="str">
        <f>+Data!H13</f>
        <v>Asset Management Specialist (Korea) Mid</v>
      </c>
      <c r="B11" s="61">
        <f>+Data!I13</f>
        <v>70.459999999999994</v>
      </c>
      <c r="C11" s="61">
        <f>+Data!J13</f>
        <v>72.22</v>
      </c>
      <c r="D11" s="61">
        <f>+Data!K13</f>
        <v>74.599999999999994</v>
      </c>
      <c r="E11" s="61">
        <f>+Data!L13</f>
        <v>76.98</v>
      </c>
      <c r="F11" s="61">
        <f>+Data!M13</f>
        <v>79.14</v>
      </c>
    </row>
    <row r="12" spans="1:6">
      <c r="A12" s="39" t="str">
        <f>+Data!H14</f>
        <v>Asset Management Specialist (Germany) Mid</v>
      </c>
      <c r="B12" s="61">
        <f>+Data!I14</f>
        <v>70.459999999999994</v>
      </c>
      <c r="C12" s="61">
        <f>+Data!J14</f>
        <v>72.22</v>
      </c>
      <c r="D12" s="61">
        <f>+Data!K14</f>
        <v>74.599999999999994</v>
      </c>
      <c r="E12" s="61">
        <f>+Data!L14</f>
        <v>76.98</v>
      </c>
      <c r="F12" s="61">
        <f>+Data!M14</f>
        <v>79.14</v>
      </c>
    </row>
    <row r="13" spans="1:6">
      <c r="A13" s="39" t="str">
        <f>+Data!H15</f>
        <v>Business Planning Specialist Junior</v>
      </c>
      <c r="B13" s="61">
        <f>+Data!I15</f>
        <v>58.28</v>
      </c>
      <c r="C13" s="61">
        <f>+Data!J15</f>
        <v>59.45</v>
      </c>
      <c r="D13" s="61">
        <f>+Data!K15</f>
        <v>60.9</v>
      </c>
      <c r="E13" s="61">
        <f>+Data!L15</f>
        <v>62.38</v>
      </c>
      <c r="F13" s="61">
        <f>+Data!M15</f>
        <v>63.8</v>
      </c>
    </row>
    <row r="14" spans="1:6">
      <c r="A14" s="39" t="str">
        <f>+Data!H16</f>
        <v>Business Planning Specialist Mid</v>
      </c>
      <c r="B14" s="61">
        <f>+Data!I16</f>
        <v>69.38</v>
      </c>
      <c r="C14" s="61">
        <f>+Data!J16</f>
        <v>70.760000000000005</v>
      </c>
      <c r="D14" s="61">
        <f>+Data!K16</f>
        <v>72.5</v>
      </c>
      <c r="E14" s="61">
        <f>+Data!L16</f>
        <v>74.25</v>
      </c>
      <c r="F14" s="61">
        <f>+Data!M16</f>
        <v>75.94</v>
      </c>
    </row>
    <row r="15" spans="1:6">
      <c r="A15" s="39" t="str">
        <f>+Data!H17</f>
        <v>Communications Network Engineer Mid</v>
      </c>
      <c r="B15" s="61">
        <f>+Data!I17</f>
        <v>82.84</v>
      </c>
      <c r="C15" s="61">
        <f>+Data!J17</f>
        <v>84.49</v>
      </c>
      <c r="D15" s="61">
        <f>+Data!K17</f>
        <v>86.56</v>
      </c>
      <c r="E15" s="61">
        <f>+Data!L17</f>
        <v>88.65</v>
      </c>
      <c r="F15" s="61">
        <f>+Data!M17</f>
        <v>90.67</v>
      </c>
    </row>
    <row r="16" spans="1:6">
      <c r="A16" s="39" t="str">
        <f>+Data!H18</f>
        <v>Communications Network Engineer Senior</v>
      </c>
      <c r="B16" s="61">
        <f>+Data!I18</f>
        <v>95.16</v>
      </c>
      <c r="C16" s="61">
        <f>+Data!J18</f>
        <v>97.05</v>
      </c>
      <c r="D16" s="61">
        <f>+Data!K18</f>
        <v>99.42</v>
      </c>
      <c r="E16" s="61">
        <f>+Data!L18</f>
        <v>101.82</v>
      </c>
      <c r="F16" s="61">
        <f>+Data!M18</f>
        <v>104.13</v>
      </c>
    </row>
    <row r="17" spans="1:6">
      <c r="A17" s="39" t="str">
        <f>+Data!H19</f>
        <v>Cyber Security Specialist (Japan) Junior</v>
      </c>
      <c r="B17" s="61">
        <f>+Data!I19</f>
        <v>81.58</v>
      </c>
      <c r="C17" s="61">
        <f>+Data!J19</f>
        <v>83.63</v>
      </c>
      <c r="D17" s="61">
        <f>+Data!K19</f>
        <v>86.38</v>
      </c>
      <c r="E17" s="61">
        <f>+Data!L19</f>
        <v>89.15</v>
      </c>
      <c r="F17" s="61">
        <f>+Data!M19</f>
        <v>91.65</v>
      </c>
    </row>
    <row r="18" spans="1:6">
      <c r="A18" s="39" t="str">
        <f>+Data!H20</f>
        <v>Cyber Security Specialist (Japan) Mid</v>
      </c>
      <c r="B18" s="61">
        <f>+Data!I20</f>
        <v>104.89</v>
      </c>
      <c r="C18" s="61">
        <f>+Data!J20</f>
        <v>107.53</v>
      </c>
      <c r="D18" s="61">
        <f>+Data!K20</f>
        <v>111.07</v>
      </c>
      <c r="E18" s="61">
        <f>+Data!L20</f>
        <v>114.63</v>
      </c>
      <c r="F18" s="61">
        <f>+Data!M20</f>
        <v>117.85</v>
      </c>
    </row>
    <row r="19" spans="1:6">
      <c r="A19" s="39" t="str">
        <f>+Data!H21</f>
        <v>Cyber Security Specialist (Japan) Senior</v>
      </c>
      <c r="B19" s="61">
        <f>+Data!I21</f>
        <v>124.54</v>
      </c>
      <c r="C19" s="61">
        <f>+Data!J21</f>
        <v>127.68</v>
      </c>
      <c r="D19" s="61">
        <f>+Data!K21</f>
        <v>131.88999999999999</v>
      </c>
      <c r="E19" s="61">
        <f>+Data!L21</f>
        <v>136.12</v>
      </c>
      <c r="F19" s="61">
        <f>+Data!M21</f>
        <v>139.94</v>
      </c>
    </row>
    <row r="20" spans="1:6">
      <c r="A20" s="39" t="str">
        <f>+Data!H22</f>
        <v>Cyber Security Specialist (Guam) Junior</v>
      </c>
      <c r="B20" s="61">
        <f>+Data!I22</f>
        <v>81.58</v>
      </c>
      <c r="C20" s="61">
        <f>+Data!J22</f>
        <v>83.63</v>
      </c>
      <c r="D20" s="61">
        <f>+Data!K22</f>
        <v>86.38</v>
      </c>
      <c r="E20" s="61">
        <f>+Data!L22</f>
        <v>89.15</v>
      </c>
      <c r="F20" s="61">
        <f>+Data!M22</f>
        <v>91.65</v>
      </c>
    </row>
    <row r="21" spans="1:6">
      <c r="A21" s="39" t="str">
        <f>+Data!H23</f>
        <v>Cyber Security Specialist (Korea) Junior</v>
      </c>
      <c r="B21" s="61">
        <f>+Data!I23</f>
        <v>81.58</v>
      </c>
      <c r="C21" s="61">
        <f>+Data!J23</f>
        <v>83.63</v>
      </c>
      <c r="D21" s="61">
        <f>+Data!K23</f>
        <v>86.38</v>
      </c>
      <c r="E21" s="61">
        <f>+Data!L23</f>
        <v>89.15</v>
      </c>
      <c r="F21" s="61">
        <f>+Data!M23</f>
        <v>91.65</v>
      </c>
    </row>
    <row r="22" spans="1:6">
      <c r="A22" s="39" t="str">
        <f>+Data!H24</f>
        <v>Cyber Security Specialist (Germany) Junior</v>
      </c>
      <c r="B22" s="61">
        <f>+Data!I24</f>
        <v>81.58</v>
      </c>
      <c r="C22" s="61">
        <f>+Data!J24</f>
        <v>83.63</v>
      </c>
      <c r="D22" s="61">
        <f>+Data!K24</f>
        <v>86.38</v>
      </c>
      <c r="E22" s="61">
        <f>+Data!L24</f>
        <v>89.15</v>
      </c>
      <c r="F22" s="61">
        <f>+Data!M24</f>
        <v>91.65</v>
      </c>
    </row>
    <row r="23" spans="1:6">
      <c r="A23" s="39" t="str">
        <f>+Data!H25</f>
        <v>Cyber Security Specialist (Germany) Mid</v>
      </c>
      <c r="B23" s="61">
        <f>+Data!I25</f>
        <v>104.89</v>
      </c>
      <c r="C23" s="61">
        <f>+Data!J25</f>
        <v>107.53</v>
      </c>
      <c r="D23" s="61">
        <f>+Data!K25</f>
        <v>111.07</v>
      </c>
      <c r="E23" s="61">
        <f>+Data!L25</f>
        <v>114.63</v>
      </c>
      <c r="F23" s="61">
        <f>+Data!M25</f>
        <v>117.85</v>
      </c>
    </row>
    <row r="24" spans="1:6">
      <c r="A24" s="39" t="str">
        <f>+Data!H26</f>
        <v>Cyber Security Specialist (Germany) Senior</v>
      </c>
      <c r="B24" s="61">
        <f>+Data!I26</f>
        <v>124.54</v>
      </c>
      <c r="C24" s="61">
        <f>+Data!J26</f>
        <v>127.68</v>
      </c>
      <c r="D24" s="61">
        <f>+Data!K26</f>
        <v>131.88999999999999</v>
      </c>
      <c r="E24" s="61">
        <f>+Data!L26</f>
        <v>136.12</v>
      </c>
      <c r="F24" s="61">
        <f>+Data!M26</f>
        <v>139.94</v>
      </c>
    </row>
    <row r="25" spans="1:6">
      <c r="A25" s="39" t="str">
        <f>+Data!H27</f>
        <v>Cyber Security Specialist Junior</v>
      </c>
      <c r="B25" s="61">
        <f>+Data!I27</f>
        <v>39.86</v>
      </c>
      <c r="C25" s="61">
        <f>+Data!J27</f>
        <v>40.65</v>
      </c>
      <c r="D25" s="61">
        <f>+Data!K27</f>
        <v>41.62</v>
      </c>
      <c r="E25" s="61">
        <f>+Data!L27</f>
        <v>42.62</v>
      </c>
      <c r="F25" s="61">
        <f>+Data!M27</f>
        <v>43.61</v>
      </c>
    </row>
    <row r="26" spans="1:6">
      <c r="A26" s="39" t="str">
        <f>+Data!H28</f>
        <v>Cyber Security Specialist Mid</v>
      </c>
      <c r="B26" s="61">
        <f>+Data!I28</f>
        <v>51.14</v>
      </c>
      <c r="C26" s="61">
        <f>+Data!J28</f>
        <v>52.18</v>
      </c>
      <c r="D26" s="61">
        <f>+Data!K28</f>
        <v>53.49</v>
      </c>
      <c r="E26" s="61">
        <f>+Data!L28</f>
        <v>54.84</v>
      </c>
      <c r="F26" s="61">
        <f>+Data!M28</f>
        <v>56.15</v>
      </c>
    </row>
    <row r="27" spans="1:6">
      <c r="A27" s="39" t="str">
        <f>+Data!H29</f>
        <v>Cyber Security Specialist Senior</v>
      </c>
      <c r="B27" s="61">
        <f>+Data!I29</f>
        <v>66.900000000000006</v>
      </c>
      <c r="C27" s="61">
        <f>+Data!J29</f>
        <v>68.25</v>
      </c>
      <c r="D27" s="61">
        <f>+Data!K29</f>
        <v>69.97</v>
      </c>
      <c r="E27" s="61">
        <f>+Data!L29</f>
        <v>71.72</v>
      </c>
      <c r="F27" s="61">
        <f>+Data!M29</f>
        <v>73.42</v>
      </c>
    </row>
    <row r="28" spans="1:6">
      <c r="A28" s="39" t="str">
        <f>+Data!H30</f>
        <v>Deployed Support Specialist Junior</v>
      </c>
      <c r="B28" s="61">
        <f>+Data!I30</f>
        <v>43.93</v>
      </c>
      <c r="C28" s="61">
        <f>+Data!J30</f>
        <v>44.8</v>
      </c>
      <c r="D28" s="61">
        <f>+Data!K30</f>
        <v>45.9</v>
      </c>
      <c r="E28" s="61">
        <f>+Data!L30</f>
        <v>47.01</v>
      </c>
      <c r="F28" s="61">
        <f>+Data!M30</f>
        <v>48.09</v>
      </c>
    </row>
    <row r="29" spans="1:6">
      <c r="A29" s="39" t="str">
        <f>+Data!H31</f>
        <v>Deployed Support Specialist Mid</v>
      </c>
      <c r="B29" s="61">
        <f>+Data!I31</f>
        <v>52.16</v>
      </c>
      <c r="C29" s="61">
        <f>+Data!J31</f>
        <v>53.21</v>
      </c>
      <c r="D29" s="61">
        <f>+Data!K31</f>
        <v>54.51</v>
      </c>
      <c r="E29" s="61">
        <f>+Data!L31</f>
        <v>55.83</v>
      </c>
      <c r="F29" s="61">
        <f>+Data!M31</f>
        <v>57.11</v>
      </c>
    </row>
    <row r="30" spans="1:6">
      <c r="A30" s="39" t="str">
        <f>+Data!H32</f>
        <v>Enterprise Service Desk Specialist (Japan) Senior</v>
      </c>
      <c r="B30" s="61">
        <f>+Data!I32</f>
        <v>58.41</v>
      </c>
      <c r="C30" s="61">
        <f>+Data!J32</f>
        <v>59.87</v>
      </c>
      <c r="D30" s="61">
        <f>+Data!K32</f>
        <v>61.84</v>
      </c>
      <c r="E30" s="61">
        <f>+Data!L32</f>
        <v>63.81</v>
      </c>
      <c r="F30" s="61">
        <f>+Data!M32</f>
        <v>65.599999999999994</v>
      </c>
    </row>
    <row r="31" spans="1:6">
      <c r="A31" s="39" t="str">
        <f>+Data!H33</f>
        <v>Enterprise Service Desk Specialist Junior</v>
      </c>
      <c r="B31" s="61">
        <f>+Data!I33</f>
        <v>27.3</v>
      </c>
      <c r="C31" s="61">
        <f>+Data!J33</f>
        <v>27.84</v>
      </c>
      <c r="D31" s="61">
        <f>+Data!K33</f>
        <v>28.52</v>
      </c>
      <c r="E31" s="61">
        <f>+Data!L33</f>
        <v>29.2</v>
      </c>
      <c r="F31" s="61">
        <f>+Data!M33</f>
        <v>29.85</v>
      </c>
    </row>
    <row r="32" spans="1:6">
      <c r="A32" s="39" t="str">
        <f>+Data!H34</f>
        <v>Enterprise Service Desk Specialist Mid</v>
      </c>
      <c r="B32" s="61">
        <f>+Data!I34</f>
        <v>28.58</v>
      </c>
      <c r="C32" s="61">
        <f>+Data!J34</f>
        <v>29.16</v>
      </c>
      <c r="D32" s="61">
        <f>+Data!K34</f>
        <v>29.89</v>
      </c>
      <c r="E32" s="61">
        <f>+Data!L34</f>
        <v>30.64</v>
      </c>
      <c r="F32" s="61">
        <f>+Data!M34</f>
        <v>31.37</v>
      </c>
    </row>
    <row r="33" spans="1:6">
      <c r="A33" s="39" t="str">
        <f>+Data!H35</f>
        <v>Enterprise Service Desk Specialist Senior</v>
      </c>
      <c r="B33" s="61">
        <f>+Data!I35</f>
        <v>32.89</v>
      </c>
      <c r="C33" s="61">
        <f>+Data!J35</f>
        <v>33.56</v>
      </c>
      <c r="D33" s="61">
        <f>+Data!K35</f>
        <v>34.4</v>
      </c>
      <c r="E33" s="61">
        <f>+Data!L35</f>
        <v>35.270000000000003</v>
      </c>
      <c r="F33" s="61">
        <f>+Data!M35</f>
        <v>36.11</v>
      </c>
    </row>
    <row r="34" spans="1:6">
      <c r="A34" s="39" t="str">
        <f>+Data!H36</f>
        <v>HVAC Engineer Mid</v>
      </c>
      <c r="B34" s="61">
        <f>+Data!I36</f>
        <v>67.14</v>
      </c>
      <c r="C34" s="61">
        <f>+Data!J36</f>
        <v>68.459999999999994</v>
      </c>
      <c r="D34" s="61">
        <f>+Data!K36</f>
        <v>70.13</v>
      </c>
      <c r="E34" s="61">
        <f>+Data!L36</f>
        <v>71.81</v>
      </c>
      <c r="F34" s="61">
        <f>+Data!M36</f>
        <v>73.44</v>
      </c>
    </row>
    <row r="35" spans="1:6">
      <c r="A35" s="39" t="str">
        <f>+Data!H37</f>
        <v>Info Systems Coordinator Junior</v>
      </c>
      <c r="B35" s="61">
        <f>+Data!I37</f>
        <v>45.34</v>
      </c>
      <c r="C35" s="61">
        <f>+Data!J37</f>
        <v>46.25</v>
      </c>
      <c r="D35" s="61">
        <f>+Data!K37</f>
        <v>47.4</v>
      </c>
      <c r="E35" s="61">
        <f>+Data!L37</f>
        <v>48.56</v>
      </c>
      <c r="F35" s="61">
        <f>+Data!M37</f>
        <v>49.67</v>
      </c>
    </row>
    <row r="36" spans="1:6">
      <c r="A36" s="39" t="str">
        <f>+Data!H38</f>
        <v>Info Systems Coordinator Mid</v>
      </c>
      <c r="B36" s="61">
        <f>+Data!I38</f>
        <v>60.53</v>
      </c>
      <c r="C36" s="61">
        <f>+Data!J38</f>
        <v>61.74</v>
      </c>
      <c r="D36" s="61">
        <f>+Data!K38</f>
        <v>63.27</v>
      </c>
      <c r="E36" s="61">
        <f>+Data!L38</f>
        <v>64.81</v>
      </c>
      <c r="F36" s="61">
        <f>+Data!M38</f>
        <v>66.3</v>
      </c>
    </row>
    <row r="37" spans="1:6">
      <c r="A37" s="39" t="str">
        <f>+Data!H39</f>
        <v>Info Systems Coordinator Senior</v>
      </c>
      <c r="B37" s="61">
        <f>+Data!I39</f>
        <v>65.91</v>
      </c>
      <c r="C37" s="61">
        <f>+Data!J39</f>
        <v>67.22</v>
      </c>
      <c r="D37" s="61">
        <f>+Data!K39</f>
        <v>68.88</v>
      </c>
      <c r="E37" s="61">
        <f>+Data!L39</f>
        <v>70.55</v>
      </c>
      <c r="F37" s="61">
        <f>+Data!M39</f>
        <v>72.17</v>
      </c>
    </row>
    <row r="38" spans="1:6">
      <c r="A38" s="39" t="str">
        <f>+Data!H40</f>
        <v>Information Systems Architect Mid</v>
      </c>
      <c r="B38" s="61">
        <f>+Data!I40</f>
        <v>83.24</v>
      </c>
      <c r="C38" s="61">
        <f>+Data!J40</f>
        <v>84.9</v>
      </c>
      <c r="D38" s="61">
        <f>+Data!K40</f>
        <v>86.97</v>
      </c>
      <c r="E38" s="61">
        <f>+Data!L40</f>
        <v>89.06</v>
      </c>
      <c r="F38" s="61">
        <f>+Data!M40</f>
        <v>91.08</v>
      </c>
    </row>
    <row r="39" spans="1:6">
      <c r="A39" s="39" t="str">
        <f>+Data!H41</f>
        <v>Information Systems Architect Senior</v>
      </c>
      <c r="B39" s="61">
        <f>+Data!I41</f>
        <v>107.13</v>
      </c>
      <c r="C39" s="61">
        <f>+Data!J41</f>
        <v>109.26</v>
      </c>
      <c r="D39" s="61">
        <f>+Data!K41</f>
        <v>111.92</v>
      </c>
      <c r="E39" s="61">
        <f>+Data!L41</f>
        <v>114.61</v>
      </c>
      <c r="F39" s="61">
        <f>+Data!M41</f>
        <v>117.21</v>
      </c>
    </row>
    <row r="40" spans="1:6">
      <c r="A40" s="39" t="str">
        <f>+Data!H42</f>
        <v>ISP/OSP Specialist (Japan) Junior</v>
      </c>
      <c r="B40" s="61">
        <f>+Data!I42</f>
        <v>83.62</v>
      </c>
      <c r="C40" s="61">
        <f>+Data!J42</f>
        <v>85.71</v>
      </c>
      <c r="D40" s="61">
        <f>+Data!K42</f>
        <v>88.53</v>
      </c>
      <c r="E40" s="61">
        <f>+Data!L42</f>
        <v>91.37</v>
      </c>
      <c r="F40" s="61">
        <f>+Data!M42</f>
        <v>93.93</v>
      </c>
    </row>
    <row r="41" spans="1:6">
      <c r="A41" s="39" t="str">
        <f>+Data!H43</f>
        <v>ISP/OSP Specialist (Germany) Junior</v>
      </c>
      <c r="B41" s="61">
        <f>+Data!I43</f>
        <v>83.62</v>
      </c>
      <c r="C41" s="61">
        <f>+Data!J43</f>
        <v>85.71</v>
      </c>
      <c r="D41" s="61">
        <f>+Data!K43</f>
        <v>88.53</v>
      </c>
      <c r="E41" s="61">
        <f>+Data!L43</f>
        <v>91.37</v>
      </c>
      <c r="F41" s="61">
        <f>+Data!M43</f>
        <v>93.93</v>
      </c>
    </row>
    <row r="42" spans="1:6">
      <c r="A42" s="39" t="str">
        <f>+Data!H44</f>
        <v>ISP/OSP Specialist (Guam) Junior</v>
      </c>
      <c r="B42" s="61">
        <f>+Data!I44</f>
        <v>83.62</v>
      </c>
      <c r="C42" s="61">
        <f>+Data!J44</f>
        <v>85.71</v>
      </c>
      <c r="D42" s="61">
        <f>+Data!K44</f>
        <v>88.53</v>
      </c>
      <c r="E42" s="61">
        <f>+Data!L44</f>
        <v>91.37</v>
      </c>
      <c r="F42" s="61">
        <f>+Data!M44</f>
        <v>93.93</v>
      </c>
    </row>
    <row r="43" spans="1:6">
      <c r="A43" s="39" t="str">
        <f>+Data!H45</f>
        <v>ISP/OSP Specialist (Korea) Junior</v>
      </c>
      <c r="B43" s="61">
        <f>+Data!I45</f>
        <v>67.83</v>
      </c>
      <c r="C43" s="61">
        <f>+Data!J45</f>
        <v>69.53</v>
      </c>
      <c r="D43" s="61">
        <f>+Data!K45</f>
        <v>71.819999999999993</v>
      </c>
      <c r="E43" s="61">
        <f>+Data!L45</f>
        <v>74.11</v>
      </c>
      <c r="F43" s="61">
        <f>+Data!M45</f>
        <v>76.19</v>
      </c>
    </row>
    <row r="44" spans="1:6">
      <c r="A44" s="39" t="str">
        <f>+Data!H46</f>
        <v>ISP/OSP Specialist Junior</v>
      </c>
      <c r="B44" s="61">
        <f>+Data!I46</f>
        <v>32.729999999999997</v>
      </c>
      <c r="C44" s="61">
        <f>+Data!J46</f>
        <v>33.39</v>
      </c>
      <c r="D44" s="61">
        <f>+Data!K46</f>
        <v>34.22</v>
      </c>
      <c r="E44" s="61">
        <f>+Data!L46</f>
        <v>35.049999999999997</v>
      </c>
      <c r="F44" s="61">
        <f>+Data!M46</f>
        <v>35.86</v>
      </c>
    </row>
    <row r="45" spans="1:6">
      <c r="A45" s="39" t="str">
        <f>+Data!H47</f>
        <v>IT Service Delivery Consultant Junior</v>
      </c>
      <c r="B45" s="61">
        <f>+Data!I47</f>
        <v>46.39</v>
      </c>
      <c r="C45" s="61">
        <f>+Data!J47</f>
        <v>47.31</v>
      </c>
      <c r="D45" s="61">
        <f>+Data!K47</f>
        <v>48.47</v>
      </c>
      <c r="E45" s="61">
        <f>+Data!L47</f>
        <v>49.64</v>
      </c>
      <c r="F45" s="61">
        <f>+Data!M47</f>
        <v>50.77</v>
      </c>
    </row>
    <row r="46" spans="1:6">
      <c r="A46" s="39" t="str">
        <f>+Data!H48</f>
        <v>IT Service Delivery Consultant Senior</v>
      </c>
      <c r="B46" s="61">
        <f>+Data!I48</f>
        <v>78.400000000000006</v>
      </c>
      <c r="C46" s="61">
        <f>+Data!J48</f>
        <v>79.98</v>
      </c>
      <c r="D46" s="61">
        <f>+Data!K48</f>
        <v>81.98</v>
      </c>
      <c r="E46" s="61">
        <f>+Data!L48</f>
        <v>84.02</v>
      </c>
      <c r="F46" s="61">
        <f>+Data!M48</f>
        <v>85.99</v>
      </c>
    </row>
    <row r="47" spans="1:6">
      <c r="A47" s="39" t="str">
        <f>+Data!H49</f>
        <v>IT Service Delivery Consultant Mid</v>
      </c>
      <c r="B47" s="61">
        <f>+Data!I49</f>
        <v>61.27</v>
      </c>
      <c r="C47" s="61">
        <f>+Data!J49</f>
        <v>62.49</v>
      </c>
      <c r="D47" s="61">
        <f>+Data!K49</f>
        <v>64.040000000000006</v>
      </c>
      <c r="E47" s="61">
        <f>+Data!L49</f>
        <v>65.59</v>
      </c>
      <c r="F47" s="61">
        <f>+Data!M49</f>
        <v>67.099999999999994</v>
      </c>
    </row>
    <row r="48" spans="1:6">
      <c r="A48" s="39" t="str">
        <f>+Data!H50</f>
        <v>IT Service Delivery Rep Junior</v>
      </c>
      <c r="B48" s="61">
        <f>+Data!I50</f>
        <v>47.29</v>
      </c>
      <c r="C48" s="61">
        <f>+Data!J50</f>
        <v>48.23</v>
      </c>
      <c r="D48" s="61">
        <f>+Data!K50</f>
        <v>49.42</v>
      </c>
      <c r="E48" s="61">
        <f>+Data!L50</f>
        <v>50.62</v>
      </c>
      <c r="F48" s="61">
        <f>+Data!M50</f>
        <v>51.78</v>
      </c>
    </row>
    <row r="49" spans="1:6">
      <c r="A49" s="39" t="str">
        <f>+Data!H51</f>
        <v>IT Service Delivery Rep Senior</v>
      </c>
      <c r="B49" s="61">
        <f>+Data!I51</f>
        <v>72.900000000000006</v>
      </c>
      <c r="C49" s="61">
        <f>+Data!J51</f>
        <v>74.37</v>
      </c>
      <c r="D49" s="61">
        <f>+Data!K51</f>
        <v>76.209999999999994</v>
      </c>
      <c r="E49" s="61">
        <f>+Data!L51</f>
        <v>78.08</v>
      </c>
      <c r="F49" s="61">
        <f>+Data!M51</f>
        <v>79.88</v>
      </c>
    </row>
    <row r="50" spans="1:6">
      <c r="A50" s="39" t="str">
        <f>+Data!H52</f>
        <v>IT Service Delivery Rep Mid</v>
      </c>
      <c r="B50" s="61">
        <f>+Data!I52</f>
        <v>59.72</v>
      </c>
      <c r="C50" s="61">
        <f>+Data!J52</f>
        <v>60.92</v>
      </c>
      <c r="D50" s="61">
        <f>+Data!K52</f>
        <v>62.42</v>
      </c>
      <c r="E50" s="61">
        <f>+Data!L52</f>
        <v>63.94</v>
      </c>
      <c r="F50" s="61">
        <f>+Data!M52</f>
        <v>65.41</v>
      </c>
    </row>
    <row r="51" spans="1:6">
      <c r="A51" s="39" t="str">
        <f>+Data!H53</f>
        <v>IT Specialist Junior</v>
      </c>
      <c r="B51" s="61">
        <f>+Data!I53</f>
        <v>28.37</v>
      </c>
      <c r="C51" s="61">
        <f>+Data!J53</f>
        <v>28.93</v>
      </c>
      <c r="D51" s="61">
        <f>+Data!K53</f>
        <v>29.64</v>
      </c>
      <c r="E51" s="61">
        <f>+Data!L53</f>
        <v>30.35</v>
      </c>
      <c r="F51" s="61">
        <f>+Data!M53</f>
        <v>31.05</v>
      </c>
    </row>
    <row r="52" spans="1:6">
      <c r="A52" s="39" t="str">
        <f>+Data!H54</f>
        <v>IT Specialist Mid</v>
      </c>
      <c r="B52" s="61">
        <f>+Data!I54</f>
        <v>55.73</v>
      </c>
      <c r="C52" s="61">
        <f>+Data!J54</f>
        <v>56.85</v>
      </c>
      <c r="D52" s="61">
        <f>+Data!K54</f>
        <v>58.26</v>
      </c>
      <c r="E52" s="61">
        <f>+Data!L54</f>
        <v>59.68</v>
      </c>
      <c r="F52" s="61">
        <f>+Data!M54</f>
        <v>61.05</v>
      </c>
    </row>
    <row r="53" spans="1:6">
      <c r="A53" s="39" t="str">
        <f>+Data!H55</f>
        <v>IT Specialist Senior</v>
      </c>
      <c r="B53" s="61">
        <f>+Data!I55</f>
        <v>66.45</v>
      </c>
      <c r="C53" s="61">
        <f>+Data!J55</f>
        <v>67.790000000000006</v>
      </c>
      <c r="D53" s="61">
        <f>+Data!K55</f>
        <v>69.47</v>
      </c>
      <c r="E53" s="61">
        <f>+Data!L55</f>
        <v>71.180000000000007</v>
      </c>
      <c r="F53" s="61">
        <f>+Data!M55</f>
        <v>72.819999999999993</v>
      </c>
    </row>
    <row r="54" spans="1:6">
      <c r="A54" s="39" t="str">
        <f>+Data!H56</f>
        <v>IT Specialist (Japan) Junior</v>
      </c>
      <c r="B54" s="61">
        <f>+Data!I56</f>
        <v>37.99</v>
      </c>
      <c r="C54" s="61">
        <f>+Data!J56</f>
        <v>38.94</v>
      </c>
      <c r="D54" s="61">
        <f>+Data!K56</f>
        <v>40.22</v>
      </c>
      <c r="E54" s="61">
        <f>+Data!L56</f>
        <v>41.5</v>
      </c>
      <c r="F54" s="61">
        <f>+Data!M56</f>
        <v>42.66</v>
      </c>
    </row>
    <row r="55" spans="1:6">
      <c r="A55" s="39" t="str">
        <f>+Data!H57</f>
        <v>IT Specialist (Germany) Junior</v>
      </c>
      <c r="B55" s="61">
        <f>+Data!I57</f>
        <v>52.4</v>
      </c>
      <c r="C55" s="61">
        <f>+Data!J57</f>
        <v>53.71</v>
      </c>
      <c r="D55" s="61">
        <f>+Data!K57</f>
        <v>55.47</v>
      </c>
      <c r="E55" s="61">
        <f>+Data!L57</f>
        <v>57.24</v>
      </c>
      <c r="F55" s="61">
        <f>+Data!M57</f>
        <v>58.84</v>
      </c>
    </row>
    <row r="56" spans="1:6">
      <c r="A56" s="39" t="str">
        <f>+Data!H58</f>
        <v>IT Specialist (Guam) Junior</v>
      </c>
      <c r="B56" s="61">
        <f>+Data!I58</f>
        <v>52.4</v>
      </c>
      <c r="C56" s="61">
        <f>+Data!J58</f>
        <v>53.71</v>
      </c>
      <c r="D56" s="61">
        <f>+Data!K58</f>
        <v>55.47</v>
      </c>
      <c r="E56" s="61">
        <f>+Data!L58</f>
        <v>57.24</v>
      </c>
      <c r="F56" s="61">
        <f>+Data!M58</f>
        <v>58.84</v>
      </c>
    </row>
    <row r="57" spans="1:6">
      <c r="A57" s="39" t="str">
        <f>+Data!H59</f>
        <v>IT Specialist (Korea) Junior</v>
      </c>
      <c r="B57" s="61">
        <f>+Data!I59</f>
        <v>52.4</v>
      </c>
      <c r="C57" s="61">
        <f>+Data!J59</f>
        <v>53.71</v>
      </c>
      <c r="D57" s="61">
        <f>+Data!K59</f>
        <v>55.47</v>
      </c>
      <c r="E57" s="61">
        <f>+Data!L59</f>
        <v>57.24</v>
      </c>
      <c r="F57" s="61">
        <f>+Data!M59</f>
        <v>58.84</v>
      </c>
    </row>
    <row r="58" spans="1:6">
      <c r="A58" s="39" t="str">
        <f>+Data!H60</f>
        <v>Mainframe Specialist Junior</v>
      </c>
      <c r="B58" s="61">
        <f>+Data!I60</f>
        <v>67.2</v>
      </c>
      <c r="C58" s="61">
        <f>+Data!J60</f>
        <v>68.53</v>
      </c>
      <c r="D58" s="61">
        <f>+Data!K60</f>
        <v>70.19</v>
      </c>
      <c r="E58" s="61">
        <f>+Data!L60</f>
        <v>71.87</v>
      </c>
      <c r="F58" s="61">
        <f>+Data!M60</f>
        <v>73.5</v>
      </c>
    </row>
    <row r="59" spans="1:6">
      <c r="A59" s="39" t="str">
        <f>+Data!H61</f>
        <v>NetOps Lead (Japan) Mid</v>
      </c>
      <c r="B59" s="61">
        <f>+Data!I61</f>
        <v>116.55</v>
      </c>
      <c r="C59" s="61">
        <f>+Data!J61</f>
        <v>119.48</v>
      </c>
      <c r="D59" s="61">
        <f>+Data!K61</f>
        <v>123.42</v>
      </c>
      <c r="E59" s="61">
        <f>+Data!L61</f>
        <v>127.38</v>
      </c>
      <c r="F59" s="61">
        <f>+Data!M61</f>
        <v>130.96</v>
      </c>
    </row>
    <row r="60" spans="1:6">
      <c r="A60" s="39" t="str">
        <f>+Data!H62</f>
        <v>NetOps Lead (Germany) Mid</v>
      </c>
      <c r="B60" s="61">
        <f>+Data!I62</f>
        <v>116.55</v>
      </c>
      <c r="C60" s="61">
        <f>+Data!J62</f>
        <v>119.48</v>
      </c>
      <c r="D60" s="61">
        <f>+Data!K62</f>
        <v>123.42</v>
      </c>
      <c r="E60" s="61">
        <f>+Data!L62</f>
        <v>127.38</v>
      </c>
      <c r="F60" s="61">
        <f>+Data!M62</f>
        <v>130.96</v>
      </c>
    </row>
    <row r="61" spans="1:6">
      <c r="A61" s="39" t="str">
        <f>+Data!H63</f>
        <v>NetOps Lead (Guam) Mid</v>
      </c>
      <c r="B61" s="61">
        <f>+Data!I63</f>
        <v>116.55</v>
      </c>
      <c r="C61" s="61">
        <f>+Data!J63</f>
        <v>119.48</v>
      </c>
      <c r="D61" s="61">
        <f>+Data!K63</f>
        <v>123.42</v>
      </c>
      <c r="E61" s="61">
        <f>+Data!L63</f>
        <v>127.38</v>
      </c>
      <c r="F61" s="61">
        <f>+Data!M63</f>
        <v>130.96</v>
      </c>
    </row>
    <row r="62" spans="1:6">
      <c r="A62" s="39" t="str">
        <f>+Data!H64</f>
        <v>NetOps Lead (Korea) Mid</v>
      </c>
      <c r="B62" s="61">
        <f>+Data!I64</f>
        <v>116.55</v>
      </c>
      <c r="C62" s="61">
        <f>+Data!J64</f>
        <v>119.48</v>
      </c>
      <c r="D62" s="61">
        <f>+Data!K64</f>
        <v>123.42</v>
      </c>
      <c r="E62" s="61">
        <f>+Data!L64</f>
        <v>127.38</v>
      </c>
      <c r="F62" s="61">
        <f>+Data!M64</f>
        <v>130.96</v>
      </c>
    </row>
    <row r="63" spans="1:6">
      <c r="A63" s="39" t="str">
        <f>+Data!H65</f>
        <v>NetOps Lead Mid</v>
      </c>
      <c r="B63" s="61">
        <f>+Data!I65</f>
        <v>54.27</v>
      </c>
      <c r="C63" s="61">
        <f>+Data!J65</f>
        <v>55.3</v>
      </c>
      <c r="D63" s="61">
        <f>+Data!K65</f>
        <v>56.58</v>
      </c>
      <c r="E63" s="61">
        <f>+Data!L65</f>
        <v>57.88</v>
      </c>
      <c r="F63" s="61">
        <f>+Data!M65</f>
        <v>59.14</v>
      </c>
    </row>
    <row r="64" spans="1:6">
      <c r="A64" s="39" t="str">
        <f>+Data!H66</f>
        <v>NetOps Specialist (Japan) Junior</v>
      </c>
      <c r="B64" s="61">
        <f>+Data!I66</f>
        <v>70.48</v>
      </c>
      <c r="C64" s="61">
        <f>+Data!J66</f>
        <v>72.25</v>
      </c>
      <c r="D64" s="61">
        <f>+Data!K66</f>
        <v>74.62</v>
      </c>
      <c r="E64" s="61">
        <f>+Data!L66</f>
        <v>77.010000000000005</v>
      </c>
      <c r="F64" s="61">
        <f>+Data!M66</f>
        <v>79.17</v>
      </c>
    </row>
    <row r="65" spans="1:6">
      <c r="A65" s="39" t="str">
        <f>+Data!H67</f>
        <v>NetOps Specialist (Japan) Mid</v>
      </c>
      <c r="B65" s="61">
        <f>+Data!I67</f>
        <v>81.58</v>
      </c>
      <c r="C65" s="61">
        <f>+Data!J67</f>
        <v>83.63</v>
      </c>
      <c r="D65" s="61">
        <f>+Data!K67</f>
        <v>86.38</v>
      </c>
      <c r="E65" s="61">
        <f>+Data!L67</f>
        <v>89.15</v>
      </c>
      <c r="F65" s="61">
        <f>+Data!M67</f>
        <v>91.65</v>
      </c>
    </row>
    <row r="66" spans="1:6">
      <c r="A66" s="39" t="str">
        <f>+Data!H68</f>
        <v>NetOps Specialist (Japan) Senior</v>
      </c>
      <c r="B66" s="61">
        <f>+Data!I68</f>
        <v>104.89</v>
      </c>
      <c r="C66" s="61">
        <f>+Data!J68</f>
        <v>107.53</v>
      </c>
      <c r="D66" s="61">
        <f>+Data!K68</f>
        <v>111.07</v>
      </c>
      <c r="E66" s="61">
        <f>+Data!L68</f>
        <v>114.63</v>
      </c>
      <c r="F66" s="61">
        <f>+Data!M68</f>
        <v>117.85</v>
      </c>
    </row>
    <row r="67" spans="1:6">
      <c r="A67" s="39" t="str">
        <f>+Data!H69</f>
        <v>NetOps Specialist (Germany) Junior</v>
      </c>
      <c r="B67" s="61">
        <f>+Data!I69</f>
        <v>70.48</v>
      </c>
      <c r="C67" s="61">
        <f>+Data!J69</f>
        <v>72.25</v>
      </c>
      <c r="D67" s="61">
        <f>+Data!K69</f>
        <v>74.62</v>
      </c>
      <c r="E67" s="61">
        <f>+Data!L69</f>
        <v>77.010000000000005</v>
      </c>
      <c r="F67" s="61">
        <f>+Data!M69</f>
        <v>79.17</v>
      </c>
    </row>
    <row r="68" spans="1:6">
      <c r="A68" s="39" t="str">
        <f>+Data!H70</f>
        <v>NetOps Specialist (Germany) Mid</v>
      </c>
      <c r="B68" s="61">
        <f>+Data!I70</f>
        <v>81.58</v>
      </c>
      <c r="C68" s="61">
        <f>+Data!J70</f>
        <v>83.63</v>
      </c>
      <c r="D68" s="61">
        <f>+Data!K70</f>
        <v>86.38</v>
      </c>
      <c r="E68" s="61">
        <f>+Data!L70</f>
        <v>89.15</v>
      </c>
      <c r="F68" s="61">
        <f>+Data!M70</f>
        <v>91.65</v>
      </c>
    </row>
    <row r="69" spans="1:6">
      <c r="A69" s="39" t="str">
        <f>+Data!H71</f>
        <v>NetOps Specialist (Germany) Senior</v>
      </c>
      <c r="B69" s="61">
        <f>+Data!I71</f>
        <v>104.89</v>
      </c>
      <c r="C69" s="61">
        <f>+Data!J71</f>
        <v>107.53</v>
      </c>
      <c r="D69" s="61">
        <f>+Data!K71</f>
        <v>111.07</v>
      </c>
      <c r="E69" s="61">
        <f>+Data!L71</f>
        <v>114.63</v>
      </c>
      <c r="F69" s="61">
        <f>+Data!M71</f>
        <v>117.85</v>
      </c>
    </row>
    <row r="70" spans="1:6">
      <c r="A70" s="39" t="str">
        <f>+Data!H72</f>
        <v>NetOps Specialist (Guam) Junior</v>
      </c>
      <c r="B70" s="61">
        <f>+Data!I72</f>
        <v>70.48</v>
      </c>
      <c r="C70" s="61">
        <f>+Data!J72</f>
        <v>72.25</v>
      </c>
      <c r="D70" s="61">
        <f>+Data!K72</f>
        <v>74.62</v>
      </c>
      <c r="E70" s="61">
        <f>+Data!L72</f>
        <v>77.010000000000005</v>
      </c>
      <c r="F70" s="61">
        <f>+Data!M72</f>
        <v>79.17</v>
      </c>
    </row>
    <row r="71" spans="1:6">
      <c r="A71" s="39" t="str">
        <f>+Data!H73</f>
        <v>NetOps Specialist (Guam) Mid</v>
      </c>
      <c r="B71" s="61">
        <f>+Data!I73</f>
        <v>81.58</v>
      </c>
      <c r="C71" s="61">
        <f>+Data!J73</f>
        <v>83.63</v>
      </c>
      <c r="D71" s="61">
        <f>+Data!K73</f>
        <v>86.38</v>
      </c>
      <c r="E71" s="61">
        <f>+Data!L73</f>
        <v>89.15</v>
      </c>
      <c r="F71" s="61">
        <f>+Data!M73</f>
        <v>91.65</v>
      </c>
    </row>
    <row r="72" spans="1:6">
      <c r="A72" s="39" t="str">
        <f>+Data!H74</f>
        <v>NetOps Specialist (Guam) Senior</v>
      </c>
      <c r="B72" s="61">
        <f>+Data!I74</f>
        <v>104.89</v>
      </c>
      <c r="C72" s="61">
        <f>+Data!J74</f>
        <v>107.53</v>
      </c>
      <c r="D72" s="61">
        <f>+Data!K74</f>
        <v>111.07</v>
      </c>
      <c r="E72" s="61">
        <f>+Data!L74</f>
        <v>114.63</v>
      </c>
      <c r="F72" s="61">
        <f>+Data!M74</f>
        <v>117.85</v>
      </c>
    </row>
    <row r="73" spans="1:6">
      <c r="A73" s="39" t="str">
        <f>+Data!H75</f>
        <v>NetOps Specialist (Korea) Junior</v>
      </c>
      <c r="B73" s="61">
        <f>+Data!I75</f>
        <v>70.48</v>
      </c>
      <c r="C73" s="61">
        <f>+Data!J75</f>
        <v>72.25</v>
      </c>
      <c r="D73" s="61">
        <f>+Data!K75</f>
        <v>74.62</v>
      </c>
      <c r="E73" s="61">
        <f>+Data!L75</f>
        <v>77.010000000000005</v>
      </c>
      <c r="F73" s="61">
        <f>+Data!M75</f>
        <v>79.17</v>
      </c>
    </row>
    <row r="74" spans="1:6">
      <c r="A74" s="39" t="str">
        <f>+Data!H76</f>
        <v>NetOps Specialist (Korea) Mid</v>
      </c>
      <c r="B74" s="61">
        <f>+Data!I76</f>
        <v>81.58</v>
      </c>
      <c r="C74" s="61">
        <f>+Data!J76</f>
        <v>83.63</v>
      </c>
      <c r="D74" s="61">
        <f>+Data!K76</f>
        <v>86.38</v>
      </c>
      <c r="E74" s="61">
        <f>+Data!L76</f>
        <v>89.15</v>
      </c>
      <c r="F74" s="61">
        <f>+Data!M76</f>
        <v>91.65</v>
      </c>
    </row>
    <row r="75" spans="1:6">
      <c r="A75" s="39" t="str">
        <f>+Data!H77</f>
        <v>NetOps Specialist (Korea) Senior</v>
      </c>
      <c r="B75" s="61">
        <f>+Data!I77</f>
        <v>104.89</v>
      </c>
      <c r="C75" s="61">
        <f>+Data!J77</f>
        <v>107.53</v>
      </c>
      <c r="D75" s="61">
        <f>+Data!K77</f>
        <v>111.07</v>
      </c>
      <c r="E75" s="61">
        <f>+Data!L77</f>
        <v>114.63</v>
      </c>
      <c r="F75" s="61">
        <f>+Data!M77</f>
        <v>117.85</v>
      </c>
    </row>
    <row r="76" spans="1:6">
      <c r="A76" s="39" t="str">
        <f>+Data!H78</f>
        <v>NetOps Specialist Junior</v>
      </c>
      <c r="B76" s="61">
        <f>+Data!I78</f>
        <v>34.89</v>
      </c>
      <c r="C76" s="61">
        <f>+Data!J78</f>
        <v>35.590000000000003</v>
      </c>
      <c r="D76" s="61">
        <f>+Data!K78</f>
        <v>36.46</v>
      </c>
      <c r="E76" s="61">
        <f>+Data!L78</f>
        <v>37.340000000000003</v>
      </c>
      <c r="F76" s="61">
        <f>+Data!M78</f>
        <v>38.19</v>
      </c>
    </row>
    <row r="77" spans="1:6">
      <c r="A77" s="39" t="str">
        <f>+Data!H79</f>
        <v>NetOps Specialist Mid</v>
      </c>
      <c r="B77" s="61">
        <f>+Data!I79</f>
        <v>49.9</v>
      </c>
      <c r="C77" s="61">
        <f>+Data!J79</f>
        <v>50.89</v>
      </c>
      <c r="D77" s="61">
        <f>+Data!K79</f>
        <v>52.14</v>
      </c>
      <c r="E77" s="61">
        <f>+Data!L79</f>
        <v>53.4</v>
      </c>
      <c r="F77" s="61">
        <f>+Data!M79</f>
        <v>54.61</v>
      </c>
    </row>
    <row r="78" spans="1:6">
      <c r="A78" s="39" t="str">
        <f>+Data!H80</f>
        <v>NetOps Specialist Senior</v>
      </c>
      <c r="B78" s="61">
        <f>+Data!I80</f>
        <v>51.36</v>
      </c>
      <c r="C78" s="61">
        <f>+Data!J80</f>
        <v>52.34</v>
      </c>
      <c r="D78" s="61">
        <f>+Data!K80</f>
        <v>53.55</v>
      </c>
      <c r="E78" s="61">
        <f>+Data!L80</f>
        <v>54.77</v>
      </c>
      <c r="F78" s="61">
        <f>+Data!M80</f>
        <v>55.97</v>
      </c>
    </row>
    <row r="79" spans="1:6">
      <c r="A79" s="39" t="str">
        <f>+Data!H81</f>
        <v>Network Architect Engineer Senior</v>
      </c>
      <c r="B79" s="61">
        <f>+Data!I81</f>
        <v>65.05</v>
      </c>
      <c r="C79" s="61">
        <f>+Data!J81</f>
        <v>66.349999999999994</v>
      </c>
      <c r="D79" s="61">
        <f>+Data!K81</f>
        <v>67.97</v>
      </c>
      <c r="E79" s="61">
        <f>+Data!L81</f>
        <v>69.62</v>
      </c>
      <c r="F79" s="61">
        <f>+Data!M81</f>
        <v>71.209999999999994</v>
      </c>
    </row>
    <row r="80" spans="1:6">
      <c r="A80" s="39" t="str">
        <f>+Data!H82</f>
        <v>Network Storage Engineer Junior</v>
      </c>
      <c r="B80" s="61">
        <f>+Data!I82</f>
        <v>57.36</v>
      </c>
      <c r="C80" s="61">
        <f>+Data!J82</f>
        <v>58.5</v>
      </c>
      <c r="D80" s="61">
        <f>+Data!K82</f>
        <v>59.92</v>
      </c>
      <c r="E80" s="61">
        <f>+Data!L82</f>
        <v>61.36</v>
      </c>
      <c r="F80" s="61">
        <f>+Data!M82</f>
        <v>62.75</v>
      </c>
    </row>
    <row r="81" spans="1:6">
      <c r="A81" s="39" t="str">
        <f>+Data!H83</f>
        <v>Network Storage Engineer Mid</v>
      </c>
      <c r="B81" s="61">
        <f>+Data!I83</f>
        <v>77.22</v>
      </c>
      <c r="C81" s="61">
        <f>+Data!J83</f>
        <v>78.760000000000005</v>
      </c>
      <c r="D81" s="61">
        <f>+Data!K83</f>
        <v>80.680000000000007</v>
      </c>
      <c r="E81" s="61">
        <f>+Data!L83</f>
        <v>82.62</v>
      </c>
      <c r="F81" s="61">
        <f>+Data!M83</f>
        <v>84.49</v>
      </c>
    </row>
    <row r="82" spans="1:6">
      <c r="A82" s="39" t="str">
        <f>+Data!H84</f>
        <v>Network Storage Engineer Senior</v>
      </c>
      <c r="B82" s="61">
        <f>+Data!I84</f>
        <v>102.01</v>
      </c>
      <c r="C82" s="61">
        <f>+Data!J84</f>
        <v>104.03</v>
      </c>
      <c r="D82" s="61">
        <f>+Data!K84</f>
        <v>106.56</v>
      </c>
      <c r="E82" s="61">
        <f>+Data!L84</f>
        <v>109.12</v>
      </c>
      <c r="F82" s="61">
        <f>+Data!M84</f>
        <v>111.6</v>
      </c>
    </row>
    <row r="83" spans="1:6">
      <c r="A83" s="39" t="str">
        <f>+Data!H85</f>
        <v>Network Storage Specialist Junior</v>
      </c>
      <c r="B83" s="61">
        <f>+Data!I85</f>
        <v>51.38</v>
      </c>
      <c r="C83" s="61">
        <f>+Data!J85</f>
        <v>52.41</v>
      </c>
      <c r="D83" s="61">
        <f>+Data!K85</f>
        <v>53.7</v>
      </c>
      <c r="E83" s="61">
        <f>+Data!L85</f>
        <v>55</v>
      </c>
      <c r="F83" s="61">
        <f>+Data!M85</f>
        <v>56.27</v>
      </c>
    </row>
    <row r="84" spans="1:6">
      <c r="A84" s="39" t="str">
        <f>+Data!H86</f>
        <v>Network Storage Specialist Senior</v>
      </c>
      <c r="B84" s="61">
        <f>+Data!I86</f>
        <v>79.27</v>
      </c>
      <c r="C84" s="61">
        <f>+Data!J86</f>
        <v>80.86</v>
      </c>
      <c r="D84" s="61">
        <f>+Data!K86</f>
        <v>82.85</v>
      </c>
      <c r="E84" s="61">
        <f>+Data!L86</f>
        <v>84.85</v>
      </c>
      <c r="F84" s="61">
        <f>+Data!M86</f>
        <v>86.79</v>
      </c>
    </row>
    <row r="85" spans="1:6">
      <c r="A85" s="39" t="str">
        <f>+Data!H87</f>
        <v>Organizational Messaging Specialist Junior</v>
      </c>
      <c r="B85" s="61">
        <f>+Data!I87</f>
        <v>48.37</v>
      </c>
      <c r="C85" s="61">
        <f>+Data!J87</f>
        <v>49.33</v>
      </c>
      <c r="D85" s="61">
        <f>+Data!K87</f>
        <v>50.54</v>
      </c>
      <c r="E85" s="61">
        <f>+Data!L87</f>
        <v>51.76</v>
      </c>
      <c r="F85" s="61">
        <f>+Data!M87</f>
        <v>52.95</v>
      </c>
    </row>
    <row r="86" spans="1:6">
      <c r="A86" s="39" t="str">
        <f>+Data!H88</f>
        <v>Organizational Messaging Specialist Senior</v>
      </c>
      <c r="B86" s="61">
        <f>+Data!I88</f>
        <v>73.48</v>
      </c>
      <c r="C86" s="61">
        <f>+Data!J88</f>
        <v>74.94</v>
      </c>
      <c r="D86" s="61">
        <f>+Data!K88</f>
        <v>76.75</v>
      </c>
      <c r="E86" s="61">
        <f>+Data!L88</f>
        <v>78.59</v>
      </c>
      <c r="F86" s="61">
        <f>+Data!M88</f>
        <v>80.37</v>
      </c>
    </row>
    <row r="87" spans="1:6">
      <c r="A87" s="39" t="str">
        <f>+Data!H89</f>
        <v>Packager Junior</v>
      </c>
      <c r="B87" s="61">
        <f>+Data!I89</f>
        <v>33.71</v>
      </c>
      <c r="C87" s="61">
        <f>+Data!J89</f>
        <v>34.42</v>
      </c>
      <c r="D87" s="61">
        <f>+Data!K89</f>
        <v>35.32</v>
      </c>
      <c r="E87" s="61">
        <f>+Data!L89</f>
        <v>36.24</v>
      </c>
      <c r="F87" s="61">
        <f>+Data!M89</f>
        <v>37.119999999999997</v>
      </c>
    </row>
    <row r="88" spans="1:6">
      <c r="A88" s="39" t="str">
        <f>+Data!H90</f>
        <v>Packager Mid</v>
      </c>
      <c r="B88" s="61">
        <f>+Data!I90</f>
        <v>38.44</v>
      </c>
      <c r="C88" s="61">
        <f>+Data!J90</f>
        <v>39.25</v>
      </c>
      <c r="D88" s="61">
        <f>+Data!K90</f>
        <v>40.29</v>
      </c>
      <c r="E88" s="61">
        <f>+Data!L90</f>
        <v>41.34</v>
      </c>
      <c r="F88" s="61">
        <f>+Data!M90</f>
        <v>42.34</v>
      </c>
    </row>
    <row r="89" spans="1:6">
      <c r="A89" s="39" t="str">
        <f>+Data!H91</f>
        <v>Programmer Junior</v>
      </c>
      <c r="B89" s="61">
        <f>+Data!I91</f>
        <v>53.3</v>
      </c>
      <c r="C89" s="61">
        <f>+Data!J91</f>
        <v>54.37</v>
      </c>
      <c r="D89" s="61">
        <f>+Data!K91</f>
        <v>55.7</v>
      </c>
      <c r="E89" s="61">
        <f>+Data!L91</f>
        <v>57.05</v>
      </c>
      <c r="F89" s="61">
        <f>+Data!M91</f>
        <v>58.36</v>
      </c>
    </row>
    <row r="90" spans="1:6">
      <c r="A90" s="39" t="str">
        <f>+Data!H92</f>
        <v>Programmer Senior</v>
      </c>
      <c r="B90" s="61">
        <f>+Data!I92</f>
        <v>85.77</v>
      </c>
      <c r="C90" s="61">
        <f>+Data!J92</f>
        <v>87.46</v>
      </c>
      <c r="D90" s="61">
        <f>+Data!K92</f>
        <v>89.59</v>
      </c>
      <c r="E90" s="61">
        <f>+Data!L92</f>
        <v>91.73</v>
      </c>
      <c r="F90" s="61">
        <f>+Data!M92</f>
        <v>93.8</v>
      </c>
    </row>
    <row r="91" spans="1:6">
      <c r="A91" s="39" t="str">
        <f>+Data!H93</f>
        <v>Project Manager Junior</v>
      </c>
      <c r="B91" s="61">
        <f>+Data!I93</f>
        <v>64.7</v>
      </c>
      <c r="C91" s="61">
        <f>+Data!J93</f>
        <v>65.98</v>
      </c>
      <c r="D91" s="61">
        <f>+Data!K93</f>
        <v>67.569999999999993</v>
      </c>
      <c r="E91" s="61">
        <f>+Data!L93</f>
        <v>69.180000000000007</v>
      </c>
      <c r="F91" s="61">
        <f>+Data!M93</f>
        <v>70.739999999999995</v>
      </c>
    </row>
    <row r="92" spans="1:6">
      <c r="A92" s="39" t="str">
        <f>+Data!H94</f>
        <v>Project Manager Mid</v>
      </c>
      <c r="B92" s="61">
        <f>+Data!I94</f>
        <v>92.74</v>
      </c>
      <c r="C92" s="61">
        <f>+Data!J94</f>
        <v>94.57</v>
      </c>
      <c r="D92" s="61">
        <f>+Data!K94</f>
        <v>96.87</v>
      </c>
      <c r="E92" s="61">
        <f>+Data!L94</f>
        <v>99.19</v>
      </c>
      <c r="F92" s="61">
        <f>+Data!M94</f>
        <v>101.44</v>
      </c>
    </row>
    <row r="93" spans="1:6">
      <c r="A93" s="39" t="str">
        <f>+Data!H95</f>
        <v>Project Manager Senior</v>
      </c>
      <c r="B93" s="61">
        <f>+Data!I95</f>
        <v>109.76</v>
      </c>
      <c r="C93" s="61">
        <f>+Data!J95</f>
        <v>111.93</v>
      </c>
      <c r="D93" s="61">
        <f>+Data!K95</f>
        <v>114.65</v>
      </c>
      <c r="E93" s="61">
        <f>+Data!L95</f>
        <v>117.39</v>
      </c>
      <c r="F93" s="61">
        <f>+Data!M95</f>
        <v>120.05</v>
      </c>
    </row>
    <row r="94" spans="1:6">
      <c r="A94" s="39" t="str">
        <f>+Data!H96</f>
        <v>Quality Assurance Analyst Junior</v>
      </c>
      <c r="B94" s="61">
        <f>+Data!I96</f>
        <v>53.86</v>
      </c>
      <c r="C94" s="61">
        <f>+Data!J96</f>
        <v>54.93</v>
      </c>
      <c r="D94" s="61">
        <f>+Data!K96</f>
        <v>56.27</v>
      </c>
      <c r="E94" s="61">
        <f>+Data!L96</f>
        <v>57.63</v>
      </c>
      <c r="F94" s="61">
        <f>+Data!M96</f>
        <v>58.94</v>
      </c>
    </row>
    <row r="95" spans="1:6">
      <c r="A95" s="39" t="str">
        <f>+Data!H97</f>
        <v>Systems Administrator Senior</v>
      </c>
      <c r="B95" s="61">
        <f>+Data!I97</f>
        <v>86.3</v>
      </c>
      <c r="C95" s="61">
        <f>+Data!J97</f>
        <v>88</v>
      </c>
      <c r="D95" s="61">
        <f>+Data!K97</f>
        <v>90.14</v>
      </c>
      <c r="E95" s="61">
        <f>+Data!L97</f>
        <v>92.29</v>
      </c>
      <c r="F95" s="61">
        <f>+Data!M97</f>
        <v>94.37</v>
      </c>
    </row>
    <row r="96" spans="1:6">
      <c r="A96" s="39" t="str">
        <f>+Data!H98</f>
        <v>Systems Administrator Mid</v>
      </c>
      <c r="B96" s="61">
        <f>+Data!I98</f>
        <v>50.37</v>
      </c>
      <c r="C96" s="61">
        <f>+Data!J98</f>
        <v>51.4</v>
      </c>
      <c r="D96" s="61">
        <f>+Data!K98</f>
        <v>52.7</v>
      </c>
      <c r="E96" s="61">
        <f>+Data!L98</f>
        <v>54.02</v>
      </c>
      <c r="F96" s="61">
        <f>+Data!M98</f>
        <v>55.29</v>
      </c>
    </row>
    <row r="97" spans="1:6">
      <c r="A97" s="39" t="str">
        <f>+Data!H99</f>
        <v>Systems Administrator Mid (Japan)</v>
      </c>
      <c r="B97" s="61">
        <f>+Data!I99</f>
        <v>81.58</v>
      </c>
      <c r="C97" s="61">
        <f>+Data!J99</f>
        <v>83.63</v>
      </c>
      <c r="D97" s="61">
        <f>+Data!K99</f>
        <v>86.38</v>
      </c>
      <c r="E97" s="61">
        <f>+Data!L99</f>
        <v>89.15</v>
      </c>
      <c r="F97" s="61">
        <f>+Data!M99</f>
        <v>91.65</v>
      </c>
    </row>
    <row r="98" spans="1:6">
      <c r="A98" s="39" t="str">
        <f>+Data!H100</f>
        <v>Systems Administrator Mid (Germany)</v>
      </c>
      <c r="B98" s="61">
        <f>+Data!I100</f>
        <v>81.58</v>
      </c>
      <c r="C98" s="61">
        <f>+Data!J100</f>
        <v>83.63</v>
      </c>
      <c r="D98" s="61">
        <f>+Data!K100</f>
        <v>86.38</v>
      </c>
      <c r="E98" s="61">
        <f>+Data!L100</f>
        <v>89.15</v>
      </c>
      <c r="F98" s="61">
        <f>+Data!M100</f>
        <v>91.65</v>
      </c>
    </row>
    <row r="99" spans="1:6">
      <c r="A99" s="39" t="str">
        <f>+Data!H101</f>
        <v>Technical Writer/Editor Junior</v>
      </c>
      <c r="B99" s="61">
        <f>+Data!I101</f>
        <v>56.55</v>
      </c>
      <c r="C99" s="61">
        <f>+Data!J101</f>
        <v>57.66</v>
      </c>
      <c r="D99" s="61">
        <f>+Data!K101</f>
        <v>59.04</v>
      </c>
      <c r="E99" s="61">
        <f>+Data!L101</f>
        <v>60.44</v>
      </c>
      <c r="F99" s="61">
        <f>+Data!M101</f>
        <v>61.81</v>
      </c>
    </row>
    <row r="100" spans="1:6">
      <c r="A100" s="39" t="str">
        <f>+Data!H102</f>
        <v>Technical Writer/Editor Mid</v>
      </c>
      <c r="B100" s="61">
        <f>+Data!I102</f>
        <v>57.29</v>
      </c>
      <c r="C100" s="61">
        <f>+Data!J102</f>
        <v>58.42</v>
      </c>
      <c r="D100" s="61">
        <f>+Data!K102</f>
        <v>59.85</v>
      </c>
      <c r="E100" s="61">
        <f>+Data!L102</f>
        <v>61.3</v>
      </c>
      <c r="F100" s="61">
        <f>+Data!M102</f>
        <v>62.7</v>
      </c>
    </row>
    <row r="101" spans="1:6">
      <c r="A101" s="39" t="str">
        <f>+Data!H103</f>
        <v>Technology Consultant Junior</v>
      </c>
      <c r="B101" s="61">
        <f>+Data!I103</f>
        <v>54.88</v>
      </c>
      <c r="C101" s="61">
        <f>+Data!J103</f>
        <v>55.96</v>
      </c>
      <c r="D101" s="61">
        <f>+Data!K103</f>
        <v>57.32</v>
      </c>
      <c r="E101" s="61">
        <f>+Data!L103</f>
        <v>58.7</v>
      </c>
      <c r="F101" s="61">
        <f>+Data!M103</f>
        <v>60.03</v>
      </c>
    </row>
    <row r="102" spans="1:6">
      <c r="A102" s="39" t="str">
        <f>+Data!H104</f>
        <v>Technology Consultant Mid</v>
      </c>
      <c r="B102" s="61">
        <f>+Data!I104</f>
        <v>65.94</v>
      </c>
      <c r="C102" s="61">
        <f>+Data!J104</f>
        <v>67.239999999999995</v>
      </c>
      <c r="D102" s="61">
        <f>+Data!K104</f>
        <v>68.87</v>
      </c>
      <c r="E102" s="61">
        <f>+Data!L104</f>
        <v>70.52</v>
      </c>
      <c r="F102" s="61">
        <f>+Data!M104</f>
        <v>72.11</v>
      </c>
    </row>
    <row r="103" spans="1:6">
      <c r="A103" s="39" t="str">
        <f>+Data!H105</f>
        <v>Technology Consultant Senior</v>
      </c>
      <c r="B103" s="61">
        <f>+Data!I105</f>
        <v>94.36</v>
      </c>
      <c r="C103" s="61">
        <f>+Data!J105</f>
        <v>96.23</v>
      </c>
      <c r="D103" s="61">
        <f>+Data!K105</f>
        <v>98.57</v>
      </c>
      <c r="E103" s="61">
        <f>+Data!L105</f>
        <v>100.94</v>
      </c>
      <c r="F103" s="61">
        <f>+Data!M105</f>
        <v>103.24</v>
      </c>
    </row>
    <row r="104" spans="1:6">
      <c r="A104" s="39" t="str">
        <f>+Data!H106</f>
        <v>Test Engineer Junior</v>
      </c>
      <c r="B104" s="61">
        <f>+Data!I106</f>
        <v>56.25</v>
      </c>
      <c r="C104" s="61">
        <f>+Data!J106</f>
        <v>57.37</v>
      </c>
      <c r="D104" s="61">
        <f>+Data!K106</f>
        <v>58.76</v>
      </c>
      <c r="E104" s="61">
        <f>+Data!L106</f>
        <v>60.16</v>
      </c>
      <c r="F104" s="61">
        <f>+Data!M106</f>
        <v>61.52</v>
      </c>
    </row>
    <row r="105" spans="1:6">
      <c r="A105" s="39" t="str">
        <f>+Data!H107</f>
        <v>Test Engineer Lead Mid</v>
      </c>
      <c r="B105" s="61">
        <f>+Data!I107</f>
        <v>87.62</v>
      </c>
      <c r="C105" s="61">
        <f>+Data!J107</f>
        <v>89.36</v>
      </c>
      <c r="D105" s="61">
        <f>+Data!K107</f>
        <v>91.54</v>
      </c>
      <c r="E105" s="61">
        <f>+Data!L107</f>
        <v>93.75</v>
      </c>
      <c r="F105" s="61">
        <f>+Data!M107</f>
        <v>95.89</v>
      </c>
    </row>
    <row r="106" spans="1:6">
      <c r="A106" s="39" t="str">
        <f>+Data!H108</f>
        <v>Testing Manager Senior</v>
      </c>
      <c r="B106" s="61">
        <f>+Data!I108</f>
        <v>84.11</v>
      </c>
      <c r="C106" s="61">
        <f>+Data!J108</f>
        <v>85.78</v>
      </c>
      <c r="D106" s="61">
        <f>+Data!K108</f>
        <v>87.88</v>
      </c>
      <c r="E106" s="61">
        <f>+Data!L108</f>
        <v>90</v>
      </c>
      <c r="F106" s="61">
        <f>+Data!M108</f>
        <v>92.05</v>
      </c>
    </row>
    <row r="107" spans="1:6">
      <c r="A107" s="39" t="str">
        <f>+Data!H109</f>
        <v>Training Coordinator Senior</v>
      </c>
      <c r="B107" s="61">
        <f>+Data!I109</f>
        <v>70.180000000000007</v>
      </c>
      <c r="C107" s="61">
        <f>+Data!J109</f>
        <v>71.569999999999993</v>
      </c>
      <c r="D107" s="61">
        <f>+Data!K109</f>
        <v>73.33</v>
      </c>
      <c r="E107" s="61">
        <f>+Data!L109</f>
        <v>75.09</v>
      </c>
      <c r="F107" s="61">
        <f>+Data!M109</f>
        <v>76.8</v>
      </c>
    </row>
    <row r="108" spans="1:6">
      <c r="A108" s="39" t="str">
        <f>+Data!H110</f>
        <v>Training Specialist Junior</v>
      </c>
      <c r="B108" s="61">
        <f>+Data!I110</f>
        <v>47.56</v>
      </c>
      <c r="C108" s="61">
        <f>+Data!J110</f>
        <v>48.51</v>
      </c>
      <c r="D108" s="61">
        <f>+Data!K110</f>
        <v>49.71</v>
      </c>
      <c r="E108" s="61">
        <f>+Data!L110</f>
        <v>50.92</v>
      </c>
      <c r="F108" s="61">
        <f>+Data!M110</f>
        <v>52.09</v>
      </c>
    </row>
    <row r="109" spans="1:6">
      <c r="A109" s="39" t="str">
        <f>+Data!H111</f>
        <v>Training Specialist Senior</v>
      </c>
      <c r="B109" s="61">
        <f>+Data!I111</f>
        <v>71.11</v>
      </c>
      <c r="C109" s="61">
        <f>+Data!J111</f>
        <v>72.52</v>
      </c>
      <c r="D109" s="61">
        <f>+Data!K111</f>
        <v>74.3</v>
      </c>
      <c r="E109" s="61">
        <f>+Data!L111</f>
        <v>76.099999999999994</v>
      </c>
      <c r="F109" s="61">
        <f>+Data!M111</f>
        <v>77.84</v>
      </c>
    </row>
    <row r="110" spans="1:6">
      <c r="A110" s="39" t="str">
        <f>+Data!H112</f>
        <v>Virtual Server Administrator (Japan) Mid</v>
      </c>
      <c r="B110" s="61">
        <f>+Data!I112</f>
        <v>81.58</v>
      </c>
      <c r="C110" s="61">
        <f>+Data!J112</f>
        <v>83.63</v>
      </c>
      <c r="D110" s="61">
        <f>+Data!K112</f>
        <v>86.38</v>
      </c>
      <c r="E110" s="61">
        <f>+Data!L112</f>
        <v>89.15</v>
      </c>
      <c r="F110" s="61">
        <f>+Data!M112</f>
        <v>91.65</v>
      </c>
    </row>
    <row r="111" spans="1:6">
      <c r="A111" s="39" t="str">
        <f>+Data!H113</f>
        <v>Virtual Server Administrator (Germany) Mid</v>
      </c>
      <c r="B111" s="61">
        <f>+Data!I113</f>
        <v>81.58</v>
      </c>
      <c r="C111" s="61">
        <f>+Data!J113</f>
        <v>83.63</v>
      </c>
      <c r="D111" s="61">
        <f>+Data!K113</f>
        <v>86.38</v>
      </c>
      <c r="E111" s="61">
        <f>+Data!L113</f>
        <v>89.15</v>
      </c>
      <c r="F111" s="61">
        <f>+Data!M113</f>
        <v>91.65</v>
      </c>
    </row>
    <row r="112" spans="1:6">
      <c r="A112" s="39" t="str">
        <f>+Data!H114</f>
        <v>Virtual Server Administrator Mid</v>
      </c>
      <c r="B112" s="61">
        <f>+Data!I114</f>
        <v>69.58</v>
      </c>
      <c r="C112" s="61">
        <f>+Data!J114</f>
        <v>70.95</v>
      </c>
      <c r="D112" s="61">
        <f>+Data!K114</f>
        <v>72.67</v>
      </c>
      <c r="E112" s="61">
        <f>+Data!L114</f>
        <v>74.41</v>
      </c>
      <c r="F112" s="61">
        <f>+Data!M114</f>
        <v>76.09</v>
      </c>
    </row>
    <row r="113" spans="1:6">
      <c r="A113" s="39" t="str">
        <f>+Data!H115</f>
        <v>Voice Communications Manager Mid</v>
      </c>
      <c r="B113" s="61">
        <f>+Data!I115</f>
        <v>74.12</v>
      </c>
      <c r="C113" s="61">
        <f>+Data!J115</f>
        <v>75.59</v>
      </c>
      <c r="D113" s="61">
        <f>+Data!K115</f>
        <v>77.42</v>
      </c>
      <c r="E113" s="61">
        <f>+Data!L115</f>
        <v>79.27</v>
      </c>
      <c r="F113" s="61">
        <f>+Data!M115</f>
        <v>81.06</v>
      </c>
    </row>
    <row r="114" spans="1:6">
      <c r="A114" s="39" t="str">
        <f>+Data!H116</f>
        <v>Warehouseman Junior</v>
      </c>
      <c r="B114" s="61">
        <f>+Data!I116</f>
        <v>34.74</v>
      </c>
      <c r="C114" s="61">
        <f>+Data!J116</f>
        <v>35.47</v>
      </c>
      <c r="D114" s="61">
        <f>+Data!K116</f>
        <v>36.4</v>
      </c>
      <c r="E114" s="61">
        <f>+Data!L116</f>
        <v>37.340000000000003</v>
      </c>
      <c r="F114" s="61">
        <f>+Data!M116</f>
        <v>38.24</v>
      </c>
    </row>
    <row r="115" spans="1:6">
      <c r="A115" s="39" t="str">
        <f>+Data!H117</f>
        <v>Warehouseman Mid</v>
      </c>
      <c r="B115" s="61">
        <f>+Data!I117</f>
        <v>38.44</v>
      </c>
      <c r="C115" s="61">
        <f>+Data!J117</f>
        <v>39.25</v>
      </c>
      <c r="D115" s="61">
        <f>+Data!K117</f>
        <v>40.29</v>
      </c>
      <c r="E115" s="61">
        <f>+Data!L117</f>
        <v>41.34</v>
      </c>
      <c r="F115" s="61">
        <f>+Data!M117</f>
        <v>42.34</v>
      </c>
    </row>
    <row r="116" spans="1:6" s="196" customFormat="1">
      <c r="B116" s="197"/>
    </row>
  </sheetData>
  <sheetProtection algorithmName="SHA-512" hashValue="fieLEHy4GuevQ7PKeDKn2FoXONRNg8TEW4aRyj0ttXY+a0ned29SstHT5jMdpvucoHfkgIzcA0+5VN19ze7yNg==" saltValue="GJGz2aip2bbY4eHCmd7btw==" spinCount="100000" sheet="1" objects="1" scenarios="1" selectLockedCells="1" selectUnlockedCells="1"/>
  <phoneticPr fontId="6" type="noConversion"/>
  <printOptions horizontalCentered="1"/>
  <pageMargins left="0.25" right="0.25" top="0.5" bottom="0.5" header="0.25" footer="0.25"/>
  <pageSetup scale="98" fitToHeight="0" orientation="portrait" r:id="rId1"/>
  <headerFooter>
    <oddHeader>&amp;C&amp;F</oddHeader>
    <oddFooter>&amp;LAttachment 8 Labor Categories&amp;C&amp;P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M7"/>
  <sheetViews>
    <sheetView showZeros="0" zoomScaleNormal="100" workbookViewId="0">
      <pane xSplit="4" ySplit="2" topLeftCell="E3" activePane="bottomRight" state="frozen"/>
      <selection pane="topRight" activeCell="E1" sqref="E1"/>
      <selection pane="bottomLeft" activeCell="A3" sqref="A3"/>
      <selection pane="bottomRight" activeCell="E1" sqref="E1"/>
    </sheetView>
  </sheetViews>
  <sheetFormatPr defaultColWidth="0" defaultRowHeight="12.5" zeroHeight="1"/>
  <cols>
    <col min="1" max="1" width="6.26953125" style="123" customWidth="1"/>
    <col min="2" max="2" width="70.7265625" style="123" customWidth="1"/>
    <col min="3" max="3" width="68.7265625" style="123" customWidth="1"/>
    <col min="4" max="4" width="10.7265625" style="123" bestFit="1" customWidth="1"/>
    <col min="5" max="5" width="4.26953125" style="123" customWidth="1"/>
    <col min="6" max="8" width="9.1796875" style="123" hidden="1" customWidth="1"/>
    <col min="9" max="13" width="0" style="123" hidden="1" customWidth="1"/>
    <col min="14" max="16384" width="9.1796875" style="123" hidden="1"/>
  </cols>
  <sheetData>
    <row r="1" spans="1:5" ht="14.25" customHeight="1">
      <c r="A1" s="568" t="str">
        <f>CONCATENATE("Version  ",+'Change History'!$A$27)</f>
        <v>Version  4.0</v>
      </c>
      <c r="B1" s="570" t="s">
        <v>195</v>
      </c>
      <c r="C1" s="572" t="s">
        <v>196</v>
      </c>
      <c r="D1" s="570" t="s">
        <v>123</v>
      </c>
      <c r="E1" s="130"/>
    </row>
    <row r="2" spans="1:5" ht="13.5" thickBot="1">
      <c r="A2" s="569"/>
      <c r="B2" s="571"/>
      <c r="C2" s="573"/>
      <c r="D2" s="571"/>
      <c r="E2" s="131"/>
    </row>
    <row r="3" spans="1:5" ht="30" customHeight="1" thickBot="1">
      <c r="A3" s="574" t="s">
        <v>1977</v>
      </c>
      <c r="B3" s="577" t="s">
        <v>1827</v>
      </c>
      <c r="C3" s="578"/>
      <c r="D3" s="579"/>
      <c r="E3" s="132"/>
    </row>
    <row r="4" spans="1:5" ht="25">
      <c r="A4" s="575"/>
      <c r="B4" s="162" t="s">
        <v>1968</v>
      </c>
      <c r="C4" s="227" t="s">
        <v>1828</v>
      </c>
      <c r="D4" s="160">
        <f>Data!F143</f>
        <v>347.22</v>
      </c>
      <c r="E4" s="132"/>
    </row>
    <row r="5" spans="1:5" ht="101.5">
      <c r="A5" s="575"/>
      <c r="B5" s="157" t="s">
        <v>1969</v>
      </c>
      <c r="C5" s="226" t="s">
        <v>1829</v>
      </c>
      <c r="D5" s="151">
        <f>Data!F145</f>
        <v>372.86</v>
      </c>
      <c r="E5" s="132"/>
    </row>
    <row r="6" spans="1:5" ht="102" thickBot="1">
      <c r="A6" s="576"/>
      <c r="B6" s="163" t="s">
        <v>1970</v>
      </c>
      <c r="C6" s="226" t="s">
        <v>1830</v>
      </c>
      <c r="D6" s="161">
        <f>Data!F147</f>
        <v>1534.4</v>
      </c>
      <c r="E6" s="132"/>
    </row>
    <row r="7" spans="1:5" ht="20.149999999999999" customHeight="1">
      <c r="A7" s="135"/>
      <c r="B7" s="135"/>
      <c r="C7" s="135"/>
      <c r="D7" s="135"/>
      <c r="E7" s="135"/>
    </row>
  </sheetData>
  <sheetProtection algorithmName="SHA-512" hashValue="BZvYSXyRUDwmq6xmGDNVDbtpqaSGnPAnSHZ9zJ1i5U1EMKs9NzdPw4DnCrBue+PtKlZlzgSuIjAYQ9t7BlCGDw==" saltValue="dzsu1tFKeJe6flVGVVTaCQ==" spinCount="100000" sheet="1" objects="1" scenarios="1" selectLockedCells="1" selectUnlockedCells="1"/>
  <mergeCells count="6">
    <mergeCell ref="A1:A2"/>
    <mergeCell ref="B1:B2"/>
    <mergeCell ref="C1:C2"/>
    <mergeCell ref="D1:D2"/>
    <mergeCell ref="A3:A6"/>
    <mergeCell ref="B3:D3"/>
  </mergeCells>
  <pageMargins left="0.25" right="0.25" top="0.5" bottom="0.5" header="0.25" footer="0.25"/>
  <pageSetup scale="85" fitToHeight="0" orientation="landscape" r:id="rId1"/>
  <headerFooter>
    <oddHeader>&amp;C&amp;F</oddHeader>
    <oddFooter>&amp;LISP-OSP&amp;CPage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M116"/>
  <sheetViews>
    <sheetView showZeros="0" zoomScaleNormal="100" workbookViewId="0">
      <pane xSplit="1" ySplit="3" topLeftCell="B4" activePane="bottomRight" state="frozen"/>
      <selection pane="topRight" activeCell="B1" sqref="B1"/>
      <selection pane="bottomLeft" activeCell="A4" sqref="A4"/>
      <selection pane="bottomRight" activeCell="E1" sqref="E1"/>
    </sheetView>
  </sheetViews>
  <sheetFormatPr defaultColWidth="0" defaultRowHeight="12.5" zeroHeight="1"/>
  <cols>
    <col min="1" max="1" width="6.26953125" style="123" customWidth="1"/>
    <col min="2" max="2" width="70.7265625" style="123" customWidth="1"/>
    <col min="3" max="3" width="68.7265625" style="123" customWidth="1"/>
    <col min="4" max="4" width="10.7265625" style="123" bestFit="1" customWidth="1"/>
    <col min="5" max="5" width="4.26953125" style="123" customWidth="1"/>
    <col min="6" max="8" width="9.1796875" style="123" hidden="1" customWidth="1"/>
    <col min="9" max="13" width="0" style="123" hidden="1" customWidth="1"/>
    <col min="14" max="16384" width="9.1796875" style="123" hidden="1"/>
  </cols>
  <sheetData>
    <row r="1" spans="1:5" ht="14.25" customHeight="1">
      <c r="A1" s="568" t="str">
        <f>CONCATENATE("Version  ",+'Change History'!$A$27)</f>
        <v>Version  4.0</v>
      </c>
      <c r="B1" s="570" t="s">
        <v>195</v>
      </c>
      <c r="C1" s="572" t="s">
        <v>196</v>
      </c>
      <c r="D1" s="570" t="s">
        <v>123</v>
      </c>
      <c r="E1" s="130"/>
    </row>
    <row r="2" spans="1:5" ht="13.5" thickBot="1">
      <c r="A2" s="569"/>
      <c r="B2" s="571"/>
      <c r="C2" s="573"/>
      <c r="D2" s="571"/>
      <c r="E2" s="131"/>
    </row>
    <row r="3" spans="1:5" ht="16.5" customHeight="1" thickBot="1">
      <c r="A3" s="222"/>
      <c r="B3" s="612" t="s">
        <v>489</v>
      </c>
      <c r="C3" s="612"/>
      <c r="D3" s="613"/>
      <c r="E3" s="131"/>
    </row>
    <row r="4" spans="1:5" ht="14.5" thickBot="1">
      <c r="A4" s="609" t="s">
        <v>16</v>
      </c>
      <c r="B4" s="221" t="s">
        <v>488</v>
      </c>
      <c r="C4" s="221" t="s">
        <v>487</v>
      </c>
      <c r="D4" s="221"/>
      <c r="E4" s="131"/>
    </row>
    <row r="5" spans="1:5" ht="15" customHeight="1">
      <c r="A5" s="610"/>
      <c r="B5" s="129" t="s">
        <v>543</v>
      </c>
      <c r="C5" s="124" t="s">
        <v>2693</v>
      </c>
      <c r="D5" s="125">
        <f>Data!F5</f>
        <v>90.67</v>
      </c>
      <c r="E5" s="132"/>
    </row>
    <row r="6" spans="1:5" ht="15" customHeight="1">
      <c r="A6" s="610"/>
      <c r="B6" s="127" t="s">
        <v>544</v>
      </c>
      <c r="C6" s="126" t="s">
        <v>2694</v>
      </c>
      <c r="D6" s="128">
        <f>Data!F6</f>
        <v>35.86</v>
      </c>
      <c r="E6" s="132"/>
    </row>
    <row r="7" spans="1:5" ht="15" customHeight="1">
      <c r="A7" s="610"/>
      <c r="B7" s="127" t="s">
        <v>545</v>
      </c>
      <c r="C7" s="126" t="s">
        <v>2695</v>
      </c>
      <c r="D7" s="128">
        <f>Data!F7</f>
        <v>50.77</v>
      </c>
      <c r="E7" s="132"/>
    </row>
    <row r="8" spans="1:5" ht="15" customHeight="1">
      <c r="A8" s="610"/>
      <c r="B8" s="127" t="s">
        <v>546</v>
      </c>
      <c r="C8" s="126" t="s">
        <v>2696</v>
      </c>
      <c r="D8" s="128">
        <f>Data!F8</f>
        <v>67.099999999999994</v>
      </c>
      <c r="E8" s="132"/>
    </row>
    <row r="9" spans="1:5" ht="15" customHeight="1" thickBot="1">
      <c r="A9" s="611"/>
      <c r="B9" s="127" t="s">
        <v>547</v>
      </c>
      <c r="C9" s="126" t="s">
        <v>2693</v>
      </c>
      <c r="D9" s="128">
        <f>Data!F9</f>
        <v>90.67</v>
      </c>
      <c r="E9" s="132"/>
    </row>
    <row r="10" spans="1:5" ht="14.15" customHeight="1" thickBot="1">
      <c r="A10" s="614" t="s">
        <v>507</v>
      </c>
      <c r="B10" s="599" t="s">
        <v>238</v>
      </c>
      <c r="C10" s="600"/>
      <c r="D10" s="601"/>
      <c r="E10" s="132"/>
    </row>
    <row r="11" spans="1:5" ht="38.5">
      <c r="A11" s="615"/>
      <c r="B11" s="129" t="str">
        <f>Data!E10</f>
        <v>Copper Test and Label ISP/OSP</v>
      </c>
      <c r="C11" s="338" t="s">
        <v>1740</v>
      </c>
      <c r="D11" s="125">
        <f>Data!F10</f>
        <v>49.56</v>
      </c>
      <c r="E11" s="132"/>
    </row>
    <row r="12" spans="1:5" ht="51">
      <c r="A12" s="615"/>
      <c r="B12" s="127" t="str">
        <f>Data!E11</f>
        <v>Copper Test, label and Repair ISP/OSP</v>
      </c>
      <c r="C12" s="338" t="s">
        <v>1741</v>
      </c>
      <c r="D12" s="128">
        <f>Data!F11</f>
        <v>63.27</v>
      </c>
      <c r="E12" s="132"/>
    </row>
    <row r="13" spans="1:5" ht="25">
      <c r="A13" s="615"/>
      <c r="B13" s="127" t="str">
        <f>Data!E12</f>
        <v>Copper Move, Re-terminate, Test and Label ISP</v>
      </c>
      <c r="C13" s="339" t="s">
        <v>413</v>
      </c>
      <c r="D13" s="128">
        <f>Data!F12</f>
        <v>164.49</v>
      </c>
      <c r="E13" s="132"/>
    </row>
    <row r="14" spans="1:5" ht="38">
      <c r="A14" s="615"/>
      <c r="B14" s="127" t="str">
        <f>Data!E13</f>
        <v>Copper Test, Condition, Label and Re-terminate ISP/OSP</v>
      </c>
      <c r="C14" s="339" t="s">
        <v>491</v>
      </c>
      <c r="D14" s="128">
        <f>Data!F13</f>
        <v>151.84</v>
      </c>
      <c r="E14" s="132"/>
    </row>
    <row r="15" spans="1:5" ht="60" customHeight="1">
      <c r="A15" s="615"/>
      <c r="B15" s="127" t="str">
        <f>Data!E14</f>
        <v>Copper ISP Extension Install CAT 5e CMR/Non-Plenum</v>
      </c>
      <c r="C15" s="223" t="s">
        <v>492</v>
      </c>
      <c r="D15" s="128">
        <f>Data!F14</f>
        <v>63.27</v>
      </c>
      <c r="E15" s="132"/>
    </row>
    <row r="16" spans="1:5" ht="45" customHeight="1">
      <c r="A16" s="615"/>
      <c r="B16" s="127" t="str">
        <f>Data!E15</f>
        <v>Copper ISP Extension Install CAT 5e CMP/Plenum</v>
      </c>
      <c r="C16" s="339" t="s">
        <v>493</v>
      </c>
      <c r="D16" s="128">
        <f>Data!F15</f>
        <v>63.27</v>
      </c>
      <c r="E16" s="132"/>
    </row>
    <row r="17" spans="1:5" ht="45" customHeight="1">
      <c r="A17" s="615"/>
      <c r="B17" s="127" t="str">
        <f>Data!E16</f>
        <v>Copper ISP Extension Install CAT 6 CMR/Non-Plenum</v>
      </c>
      <c r="C17" s="223" t="s">
        <v>494</v>
      </c>
      <c r="D17" s="128">
        <f>Data!F16</f>
        <v>63.27</v>
      </c>
      <c r="E17" s="132"/>
    </row>
    <row r="18" spans="1:5" ht="45" customHeight="1">
      <c r="A18" s="615"/>
      <c r="B18" s="127" t="str">
        <f>Data!E17</f>
        <v>Copper ISP Extension Install CAT 6 CMP/Plenum</v>
      </c>
      <c r="C18" s="223" t="s">
        <v>495</v>
      </c>
      <c r="D18" s="128">
        <f>Data!F17</f>
        <v>63.27</v>
      </c>
      <c r="E18" s="132"/>
    </row>
    <row r="19" spans="1:5" ht="37.5">
      <c r="A19" s="615"/>
      <c r="B19" s="127" t="str">
        <f>Data!E18</f>
        <v>Copper ISP Removal</v>
      </c>
      <c r="C19" s="338" t="s">
        <v>1742</v>
      </c>
      <c r="D19" s="128">
        <f>Data!F18</f>
        <v>126.53</v>
      </c>
      <c r="E19" s="132"/>
    </row>
    <row r="20" spans="1:5" ht="38.5">
      <c r="A20" s="615"/>
      <c r="B20" s="127" t="str">
        <f>Data!E19</f>
        <v>24 Port Patch Panel- Copper CAT 5e</v>
      </c>
      <c r="C20" s="340" t="s">
        <v>1743</v>
      </c>
      <c r="D20" s="128">
        <f>Data!F19</f>
        <v>30.48</v>
      </c>
      <c r="E20" s="132"/>
    </row>
    <row r="21" spans="1:5" ht="38.5">
      <c r="A21" s="615"/>
      <c r="B21" s="127" t="str">
        <f>Data!E20</f>
        <v>48 Port Patch Panel- Copper CAT 5e</v>
      </c>
      <c r="C21" s="338" t="s">
        <v>1744</v>
      </c>
      <c r="D21" s="128">
        <f>Data!F20</f>
        <v>30.48</v>
      </c>
      <c r="E21" s="132"/>
    </row>
    <row r="22" spans="1:5" ht="38.5">
      <c r="A22" s="615"/>
      <c r="B22" s="127" t="str">
        <f>Data!E21</f>
        <v>24 Port Patch Panel- Copper CAT 6</v>
      </c>
      <c r="C22" s="338" t="s">
        <v>1745</v>
      </c>
      <c r="D22" s="128">
        <f>Data!F21</f>
        <v>30.48</v>
      </c>
      <c r="E22" s="132"/>
    </row>
    <row r="23" spans="1:5" ht="38.5">
      <c r="A23" s="615"/>
      <c r="B23" s="127" t="str">
        <f>Data!E22</f>
        <v>48 Port Patch Panel- Copper CAT 6</v>
      </c>
      <c r="C23" s="338" t="s">
        <v>1746</v>
      </c>
      <c r="D23" s="128">
        <f>Data!F22</f>
        <v>30.48</v>
      </c>
      <c r="E23" s="132"/>
    </row>
    <row r="24" spans="1:5" ht="51">
      <c r="A24" s="615"/>
      <c r="B24" s="127" t="str">
        <f>Data!E23</f>
        <v>24 Port Patch Panel- Copper CAT 5e w/ 1U Wire Manager</v>
      </c>
      <c r="C24" s="223" t="s">
        <v>1797</v>
      </c>
      <c r="D24" s="128">
        <f>Data!F23</f>
        <v>30.48</v>
      </c>
      <c r="E24" s="132"/>
    </row>
    <row r="25" spans="1:5" ht="51" customHeight="1">
      <c r="A25" s="615"/>
      <c r="B25" s="127" t="str">
        <f>Data!E24</f>
        <v>48 Port Patch Panel- Copper CAT 5e w/ 2U Wire Manager</v>
      </c>
      <c r="C25" s="223" t="s">
        <v>1798</v>
      </c>
      <c r="D25" s="128">
        <f>Data!F24</f>
        <v>30.48</v>
      </c>
      <c r="E25" s="132"/>
    </row>
    <row r="26" spans="1:5" ht="51" customHeight="1">
      <c r="A26" s="615"/>
      <c r="B26" s="127" t="str">
        <f>Data!E25</f>
        <v>24 Port Patch Panel- Copper CAT 6 w/ 1U Wire Manager</v>
      </c>
      <c r="C26" s="223" t="s">
        <v>1799</v>
      </c>
      <c r="D26" s="128">
        <f>Data!F25</f>
        <v>30.48</v>
      </c>
      <c r="E26" s="132"/>
    </row>
    <row r="27" spans="1:5" ht="51" customHeight="1">
      <c r="A27" s="615"/>
      <c r="B27" s="127" t="str">
        <f>Data!E26</f>
        <v>48 Port Patch Panel- Copper CAT 6 w/ 2U Wire Manager</v>
      </c>
      <c r="C27" s="223" t="s">
        <v>1800</v>
      </c>
      <c r="D27" s="128">
        <f>Data!F26</f>
        <v>30.48</v>
      </c>
      <c r="E27" s="132"/>
    </row>
    <row r="28" spans="1:5" ht="25">
      <c r="A28" s="615"/>
      <c r="B28" s="127" t="str">
        <f>Data!E27</f>
        <v>1U Wire Manager</v>
      </c>
      <c r="C28" s="339" t="s">
        <v>1747</v>
      </c>
      <c r="D28" s="128">
        <f>Data!F27</f>
        <v>30.48</v>
      </c>
      <c r="E28" s="132"/>
    </row>
    <row r="29" spans="1:5" ht="25">
      <c r="A29" s="615"/>
      <c r="B29" s="127" t="str">
        <f>Data!E28</f>
        <v>2U Wire Manager</v>
      </c>
      <c r="C29" s="339" t="s">
        <v>1748</v>
      </c>
      <c r="D29" s="128">
        <f>Data!F28</f>
        <v>30.48</v>
      </c>
      <c r="E29" s="132"/>
    </row>
    <row r="30" spans="1:5" ht="37.5">
      <c r="A30" s="615"/>
      <c r="B30" s="127" t="str">
        <f>Data!E29</f>
        <v>ISP Uninstall (coiled up for re-use)</v>
      </c>
      <c r="C30" s="338" t="s">
        <v>1749</v>
      </c>
      <c r="D30" s="128">
        <f>Data!F29</f>
        <v>107.55</v>
      </c>
      <c r="E30" s="132"/>
    </row>
    <row r="31" spans="1:5" ht="37.5">
      <c r="A31" s="615"/>
      <c r="B31" s="127" t="str">
        <f>Data!E30</f>
        <v>One Port Copper ISP (CAT 5e or CAT 6) Termination/Labeling at the Patch Panel</v>
      </c>
      <c r="C31" s="339" t="s">
        <v>496</v>
      </c>
      <c r="D31" s="128">
        <f>Data!F30</f>
        <v>90.67</v>
      </c>
      <c r="E31" s="132"/>
    </row>
    <row r="32" spans="1:5" ht="50.5" thickBot="1">
      <c r="A32" s="616"/>
      <c r="B32" s="127" t="str">
        <f>Data!E31</f>
        <v>Two Port Copper ISP (CAT 5e or CAT 6) Termination/Labeling at the Patch Panel</v>
      </c>
      <c r="C32" s="339" t="s">
        <v>497</v>
      </c>
      <c r="D32" s="128">
        <f>Data!F31</f>
        <v>113.34</v>
      </c>
      <c r="E32" s="132"/>
    </row>
    <row r="33" spans="1:5" ht="14.15" customHeight="1" thickBot="1">
      <c r="A33" s="596" t="s">
        <v>506</v>
      </c>
      <c r="B33" s="581" t="s">
        <v>239</v>
      </c>
      <c r="C33" s="582"/>
      <c r="D33" s="583"/>
      <c r="E33" s="132"/>
    </row>
    <row r="34" spans="1:5" ht="25.5">
      <c r="A34" s="597"/>
      <c r="B34" s="127" t="str">
        <f>Data!E32</f>
        <v>Fiber Test and Label Desktop ISP (2-strands)</v>
      </c>
      <c r="C34" s="339" t="s">
        <v>499</v>
      </c>
      <c r="D34" s="164">
        <f>Data!F32</f>
        <v>68</v>
      </c>
      <c r="E34" s="132"/>
    </row>
    <row r="35" spans="1:5" ht="38.5">
      <c r="A35" s="597"/>
      <c r="B35" s="127" t="str">
        <f>Data!E33</f>
        <v>Fiber Test, Label and Repair Desktop ISP (2-strands)</v>
      </c>
      <c r="C35" s="338" t="s">
        <v>1750</v>
      </c>
      <c r="D35" s="164">
        <f>Data!F33</f>
        <v>101.22</v>
      </c>
      <c r="E35" s="132"/>
    </row>
    <row r="36" spans="1:5" ht="50">
      <c r="A36" s="597"/>
      <c r="B36" s="127" t="str">
        <f>Data!E34</f>
        <v>Fiber Move, terminate, Test and Label ISP (4-strands)</v>
      </c>
      <c r="C36" s="338" t="s">
        <v>1751</v>
      </c>
      <c r="D36" s="164">
        <f>Data!F34</f>
        <v>189.8</v>
      </c>
      <c r="E36" s="132"/>
    </row>
    <row r="37" spans="1:5" ht="37.5">
      <c r="A37" s="597"/>
      <c r="B37" s="127" t="str">
        <f>Data!E35</f>
        <v>Fiber ISP Removal</v>
      </c>
      <c r="C37" s="338" t="s">
        <v>1752</v>
      </c>
      <c r="D37" s="164">
        <f>Data!F35</f>
        <v>158.16</v>
      </c>
      <c r="E37" s="132"/>
    </row>
    <row r="38" spans="1:5" ht="38.5">
      <c r="A38" s="597"/>
      <c r="B38" s="127" t="str">
        <f>Data!E36</f>
        <v>24 Port Patch Panel- Fiber</v>
      </c>
      <c r="C38" s="338" t="s">
        <v>1753</v>
      </c>
      <c r="D38" s="164">
        <f>Data!F36</f>
        <v>30.48</v>
      </c>
      <c r="E38" s="132"/>
    </row>
    <row r="39" spans="1:5" ht="38.5">
      <c r="A39" s="597"/>
      <c r="B39" s="127" t="str">
        <f>Data!E37</f>
        <v>48 Port Patch Panel- Fiber</v>
      </c>
      <c r="C39" s="338" t="s">
        <v>1754</v>
      </c>
      <c r="D39" s="164">
        <f>Data!F37</f>
        <v>30.48</v>
      </c>
      <c r="E39" s="132"/>
    </row>
    <row r="40" spans="1:5" ht="13">
      <c r="A40" s="597"/>
      <c r="B40" s="127" t="str">
        <f>Data!E38</f>
        <v>Fiber Bulkhead</v>
      </c>
      <c r="C40" s="338" t="s">
        <v>1755</v>
      </c>
      <c r="D40" s="164">
        <f>Data!F38</f>
        <v>30.48</v>
      </c>
      <c r="E40" s="132"/>
    </row>
    <row r="41" spans="1:5" ht="37.5">
      <c r="A41" s="597"/>
      <c r="B41" s="127" t="str">
        <f>Data!E39</f>
        <v>Two Strands Fiber ISP Termination/Labeling at the Patch Panel</v>
      </c>
      <c r="C41" s="339" t="s">
        <v>500</v>
      </c>
      <c r="D41" s="164">
        <f>Data!F39</f>
        <v>113.34</v>
      </c>
      <c r="E41" s="132"/>
    </row>
    <row r="42" spans="1:5" ht="38" thickBot="1">
      <c r="A42" s="598"/>
      <c r="B42" s="127" t="str">
        <f>Data!E40</f>
        <v>Four Strands Fiber ISP Termination/Labeling at the Patch Panel</v>
      </c>
      <c r="C42" s="339" t="s">
        <v>501</v>
      </c>
      <c r="D42" s="164">
        <f>Data!F40</f>
        <v>136.01</v>
      </c>
      <c r="E42" s="132"/>
    </row>
    <row r="43" spans="1:5" ht="30" customHeight="1" thickBot="1">
      <c r="A43" s="605" t="s">
        <v>212</v>
      </c>
      <c r="B43" s="584" t="s">
        <v>498</v>
      </c>
      <c r="C43" s="585"/>
      <c r="D43" s="586"/>
      <c r="E43" s="132"/>
    </row>
    <row r="44" spans="1:5" ht="37.5">
      <c r="A44" s="606"/>
      <c r="B44" s="162" t="str">
        <f>Data!E41</f>
        <v>Fiber Tie Test, Label ISP/OSP - 1 Strand</v>
      </c>
      <c r="C44" s="341" t="s">
        <v>414</v>
      </c>
      <c r="D44" s="160">
        <f>Data!F41</f>
        <v>90.67</v>
      </c>
      <c r="E44" s="132"/>
    </row>
    <row r="45" spans="1:5" ht="37.5">
      <c r="A45" s="606"/>
      <c r="B45" s="157" t="str">
        <f>Data!E42</f>
        <v>Fiber Tie Test, Label ISP/OSP - 6 Strands</v>
      </c>
      <c r="C45" s="339" t="s">
        <v>415</v>
      </c>
      <c r="D45" s="151">
        <f>Data!F42</f>
        <v>163.21</v>
      </c>
      <c r="E45" s="132"/>
    </row>
    <row r="46" spans="1:5" ht="37.5">
      <c r="A46" s="606"/>
      <c r="B46" s="157" t="str">
        <f>Data!E43</f>
        <v>Fiber Tie Test, Label ISP/OSP - 12 Strands</v>
      </c>
      <c r="C46" s="339" t="s">
        <v>416</v>
      </c>
      <c r="D46" s="151">
        <f>Data!F43</f>
        <v>272.01</v>
      </c>
      <c r="E46" s="132"/>
    </row>
    <row r="47" spans="1:5" ht="37.5">
      <c r="A47" s="606"/>
      <c r="B47" s="157" t="str">
        <f>Data!E44</f>
        <v>Fiber Tie Test, Label ISP/OSP - 24 Strands</v>
      </c>
      <c r="C47" s="339" t="s">
        <v>417</v>
      </c>
      <c r="D47" s="151">
        <f>Data!F44</f>
        <v>426.15</v>
      </c>
      <c r="E47" s="132"/>
    </row>
    <row r="48" spans="1:5" ht="37.5">
      <c r="A48" s="606"/>
      <c r="B48" s="157" t="str">
        <f>Data!E45</f>
        <v>Fiber Tie Test, Label ISP/OSP - 36 Strands</v>
      </c>
      <c r="C48" s="339" t="s">
        <v>418</v>
      </c>
      <c r="D48" s="151">
        <f>Data!F45</f>
        <v>566.69000000000005</v>
      </c>
      <c r="E48" s="132"/>
    </row>
    <row r="49" spans="1:5" ht="37.5">
      <c r="A49" s="606"/>
      <c r="B49" s="157" t="str">
        <f>Data!E46</f>
        <v>Fiber Tie Test, Label ISP/OSP - 48 Strands</v>
      </c>
      <c r="C49" s="339" t="s">
        <v>419</v>
      </c>
      <c r="D49" s="151">
        <f>Data!F46</f>
        <v>702.69</v>
      </c>
      <c r="E49" s="132"/>
    </row>
    <row r="50" spans="1:5" ht="38" thickBot="1">
      <c r="A50" s="607"/>
      <c r="B50" s="163" t="str">
        <f>Data!E47</f>
        <v>Fiber Tie Test, Label ISP/OSP - 72 Strands</v>
      </c>
      <c r="C50" s="339" t="s">
        <v>420</v>
      </c>
      <c r="D50" s="161">
        <f>Data!F47</f>
        <v>1156.04</v>
      </c>
      <c r="E50" s="132"/>
    </row>
    <row r="51" spans="1:5" ht="30" customHeight="1" thickBot="1">
      <c r="A51" s="608" t="s">
        <v>213</v>
      </c>
      <c r="B51" s="602" t="s">
        <v>502</v>
      </c>
      <c r="C51" s="603"/>
      <c r="D51" s="604"/>
      <c r="E51" s="132"/>
    </row>
    <row r="52" spans="1:5" ht="38" thickBot="1">
      <c r="A52" s="608"/>
      <c r="B52" s="156" t="str">
        <f>Data!E48</f>
        <v>Fiber Test, Label and Re-terminate ISP/OSP - 1 Strand</v>
      </c>
      <c r="C52" s="341" t="s">
        <v>421</v>
      </c>
      <c r="D52" s="150">
        <f>Data!F48</f>
        <v>90.67</v>
      </c>
      <c r="E52" s="132"/>
    </row>
    <row r="53" spans="1:5" ht="38" thickBot="1">
      <c r="A53" s="608"/>
      <c r="B53" s="157" t="str">
        <f>Data!E49</f>
        <v>Fiber Test, Label and Re-terminate ISP/OSP - 6 Strands</v>
      </c>
      <c r="C53" s="339" t="s">
        <v>422</v>
      </c>
      <c r="D53" s="151">
        <f>Data!F49</f>
        <v>249.34</v>
      </c>
      <c r="E53" s="132"/>
    </row>
    <row r="54" spans="1:5" ht="38" thickBot="1">
      <c r="A54" s="608"/>
      <c r="B54" s="157" t="str">
        <f>Data!E50</f>
        <v>Fiber Test, Label and Terminate\Re-terminate ISP/OSP - 12 Strands</v>
      </c>
      <c r="C54" s="339" t="s">
        <v>423</v>
      </c>
      <c r="D54" s="151">
        <f>Data!F50</f>
        <v>421.62</v>
      </c>
      <c r="E54" s="132"/>
    </row>
    <row r="55" spans="1:5" ht="38" thickBot="1">
      <c r="A55" s="608"/>
      <c r="B55" s="157" t="str">
        <f>Data!E51</f>
        <v>Fiber Test, Label and Re-terminate ISP/OSP - 24 Strands</v>
      </c>
      <c r="C55" s="339" t="s">
        <v>424</v>
      </c>
      <c r="D55" s="151">
        <f>Data!F51</f>
        <v>752.56</v>
      </c>
      <c r="E55" s="132"/>
    </row>
    <row r="56" spans="1:5" ht="38" thickBot="1">
      <c r="A56" s="608"/>
      <c r="B56" s="157" t="str">
        <f>Data!E52</f>
        <v>Fiber Test, Label and Re-terminate ISP/OSP - 36 Strands</v>
      </c>
      <c r="C56" s="339" t="s">
        <v>425</v>
      </c>
      <c r="D56" s="151">
        <f>Data!F52</f>
        <v>816.03</v>
      </c>
      <c r="E56" s="132"/>
    </row>
    <row r="57" spans="1:5" ht="38" thickBot="1">
      <c r="A57" s="608"/>
      <c r="B57" s="157" t="str">
        <f>Data!E53</f>
        <v>Fiber Test, Label and Re-terminate ISP/OSP - 48 Strands</v>
      </c>
      <c r="C57" s="339" t="s">
        <v>426</v>
      </c>
      <c r="D57" s="151">
        <f>Data!F53</f>
        <v>1178.71</v>
      </c>
      <c r="E57" s="132"/>
    </row>
    <row r="58" spans="1:5" ht="38" thickBot="1">
      <c r="A58" s="608"/>
      <c r="B58" s="158" t="str">
        <f>Data!E54</f>
        <v>Fiber Test, Label and Re-terminate ISP/OSP - 72 Strands</v>
      </c>
      <c r="C58" s="339" t="s">
        <v>427</v>
      </c>
      <c r="D58" s="154">
        <f>Data!F54</f>
        <v>1745.4</v>
      </c>
      <c r="E58" s="132"/>
    </row>
    <row r="59" spans="1:5" ht="45" customHeight="1" thickBot="1">
      <c r="A59" s="580" t="s">
        <v>214</v>
      </c>
      <c r="B59" s="587" t="s">
        <v>504</v>
      </c>
      <c r="C59" s="588"/>
      <c r="D59" s="589"/>
      <c r="E59" s="132"/>
    </row>
    <row r="60" spans="1:5" ht="13.5" thickBot="1">
      <c r="A60" s="580"/>
      <c r="B60" s="156" t="str">
        <f>Data!E55</f>
        <v>Fiber ISP Tie Cable Install - 12 Strands Multi-Mode, CMR/Non-Plenum - per foot</v>
      </c>
      <c r="C60" s="224" t="s">
        <v>1756</v>
      </c>
      <c r="D60" s="150">
        <f>Data!F55</f>
        <v>3.63</v>
      </c>
      <c r="E60" s="132"/>
    </row>
    <row r="61" spans="1:5" ht="13.5" thickBot="1">
      <c r="A61" s="580"/>
      <c r="B61" s="157" t="str">
        <f>Data!E56</f>
        <v>Fiber ISP Tie Cable Install - 12 Strands Single Mode, CMR/Non-Plenum - per foot</v>
      </c>
      <c r="C61" s="225" t="s">
        <v>1757</v>
      </c>
      <c r="D61" s="151">
        <f>Data!F56</f>
        <v>3.63</v>
      </c>
      <c r="E61" s="132"/>
    </row>
    <row r="62" spans="1:5" ht="13.5" thickBot="1">
      <c r="A62" s="580"/>
      <c r="B62" s="157" t="str">
        <f>Data!E57</f>
        <v>Fiber ISP Tie Cable Install - 24 Strands Multi-Mode, CMR/Non-Plenum - per foot</v>
      </c>
      <c r="C62" s="225" t="s">
        <v>1758</v>
      </c>
      <c r="D62" s="151">
        <f>Data!F57</f>
        <v>3.63</v>
      </c>
      <c r="E62" s="132"/>
    </row>
    <row r="63" spans="1:5" ht="13.5" thickBot="1">
      <c r="A63" s="580"/>
      <c r="B63" s="157" t="str">
        <f>Data!E58</f>
        <v>Fiber ISP Tie Cable Install - 24 Strands Single Mode, CMR/Non-Plenum - per foot</v>
      </c>
      <c r="C63" s="225" t="s">
        <v>1759</v>
      </c>
      <c r="D63" s="151">
        <f>Data!F58</f>
        <v>3.63</v>
      </c>
      <c r="E63" s="132"/>
    </row>
    <row r="64" spans="1:5" ht="13.5" thickBot="1">
      <c r="A64" s="580"/>
      <c r="B64" s="157" t="str">
        <f>Data!E59</f>
        <v>Fiber ISP Tie Cable Install - 36 Strands Multi-Mode, CMR/Non-Plenum - per foot</v>
      </c>
      <c r="C64" s="225" t="s">
        <v>1760</v>
      </c>
      <c r="D64" s="151">
        <f>Data!F59</f>
        <v>4.53</v>
      </c>
      <c r="E64" s="132"/>
    </row>
    <row r="65" spans="1:5" ht="13.5" thickBot="1">
      <c r="A65" s="580"/>
      <c r="B65" s="157" t="str">
        <f>Data!E60</f>
        <v>Fiber ISP Tie Cable Install - 36 Strands Single Mode, CMR/Non-Plenum - per foot</v>
      </c>
      <c r="C65" s="225" t="s">
        <v>1761</v>
      </c>
      <c r="D65" s="151">
        <f>Data!F60</f>
        <v>4.53</v>
      </c>
      <c r="E65" s="132"/>
    </row>
    <row r="66" spans="1:5" ht="13.5" thickBot="1">
      <c r="A66" s="580"/>
      <c r="B66" s="157" t="str">
        <f>Data!E61</f>
        <v>Fiber ISP Tie Cable Install - 48 Strands Multi-Mode, CMR/Non-Plenum - per foot</v>
      </c>
      <c r="C66" s="225" t="s">
        <v>1762</v>
      </c>
      <c r="D66" s="151">
        <f>Data!F61</f>
        <v>5.44</v>
      </c>
      <c r="E66" s="132"/>
    </row>
    <row r="67" spans="1:5" ht="13.5" thickBot="1">
      <c r="A67" s="580"/>
      <c r="B67" s="167" t="str">
        <f>Data!E62</f>
        <v>Fiber ISP Tie Cable Install - 48 Strands Single Mode, CMR/Non-Plenum - per foot</v>
      </c>
      <c r="C67" s="225" t="s">
        <v>1763</v>
      </c>
      <c r="D67" s="166">
        <f>Data!F62</f>
        <v>5.44</v>
      </c>
      <c r="E67" s="132"/>
    </row>
    <row r="68" spans="1:5" ht="13.5" thickBot="1">
      <c r="A68" s="580"/>
      <c r="B68" s="167" t="str">
        <f>Data!E63</f>
        <v>Fiber ISP Tie Cable Install - 72 Strands Multi-Mode, CMR/Non-Plenum - per foot</v>
      </c>
      <c r="C68" s="225" t="s">
        <v>1764</v>
      </c>
      <c r="D68" s="166">
        <f>Data!F63</f>
        <v>6.35</v>
      </c>
      <c r="E68" s="132"/>
    </row>
    <row r="69" spans="1:5" ht="13.5" thickBot="1">
      <c r="A69" s="580"/>
      <c r="B69" s="167" t="str">
        <f>Data!E64</f>
        <v>Fiber ISP Tie Cable Install - 72 Strands Single Mode, CMR/Non-Plenum - per foot</v>
      </c>
      <c r="C69" s="225" t="s">
        <v>1765</v>
      </c>
      <c r="D69" s="166">
        <f>Data!F64</f>
        <v>6.35</v>
      </c>
      <c r="E69" s="132"/>
    </row>
    <row r="70" spans="1:5" ht="13.5" thickBot="1">
      <c r="A70" s="580"/>
      <c r="B70" s="167" t="str">
        <f>Data!E65</f>
        <v>Fiber ISP Tie Cable Install - 12 Strands Multi-Mode, CMP/Plenum - per foot</v>
      </c>
      <c r="C70" s="225" t="s">
        <v>1766</v>
      </c>
      <c r="D70" s="166">
        <f>Data!F65</f>
        <v>3.63</v>
      </c>
      <c r="E70" s="132"/>
    </row>
    <row r="71" spans="1:5" ht="13.5" thickBot="1">
      <c r="A71" s="580"/>
      <c r="B71" s="167" t="str">
        <f>Data!E66</f>
        <v>Fiber ISP Tie Cable Install - 12 Strands Single Mode, CMP/Plenum - per foot</v>
      </c>
      <c r="C71" s="225" t="s">
        <v>1767</v>
      </c>
      <c r="D71" s="166">
        <f>Data!F66</f>
        <v>3.63</v>
      </c>
      <c r="E71" s="132"/>
    </row>
    <row r="72" spans="1:5" ht="13.5" thickBot="1">
      <c r="A72" s="580"/>
      <c r="B72" s="167" t="str">
        <f>Data!E67</f>
        <v>Fiber ISP Tie Cable Install - 24 Strands Multi-Mode, CMP/Plenum - per foot</v>
      </c>
      <c r="C72" s="225" t="s">
        <v>1768</v>
      </c>
      <c r="D72" s="166">
        <f>Data!F67</f>
        <v>3.63</v>
      </c>
      <c r="E72" s="132"/>
    </row>
    <row r="73" spans="1:5" ht="13.5" thickBot="1">
      <c r="A73" s="580"/>
      <c r="B73" s="167" t="str">
        <f>Data!E68</f>
        <v>Fiber ISP Tie Cable Install - 24 Strands Single Mode, CMP/Plenum - per foot</v>
      </c>
      <c r="C73" s="225" t="s">
        <v>1769</v>
      </c>
      <c r="D73" s="166">
        <f>Data!F68</f>
        <v>3.63</v>
      </c>
      <c r="E73" s="132"/>
    </row>
    <row r="74" spans="1:5" ht="13.5" thickBot="1">
      <c r="A74" s="580"/>
      <c r="B74" s="167" t="str">
        <f>Data!E69</f>
        <v>Fiber ISP Tie Cable Install - 36 Strands Multi-Mode, CMP/Plenum - per foot</v>
      </c>
      <c r="C74" s="225" t="s">
        <v>1770</v>
      </c>
      <c r="D74" s="166">
        <f>Data!F69</f>
        <v>4.53</v>
      </c>
      <c r="E74" s="132"/>
    </row>
    <row r="75" spans="1:5" ht="13.5" thickBot="1">
      <c r="A75" s="580"/>
      <c r="B75" s="167" t="str">
        <f>Data!E70</f>
        <v>Fiber ISP Tie Cable Install - 36 Strands Single Mode, CMP/Plenum - per foot</v>
      </c>
      <c r="C75" s="225" t="s">
        <v>1771</v>
      </c>
      <c r="D75" s="166">
        <f>Data!F70</f>
        <v>4.53</v>
      </c>
      <c r="E75" s="132"/>
    </row>
    <row r="76" spans="1:5" ht="13.5" thickBot="1">
      <c r="A76" s="580"/>
      <c r="B76" s="167" t="str">
        <f>Data!E71</f>
        <v>Fiber ISP Tie Cable Install - 48 Strands Multi-Mode, CMP/Plenum - per foot</v>
      </c>
      <c r="C76" s="225" t="s">
        <v>1772</v>
      </c>
      <c r="D76" s="166">
        <f>Data!F71</f>
        <v>5.44</v>
      </c>
      <c r="E76" s="132"/>
    </row>
    <row r="77" spans="1:5" ht="13.5" thickBot="1">
      <c r="A77" s="580"/>
      <c r="B77" s="167" t="str">
        <f>Data!E72</f>
        <v>Fiber ISP Tie Cable Install - 48 Strands Single Mode, CMP/Plenum - per foot</v>
      </c>
      <c r="C77" s="225" t="s">
        <v>1773</v>
      </c>
      <c r="D77" s="166">
        <f>Data!F72</f>
        <v>5.44</v>
      </c>
      <c r="E77" s="132"/>
    </row>
    <row r="78" spans="1:5" ht="13.5" thickBot="1">
      <c r="A78" s="580"/>
      <c r="B78" s="167" t="str">
        <f>Data!E73</f>
        <v>Fiber ISP Tie Cable Install - 72 Strands Multi-Mode, CMP/Plenum - per foot</v>
      </c>
      <c r="C78" s="225" t="s">
        <v>1774</v>
      </c>
      <c r="D78" s="166">
        <f>Data!F73</f>
        <v>6.35</v>
      </c>
      <c r="E78" s="132"/>
    </row>
    <row r="79" spans="1:5" ht="13.5" thickBot="1">
      <c r="A79" s="580"/>
      <c r="B79" s="167" t="str">
        <f>Data!E74</f>
        <v>Fiber ISP Tie Cable Install - 72 Strands Single Mode, CMP/Plenum - per foot</v>
      </c>
      <c r="C79" s="225" t="s">
        <v>1775</v>
      </c>
      <c r="D79" s="166">
        <f>Data!F74</f>
        <v>6.35</v>
      </c>
      <c r="E79" s="132"/>
    </row>
    <row r="80" spans="1:5" ht="30" customHeight="1" thickBot="1">
      <c r="A80" s="580"/>
      <c r="B80" s="167" t="str">
        <f>Data!E75</f>
        <v>ISP Tie Setup Charge</v>
      </c>
      <c r="C80" s="225" t="s">
        <v>503</v>
      </c>
      <c r="D80" s="166">
        <f>Data!F75</f>
        <v>340.01</v>
      </c>
      <c r="E80" s="132"/>
    </row>
    <row r="81" spans="1:5" ht="13.5" thickBot="1">
      <c r="A81" s="580"/>
      <c r="B81" s="167" t="str">
        <f>Data!E76</f>
        <v>Non-Plenum Innerduct - per foot</v>
      </c>
      <c r="C81" s="225" t="s">
        <v>1777</v>
      </c>
      <c r="D81" s="166">
        <f>Data!F76</f>
        <v>4.53</v>
      </c>
      <c r="E81" s="132"/>
    </row>
    <row r="82" spans="1:5" ht="13.5" thickBot="1">
      <c r="A82" s="580"/>
      <c r="B82" s="158" t="str">
        <f>Data!E77</f>
        <v>Plenum Innerduct - per foot</v>
      </c>
      <c r="C82" s="338" t="s">
        <v>1776</v>
      </c>
      <c r="D82" s="154">
        <f>Data!F77</f>
        <v>4.53</v>
      </c>
      <c r="E82" s="133"/>
    </row>
    <row r="83" spans="1:5" ht="14.15" customHeight="1" thickBot="1">
      <c r="A83" s="574" t="s">
        <v>259</v>
      </c>
      <c r="B83" s="590" t="s">
        <v>240</v>
      </c>
      <c r="C83" s="591"/>
      <c r="D83" s="592"/>
      <c r="E83" s="132"/>
    </row>
    <row r="84" spans="1:5" ht="30" customHeight="1" thickBot="1">
      <c r="A84" s="575"/>
      <c r="B84" s="156" t="str">
        <f>Data!E88</f>
        <v>OSP Setup Charge</v>
      </c>
      <c r="C84" s="226" t="s">
        <v>508</v>
      </c>
      <c r="D84" s="150">
        <f>Data!F88</f>
        <v>362.68</v>
      </c>
      <c r="E84" s="132"/>
    </row>
    <row r="85" spans="1:5" ht="75" customHeight="1" thickBot="1">
      <c r="A85" s="575"/>
      <c r="B85" s="577" t="s">
        <v>505</v>
      </c>
      <c r="C85" s="578"/>
      <c r="D85" s="579"/>
      <c r="E85" s="132"/>
    </row>
    <row r="86" spans="1:5" ht="13">
      <c r="A86" s="575"/>
      <c r="B86" s="156" t="str">
        <f>Data!E78</f>
        <v xml:space="preserve">Fiber OSP Install- 12 Strand Multi-Mode - per foot </v>
      </c>
      <c r="C86" s="227" t="s">
        <v>428</v>
      </c>
      <c r="D86" s="150">
        <f>Data!F78</f>
        <v>5.44</v>
      </c>
      <c r="E86" s="132"/>
    </row>
    <row r="87" spans="1:5" ht="13">
      <c r="A87" s="575"/>
      <c r="B87" s="157" t="str">
        <f>Data!E79</f>
        <v>Fiber OSP Install- 12 Strand Single Mode - per foot</v>
      </c>
      <c r="C87" s="226" t="s">
        <v>429</v>
      </c>
      <c r="D87" s="151">
        <f>Data!F79</f>
        <v>5.44</v>
      </c>
      <c r="E87" s="132"/>
    </row>
    <row r="88" spans="1:5" ht="13">
      <c r="A88" s="575"/>
      <c r="B88" s="157" t="str">
        <f>Data!E80</f>
        <v xml:space="preserve">Fiber OSP Install- 24 Strand Multi-Mode - per foot </v>
      </c>
      <c r="C88" s="226" t="s">
        <v>430</v>
      </c>
      <c r="D88" s="151">
        <f>Data!F80</f>
        <v>7.25</v>
      </c>
      <c r="E88" s="132"/>
    </row>
    <row r="89" spans="1:5" ht="13">
      <c r="A89" s="575"/>
      <c r="B89" s="157" t="str">
        <f>Data!E81</f>
        <v>Fiber OSP Install- 24 Strand Single Mode - per foot</v>
      </c>
      <c r="C89" s="226" t="s">
        <v>431</v>
      </c>
      <c r="D89" s="151">
        <f>Data!F81</f>
        <v>7.25</v>
      </c>
      <c r="E89" s="133"/>
    </row>
    <row r="90" spans="1:5" ht="13">
      <c r="A90" s="575"/>
      <c r="B90" s="157" t="str">
        <f>Data!E82</f>
        <v>Fiber OSP Install- 36 Strand Multi-Mode - per foot</v>
      </c>
      <c r="C90" s="226" t="s">
        <v>432</v>
      </c>
      <c r="D90" s="151">
        <f>Data!F82</f>
        <v>11.79</v>
      </c>
      <c r="E90" s="132"/>
    </row>
    <row r="91" spans="1:5" ht="13">
      <c r="A91" s="575"/>
      <c r="B91" s="157" t="str">
        <f>Data!E83</f>
        <v>Fiber OSP Install- 36 Strand Single Mode - per foot</v>
      </c>
      <c r="C91" s="226" t="s">
        <v>433</v>
      </c>
      <c r="D91" s="151">
        <f>Data!F83</f>
        <v>11.79</v>
      </c>
      <c r="E91" s="132"/>
    </row>
    <row r="92" spans="1:5" ht="13">
      <c r="A92" s="575"/>
      <c r="B92" s="157" t="str">
        <f>Data!E84</f>
        <v>Fiber OSP Install- 48 Strand Multi-Mode - per foot</v>
      </c>
      <c r="C92" s="226" t="s">
        <v>434</v>
      </c>
      <c r="D92" s="151">
        <f>Data!F84</f>
        <v>12.69</v>
      </c>
      <c r="E92" s="132"/>
    </row>
    <row r="93" spans="1:5" ht="13">
      <c r="A93" s="575"/>
      <c r="B93" s="157" t="str">
        <f>Data!E85</f>
        <v>Fiber OSP Install- 48 Strand Single Mode - per foot</v>
      </c>
      <c r="C93" s="226" t="s">
        <v>435</v>
      </c>
      <c r="D93" s="151">
        <f>Data!F85</f>
        <v>12.69</v>
      </c>
      <c r="E93" s="132"/>
    </row>
    <row r="94" spans="1:5" ht="13">
      <c r="A94" s="575"/>
      <c r="B94" s="157" t="str">
        <f>Data!E86</f>
        <v>Fiber OSP Install- 72 Strand Multi-Mode - per foot</v>
      </c>
      <c r="C94" s="226" t="s">
        <v>436</v>
      </c>
      <c r="D94" s="151">
        <f>Data!F86</f>
        <v>18.13</v>
      </c>
      <c r="E94" s="132"/>
    </row>
    <row r="95" spans="1:5" ht="13">
      <c r="A95" s="575"/>
      <c r="B95" s="157" t="str">
        <f>Data!E87</f>
        <v>Fiber OSP Install- 72 Strand Single Mode - per foot</v>
      </c>
      <c r="C95" s="228" t="s">
        <v>437</v>
      </c>
      <c r="D95" s="151">
        <f>Data!F87</f>
        <v>18.13</v>
      </c>
      <c r="E95" s="132"/>
    </row>
    <row r="96" spans="1:5" ht="25.5">
      <c r="A96" s="575"/>
      <c r="B96" s="157" t="str">
        <f>Data!E89</f>
        <v>Fiber Splice and Test - 12 Strands (In Existing Splice Case)</v>
      </c>
      <c r="C96" s="338" t="s">
        <v>1778</v>
      </c>
      <c r="D96" s="151">
        <f>Data!F89</f>
        <v>940.52</v>
      </c>
      <c r="E96" s="132"/>
    </row>
    <row r="97" spans="1:5" ht="25.5">
      <c r="A97" s="575"/>
      <c r="B97" s="157" t="str">
        <f>Data!E90</f>
        <v>Fiber Splice and Test - 12 Strands (Requires new Splice Case)</v>
      </c>
      <c r="C97" s="338" t="s">
        <v>1779</v>
      </c>
      <c r="D97" s="151">
        <f>Data!F90</f>
        <v>940.52</v>
      </c>
      <c r="E97" s="133"/>
    </row>
    <row r="98" spans="1:5" ht="25">
      <c r="A98" s="575"/>
      <c r="B98" s="157" t="str">
        <f>Data!E91</f>
        <v>Maxcell - 3 cell sock - per foot</v>
      </c>
      <c r="C98" s="339" t="s">
        <v>1780</v>
      </c>
      <c r="D98" s="151">
        <f>Data!F91</f>
        <v>3.63</v>
      </c>
      <c r="E98" s="134"/>
    </row>
    <row r="99" spans="1:5" ht="37.5">
      <c r="A99" s="575"/>
      <c r="B99" s="157" t="str">
        <f>Data!E92</f>
        <v>OSP Conduit Install - per foot</v>
      </c>
      <c r="C99" s="339" t="s">
        <v>1781</v>
      </c>
      <c r="D99" s="166">
        <f>Data!F92</f>
        <v>9.49</v>
      </c>
      <c r="E99" s="134"/>
    </row>
    <row r="100" spans="1:5" ht="25">
      <c r="A100" s="575"/>
      <c r="B100" s="157" t="str">
        <f>Data!E93</f>
        <v>OSP Rated Innerduct - per foot</v>
      </c>
      <c r="C100" s="339" t="s">
        <v>1782</v>
      </c>
      <c r="D100" s="166">
        <f>Data!F93</f>
        <v>7.59</v>
      </c>
      <c r="E100" s="134"/>
    </row>
    <row r="101" spans="1:5" ht="51.5">
      <c r="A101" s="575"/>
      <c r="B101" s="157" t="str">
        <f>Data!E94</f>
        <v>OSP Direct Bury - per foot</v>
      </c>
      <c r="C101" s="200" t="s">
        <v>1783</v>
      </c>
      <c r="D101" s="166">
        <f>Data!F94</f>
        <v>5.44</v>
      </c>
      <c r="E101" s="134"/>
    </row>
    <row r="102" spans="1:5" ht="25.5" thickBot="1">
      <c r="A102" s="576"/>
      <c r="B102" s="157" t="str">
        <f>Data!E95</f>
        <v>Tracer Wire/detectable warning tape - per foot</v>
      </c>
      <c r="C102" s="339" t="s">
        <v>1784</v>
      </c>
      <c r="D102" s="166">
        <f>Data!F95</f>
        <v>4.53</v>
      </c>
      <c r="E102" s="134"/>
    </row>
    <row r="103" spans="1:5" ht="14.15" customHeight="1" thickBot="1">
      <c r="A103" s="580" t="s">
        <v>258</v>
      </c>
      <c r="B103" s="593" t="s">
        <v>241</v>
      </c>
      <c r="C103" s="594"/>
      <c r="D103" s="595"/>
      <c r="E103" s="132"/>
    </row>
    <row r="104" spans="1:5" ht="39" thickBot="1">
      <c r="A104" s="580"/>
      <c r="B104" s="155" t="str">
        <f>Data!E96</f>
        <v>Server Farm 24 Port Patch Panel - Copper Cat 6</v>
      </c>
      <c r="C104" s="342" t="s">
        <v>1785</v>
      </c>
      <c r="D104" s="150">
        <f>Data!F96</f>
        <v>30.48</v>
      </c>
      <c r="E104" s="132"/>
    </row>
    <row r="105" spans="1:5" ht="39" thickBot="1">
      <c r="A105" s="580"/>
      <c r="B105" s="152" t="str">
        <f>Data!E97</f>
        <v>Server Farm 48 Port Patch Panel - Copper Cat 6</v>
      </c>
      <c r="C105" s="338" t="s">
        <v>1786</v>
      </c>
      <c r="D105" s="151">
        <f>Data!F97</f>
        <v>30.48</v>
      </c>
      <c r="E105" s="132"/>
    </row>
    <row r="106" spans="1:5" ht="13.5" thickBot="1">
      <c r="A106" s="580"/>
      <c r="B106" s="152" t="str">
        <f>Data!E98</f>
        <v>Server Farm Horizontal Cable Manager 1U</v>
      </c>
      <c r="C106" s="338" t="s">
        <v>1787</v>
      </c>
      <c r="D106" s="151">
        <f>Data!F98</f>
        <v>30.48</v>
      </c>
      <c r="E106" s="132"/>
    </row>
    <row r="107" spans="1:5" ht="13.5" thickBot="1">
      <c r="A107" s="580"/>
      <c r="B107" s="152" t="str">
        <f>Data!E99</f>
        <v>Server Farm Horizontal Cable Manager 2U Dual-Sided</v>
      </c>
      <c r="C107" s="338" t="s">
        <v>1788</v>
      </c>
      <c r="D107" s="151">
        <f>Data!F99</f>
        <v>30.48</v>
      </c>
      <c r="E107" s="132"/>
    </row>
    <row r="108" spans="1:5" ht="13.5" thickBot="1">
      <c r="A108" s="580"/>
      <c r="B108" s="152" t="str">
        <f>Data!E100</f>
        <v>Server Farm Horizontal Cable Manager 2U Single-Sided</v>
      </c>
      <c r="C108" s="338" t="s">
        <v>1789</v>
      </c>
      <c r="D108" s="151">
        <f>Data!F100</f>
        <v>30.48</v>
      </c>
      <c r="E108" s="132"/>
    </row>
    <row r="109" spans="1:5" ht="51.5" thickBot="1">
      <c r="A109" s="580"/>
      <c r="B109" s="152" t="str">
        <f>Data!E101</f>
        <v>Server Farm 48 Port Patch Panel - Fiber</v>
      </c>
      <c r="C109" s="338" t="s">
        <v>1790</v>
      </c>
      <c r="D109" s="151">
        <f>Data!F101</f>
        <v>30.48</v>
      </c>
      <c r="E109" s="132"/>
    </row>
    <row r="110" spans="1:5" ht="51.5" thickBot="1">
      <c r="A110" s="580"/>
      <c r="B110" s="152" t="str">
        <f>Data!E102</f>
        <v>Server Farm 72 Port Patch Panel - Fiber</v>
      </c>
      <c r="C110" s="338" t="s">
        <v>1791</v>
      </c>
      <c r="D110" s="151">
        <f>Data!F102</f>
        <v>30.48</v>
      </c>
      <c r="E110" s="132"/>
    </row>
    <row r="111" spans="1:5" ht="39" thickBot="1">
      <c r="A111" s="580"/>
      <c r="B111" s="152" t="str">
        <f>Data!E103</f>
        <v>Server Farm 1U Patch Panel - Fiber</v>
      </c>
      <c r="C111" s="338" t="s">
        <v>1792</v>
      </c>
      <c r="D111" s="151">
        <f>Data!F103</f>
        <v>30.48</v>
      </c>
      <c r="E111" s="132"/>
    </row>
    <row r="112" spans="1:5" ht="39" thickBot="1">
      <c r="A112" s="580"/>
      <c r="B112" s="152" t="str">
        <f>Data!E104</f>
        <v>Server Farm LC-12 Connector Modules for 1U patch panel - Fiber</v>
      </c>
      <c r="C112" s="338" t="s">
        <v>1793</v>
      </c>
      <c r="D112" s="151">
        <f>Data!F104</f>
        <v>30.48</v>
      </c>
      <c r="E112" s="132"/>
    </row>
    <row r="113" spans="1:5" ht="39" thickBot="1">
      <c r="A113" s="580"/>
      <c r="B113" s="152" t="str">
        <f>Data!E105</f>
        <v>Server Farm LC-24 Connector Modules for 1U patch panel - Fiber</v>
      </c>
      <c r="C113" s="338" t="s">
        <v>1794</v>
      </c>
      <c r="D113" s="151">
        <f>Data!F105</f>
        <v>30.48</v>
      </c>
      <c r="E113" s="132"/>
    </row>
    <row r="114" spans="1:5" ht="13.5" thickBot="1">
      <c r="A114" s="580"/>
      <c r="B114" s="152" t="str">
        <f>Data!E106</f>
        <v>Server Farm Raised Floor Cable Tray - per foot</v>
      </c>
      <c r="C114" s="343" t="s">
        <v>1795</v>
      </c>
      <c r="D114" s="151">
        <f>Data!F106</f>
        <v>30.48</v>
      </c>
      <c r="E114" s="132"/>
    </row>
    <row r="115" spans="1:5" ht="13.5" thickBot="1">
      <c r="A115" s="580"/>
      <c r="B115" s="153" t="str">
        <f>Data!E107</f>
        <v>Server Farm Overhead Cable Tray - per foot</v>
      </c>
      <c r="C115" s="344" t="s">
        <v>1796</v>
      </c>
      <c r="D115" s="154">
        <f>Data!F107</f>
        <v>30.48</v>
      </c>
      <c r="E115" s="132"/>
    </row>
    <row r="116" spans="1:5" ht="20.149999999999999" customHeight="1">
      <c r="A116" s="135"/>
      <c r="B116" s="135"/>
      <c r="C116" s="135"/>
      <c r="D116" s="135"/>
      <c r="E116" s="135"/>
    </row>
  </sheetData>
  <sheetProtection algorithmName="SHA-512" hashValue="bLP8ZoBbE1oOlFJ6HNioiHeA60gG8H3fnmz9suva+wuekothjYWMKwMHmILEtGzP1Rjug6n+X1XFKPpaJNFVrg==" saltValue="qu+LoiYFn3UlNY9aNUkhXA==" spinCount="100000" sheet="1" objects="1" scenarios="1" selectLockedCells="1" selectUnlockedCells="1"/>
  <mergeCells count="21">
    <mergeCell ref="A1:A2"/>
    <mergeCell ref="B10:D10"/>
    <mergeCell ref="B51:D51"/>
    <mergeCell ref="A43:A50"/>
    <mergeCell ref="A51:A58"/>
    <mergeCell ref="B1:B2"/>
    <mergeCell ref="C1:C2"/>
    <mergeCell ref="D1:D2"/>
    <mergeCell ref="A4:A9"/>
    <mergeCell ref="B3:D3"/>
    <mergeCell ref="A10:A32"/>
    <mergeCell ref="A103:A115"/>
    <mergeCell ref="B33:D33"/>
    <mergeCell ref="B43:D43"/>
    <mergeCell ref="B59:D59"/>
    <mergeCell ref="B83:D83"/>
    <mergeCell ref="A59:A82"/>
    <mergeCell ref="B85:D85"/>
    <mergeCell ref="B103:D103"/>
    <mergeCell ref="A33:A42"/>
    <mergeCell ref="A83:A102"/>
  </mergeCells>
  <pageMargins left="0.25" right="0.25" top="0.5" bottom="0.5" header="0.25" footer="0.25"/>
  <pageSetup scale="85" fitToHeight="0" orientation="landscape" r:id="rId1"/>
  <headerFooter>
    <oddHeader>&amp;C&amp;F</oddHeader>
    <oddFooter>&amp;LISP-OSP&amp;CPage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E37"/>
  <sheetViews>
    <sheetView showZeros="0" zoomScaleNormal="100" workbookViewId="0">
      <pane ySplit="3" topLeftCell="A4" activePane="bottomLeft" state="frozen"/>
      <selection activeCell="A3" sqref="A3"/>
      <selection pane="bottomLeft" activeCell="E2" sqref="E2"/>
    </sheetView>
  </sheetViews>
  <sheetFormatPr defaultColWidth="0" defaultRowHeight="14" zeroHeight="1"/>
  <cols>
    <col min="1" max="1" width="6.81640625" style="116" customWidth="1"/>
    <col min="2" max="2" width="63.7265625" style="118" customWidth="1"/>
    <col min="3" max="3" width="67.7265625" style="118" customWidth="1"/>
    <col min="4" max="4" width="9.1796875" style="121" bestFit="1" customWidth="1"/>
    <col min="5" max="5" width="4.26953125" style="119" customWidth="1"/>
    <col min="6" max="16384" width="9" style="116" hidden="1"/>
  </cols>
  <sheetData>
    <row r="1" spans="1:5">
      <c r="A1" s="634" t="str">
        <f>CONCATENATE("Version ",+'Change History'!$A$27)</f>
        <v>Version 4.0</v>
      </c>
      <c r="B1" s="628" t="s">
        <v>195</v>
      </c>
      <c r="C1" s="630" t="s">
        <v>196</v>
      </c>
      <c r="D1" s="632" t="s">
        <v>123</v>
      </c>
    </row>
    <row r="2" spans="1:5" ht="14.5" thickBot="1">
      <c r="A2" s="635"/>
      <c r="B2" s="629"/>
      <c r="C2" s="631"/>
      <c r="D2" s="633"/>
    </row>
    <row r="3" spans="1:5" s="123" customFormat="1" ht="16.5" customHeight="1" thickBot="1">
      <c r="A3" s="222"/>
      <c r="B3" s="612" t="s">
        <v>489</v>
      </c>
      <c r="C3" s="612"/>
      <c r="D3" s="613"/>
      <c r="E3" s="131"/>
    </row>
    <row r="4" spans="1:5" ht="16.5" customHeight="1" thickBot="1">
      <c r="A4" s="620" t="s">
        <v>16</v>
      </c>
      <c r="B4" s="230" t="s">
        <v>488</v>
      </c>
      <c r="C4" s="230" t="s">
        <v>487</v>
      </c>
      <c r="D4" s="229"/>
    </row>
    <row r="5" spans="1:5" ht="30" customHeight="1">
      <c r="A5" s="621"/>
      <c r="B5" s="165" t="str">
        <f>Data!E112</f>
        <v>Senior Electrician (per hour)</v>
      </c>
      <c r="C5" s="165" t="s">
        <v>2697</v>
      </c>
      <c r="D5" s="150">
        <f>Data!F112</f>
        <v>128.02000000000001</v>
      </c>
    </row>
    <row r="6" spans="1:5" ht="30" customHeight="1" thickBot="1">
      <c r="A6" s="622"/>
      <c r="B6" s="117" t="str">
        <f>Data!E113</f>
        <v>Junior Electrician (per hour)</v>
      </c>
      <c r="C6" s="159" t="s">
        <v>2698</v>
      </c>
      <c r="D6" s="151">
        <f>Data!F113</f>
        <v>113.63</v>
      </c>
    </row>
    <row r="7" spans="1:5" ht="14.5" thickBot="1">
      <c r="A7" s="636" t="s">
        <v>242</v>
      </c>
      <c r="B7" s="637" t="s">
        <v>243</v>
      </c>
      <c r="C7" s="638"/>
      <c r="D7" s="168"/>
    </row>
    <row r="8" spans="1:5" ht="64.5" thickBot="1">
      <c r="A8" s="636"/>
      <c r="B8" s="156" t="str">
        <f>Data!E131</f>
        <v xml:space="preserve">MDF/IDF Full Size Cabinet Installation, (2 circuits Not to Exceed 60 feet power, 60 feet ground) </v>
      </c>
      <c r="C8" s="200" t="s">
        <v>1801</v>
      </c>
      <c r="D8" s="150">
        <f>Data!F131</f>
        <v>2416.5</v>
      </c>
    </row>
    <row r="9" spans="1:5" ht="77.5" thickBot="1">
      <c r="A9" s="636"/>
      <c r="B9" s="157" t="str">
        <f>Data!E132</f>
        <v xml:space="preserve">MDF/IDF Wall Mount Cabinet/Half Height Floor Mount, (1 circuit- Not to Exceed 60 feet power, 60 feet ground) </v>
      </c>
      <c r="C9" s="200" t="s">
        <v>1802</v>
      </c>
      <c r="D9" s="151">
        <f>Data!F132</f>
        <v>2054.0300000000002</v>
      </c>
    </row>
    <row r="10" spans="1:5" ht="64.5" thickBot="1">
      <c r="A10" s="636"/>
      <c r="B10" s="157" t="str">
        <f>Data!E133</f>
        <v>PoP MDF w/ (2) Two Full height cabinets, (2-Cabinets), (2 circuits Not to Exceed 60 feet power, 60 feet ground)</v>
      </c>
      <c r="C10" s="200" t="s">
        <v>1803</v>
      </c>
      <c r="D10" s="151">
        <f>Data!F133</f>
        <v>4833</v>
      </c>
    </row>
    <row r="11" spans="1:5" ht="64.5" thickBot="1">
      <c r="A11" s="636"/>
      <c r="B11" s="157" t="str">
        <f>Data!E134</f>
        <v>PoP MDF w/ (3) Three Full height cabinets, (3-Cabinets), (2 circuits Not to Exceed 60 feet power, 60 feet ground)</v>
      </c>
      <c r="C11" s="200" t="s">
        <v>1804</v>
      </c>
      <c r="D11" s="151">
        <f>Data!F134</f>
        <v>5074.6499999999996</v>
      </c>
    </row>
    <row r="12" spans="1:5" ht="64.5" thickBot="1">
      <c r="A12" s="636"/>
      <c r="B12" s="157" t="str">
        <f>Data!E135</f>
        <v xml:space="preserve">MDF/IDF 19"X7' 2-Post Rack Installation, (2 circuits Not to Exceed 60 feet power, 60 feet ground) </v>
      </c>
      <c r="C12" s="200" t="s">
        <v>1805</v>
      </c>
      <c r="D12" s="151">
        <f>Data!F135</f>
        <v>2899.8</v>
      </c>
    </row>
    <row r="13" spans="1:5" ht="64.5" thickBot="1">
      <c r="A13" s="636"/>
      <c r="B13" s="158" t="str">
        <f>Data!E136</f>
        <v xml:space="preserve">MDF/IDF 19"X7' 2-Post Rack Installation, (1 circuit- Not to Exceed 60 feet power, 60 feet ground) </v>
      </c>
      <c r="C13" s="200" t="s">
        <v>1806</v>
      </c>
      <c r="D13" s="154">
        <f>Data!F136</f>
        <v>2658.15</v>
      </c>
    </row>
    <row r="14" spans="1:5" ht="15" customHeight="1" thickBot="1">
      <c r="A14" s="623" t="s">
        <v>443</v>
      </c>
      <c r="B14" s="626" t="s">
        <v>438</v>
      </c>
      <c r="C14" s="627"/>
      <c r="D14" s="169"/>
    </row>
    <row r="15" spans="1:5" ht="38">
      <c r="A15" s="624"/>
      <c r="B15" s="156" t="str">
        <f>Data!E114</f>
        <v xml:space="preserve">Cabinet and Power Installation (2 Circuits- Up to 60 Lin. Ft) </v>
      </c>
      <c r="C15" s="200" t="s">
        <v>1807</v>
      </c>
      <c r="D15" s="150">
        <f>Data!F114</f>
        <v>1449.9</v>
      </c>
    </row>
    <row r="16" spans="1:5" ht="38">
      <c r="A16" s="624"/>
      <c r="B16" s="157" t="str">
        <f>Data!E115</f>
        <v xml:space="preserve">Cabinet and Power Installation Wall Mount/Half Height (1 Circuit- Up to 60 Lin. Ft) </v>
      </c>
      <c r="C16" s="338" t="s">
        <v>1808</v>
      </c>
      <c r="D16" s="151">
        <f>Data!F115</f>
        <v>1208.25</v>
      </c>
    </row>
    <row r="17" spans="1:4" ht="38">
      <c r="A17" s="624"/>
      <c r="B17" s="157" t="str">
        <f>Data!E116</f>
        <v>Power Installation to Existing Cabinet (2 Circuit- Up to 60 Lin. Ft)</v>
      </c>
      <c r="C17" s="338" t="s">
        <v>1809</v>
      </c>
      <c r="D17" s="151">
        <f>Data!F116</f>
        <v>1208.25</v>
      </c>
    </row>
    <row r="18" spans="1:4" ht="38">
      <c r="A18" s="624"/>
      <c r="B18" s="157" t="str">
        <f>Data!E117</f>
        <v>Power Installation to Existing Cabinet (1 Circuit- Up to 60 Lin. Ft)</v>
      </c>
      <c r="C18" s="338" t="s">
        <v>1810</v>
      </c>
      <c r="D18" s="151">
        <f>Data!F117</f>
        <v>966.6</v>
      </c>
    </row>
    <row r="19" spans="1:4" ht="25.5">
      <c r="A19" s="624"/>
      <c r="B19" s="157" t="str">
        <f>Data!E118</f>
        <v>Power Installation (1 or 2 Circuit- If Lin. Ft. &gt; 60 ft.)</v>
      </c>
      <c r="C19" s="338" t="s">
        <v>1811</v>
      </c>
      <c r="D19" s="151">
        <f>Data!F118</f>
        <v>6.4</v>
      </c>
    </row>
    <row r="20" spans="1:4" ht="25">
      <c r="A20" s="624"/>
      <c r="B20" s="157" t="str">
        <f>Data!E119</f>
        <v>Power Installation (1 or 2 Circuit- If Lin. Ft. &gt; 60 ft.)  Grounding Installation (If Lin. Ft. &gt; 60)</v>
      </c>
      <c r="C20" s="343" t="s">
        <v>439</v>
      </c>
      <c r="D20" s="151">
        <f>Data!F119</f>
        <v>6.4</v>
      </c>
    </row>
    <row r="21" spans="1:4" ht="25">
      <c r="A21" s="624"/>
      <c r="B21" s="157" t="str">
        <f>Data!E120</f>
        <v>Cabinet Uninstall (excludes moving of network equipment)</v>
      </c>
      <c r="C21" s="343" t="s">
        <v>440</v>
      </c>
      <c r="D21" s="151">
        <f>Data!F120</f>
        <v>483.3</v>
      </c>
    </row>
    <row r="22" spans="1:4" ht="25">
      <c r="A22" s="624"/>
      <c r="B22" s="231" t="str">
        <f>Data!E121</f>
        <v>Cabinet Removal (per cabinet)</v>
      </c>
      <c r="C22" s="343" t="s">
        <v>441</v>
      </c>
      <c r="D22" s="151">
        <f>Data!F121</f>
        <v>241.65</v>
      </c>
    </row>
    <row r="23" spans="1:4" ht="50.5">
      <c r="A23" s="624"/>
      <c r="B23" s="157" t="str">
        <f>Data!E122</f>
        <v>Electrical Sub Panel Install</v>
      </c>
      <c r="C23" s="338" t="s">
        <v>1812</v>
      </c>
      <c r="D23" s="151">
        <f>Data!F122</f>
        <v>416.07</v>
      </c>
    </row>
    <row r="24" spans="1:4" ht="25.5">
      <c r="A24" s="624"/>
      <c r="B24" s="157" t="str">
        <f>Data!E123</f>
        <v>UPS Installation- 1KVA (no circuit or receptacle included)</v>
      </c>
      <c r="C24" s="338" t="s">
        <v>1813</v>
      </c>
      <c r="D24" s="151">
        <f>Data!F123</f>
        <v>241.65</v>
      </c>
    </row>
    <row r="25" spans="1:4" ht="30" customHeight="1">
      <c r="A25" s="624"/>
      <c r="B25" s="157" t="str">
        <f>Data!E124</f>
        <v>UPS Installation- Quantity of 2-2KVAs/2-48V Batteries Combo (no circuit or receptacles included)</v>
      </c>
      <c r="C25" s="338" t="s">
        <v>1814</v>
      </c>
      <c r="D25" s="151">
        <f>Data!F124</f>
        <v>302.06</v>
      </c>
    </row>
    <row r="26" spans="1:4" ht="25.5">
      <c r="A26" s="624"/>
      <c r="B26" s="157" t="str">
        <f>Data!E125</f>
        <v>UPS internal battery replacement</v>
      </c>
      <c r="C26" s="338" t="s">
        <v>550</v>
      </c>
      <c r="D26" s="151">
        <f>Data!F125</f>
        <v>256.04000000000002</v>
      </c>
    </row>
    <row r="27" spans="1:4">
      <c r="A27" s="624"/>
      <c r="B27" s="157" t="str">
        <f>Data!E126</f>
        <v>Cabinet Pickup and delivery- Local Site</v>
      </c>
      <c r="C27" s="343" t="s">
        <v>442</v>
      </c>
      <c r="D27" s="151">
        <f>Data!F126</f>
        <v>181.81</v>
      </c>
    </row>
    <row r="28" spans="1:4" ht="27">
      <c r="A28" s="624"/>
      <c r="B28" s="167" t="str">
        <f>Data!E127</f>
        <v>Cabinet Pickup and delivery-Local - up to 6 additional cabinets</v>
      </c>
      <c r="C28" s="345" t="s">
        <v>551</v>
      </c>
      <c r="D28" s="166">
        <f>Data!F127</f>
        <v>98.86</v>
      </c>
    </row>
    <row r="29" spans="1:4" ht="25">
      <c r="A29" s="624"/>
      <c r="B29" s="167" t="str">
        <f>Data!E128</f>
        <v>Cabinet Pickup and delivery- Non Local Site</v>
      </c>
      <c r="C29" s="343" t="s">
        <v>244</v>
      </c>
      <c r="D29" s="166">
        <f>Data!F128</f>
        <v>284.08</v>
      </c>
    </row>
    <row r="30" spans="1:4" ht="27">
      <c r="A30" s="624"/>
      <c r="B30" s="167" t="str">
        <f>Data!E129</f>
        <v>Cabinet Pickup and delivery-Non-Local - up to 6 additional cabinets</v>
      </c>
      <c r="C30" s="346" t="s">
        <v>552</v>
      </c>
      <c r="D30" s="166">
        <f>Data!F129</f>
        <v>98.86</v>
      </c>
    </row>
    <row r="31" spans="1:4" ht="14.5" thickBot="1">
      <c r="A31" s="625"/>
      <c r="B31" s="167" t="str">
        <f>Data!E130</f>
        <v>Installation of Fire Rated Backboard (4'X4')</v>
      </c>
      <c r="C31" s="338" t="s">
        <v>1815</v>
      </c>
      <c r="D31" s="166">
        <f>Data!F130</f>
        <v>198.85</v>
      </c>
    </row>
    <row r="32" spans="1:4" ht="14.5" thickBot="1">
      <c r="A32" s="619" t="s">
        <v>227</v>
      </c>
      <c r="B32" s="617" t="s">
        <v>245</v>
      </c>
      <c r="C32" s="618"/>
      <c r="D32" s="170"/>
    </row>
    <row r="33" spans="1:4" ht="14.5" thickBot="1">
      <c r="A33" s="619"/>
      <c r="B33" s="156" t="str">
        <f>Data!E137</f>
        <v>Server Farm Standard Rack Bracing Installation</v>
      </c>
      <c r="C33" s="338" t="s">
        <v>1816</v>
      </c>
      <c r="D33" s="150">
        <f>Data!F137</f>
        <v>193.45</v>
      </c>
    </row>
    <row r="34" spans="1:4" ht="14.5" thickBot="1">
      <c r="A34" s="619"/>
      <c r="B34" s="157" t="str">
        <f>Data!E138</f>
        <v>Server Farm Seismic Rack Bracing Installation</v>
      </c>
      <c r="C34" s="338" t="s">
        <v>1817</v>
      </c>
      <c r="D34" s="151">
        <f>Data!F138</f>
        <v>221.08</v>
      </c>
    </row>
    <row r="35" spans="1:4" ht="14.5" thickBot="1">
      <c r="A35" s="619"/>
      <c r="B35" s="157" t="str">
        <f>Data!E139</f>
        <v>Server Farm Raised Floor Tile Cut</v>
      </c>
      <c r="C35" s="338" t="s">
        <v>1818</v>
      </c>
      <c r="D35" s="151">
        <f>Data!F139</f>
        <v>165.81</v>
      </c>
    </row>
    <row r="36" spans="1:4" ht="14.5" thickBot="1">
      <c r="A36" s="619"/>
      <c r="B36" s="158" t="str">
        <f>Data!E140</f>
        <v>Server Farm Rack PDU Installation</v>
      </c>
      <c r="C36" s="343" t="s">
        <v>197</v>
      </c>
      <c r="D36" s="154">
        <f>Data!F140</f>
        <v>82.91</v>
      </c>
    </row>
    <row r="37" spans="1:4" s="119" customFormat="1" ht="20.149999999999999" customHeight="1">
      <c r="B37" s="120"/>
      <c r="C37" s="120"/>
      <c r="D37" s="122"/>
    </row>
  </sheetData>
  <sheetProtection algorithmName="SHA-512" hashValue="GSf86JVh5W46W99D3t++zkjnkolkYNRjegfkw4KLTHFy9fhq3WbvnjMNQsIygznZKswDhRJ3cjcdTvAOGfOP+g==" saltValue="LOJC98pe0SJshc6KsIE+/A==" spinCount="100000" sheet="1" objects="1" scenarios="1" selectLockedCells="1" selectUnlockedCells="1"/>
  <mergeCells count="12">
    <mergeCell ref="B1:B2"/>
    <mergeCell ref="C1:C2"/>
    <mergeCell ref="D1:D2"/>
    <mergeCell ref="A1:A2"/>
    <mergeCell ref="A7:A13"/>
    <mergeCell ref="B7:C7"/>
    <mergeCell ref="B32:C32"/>
    <mergeCell ref="A32:A36"/>
    <mergeCell ref="A4:A6"/>
    <mergeCell ref="B3:D3"/>
    <mergeCell ref="A14:A31"/>
    <mergeCell ref="B14:C14"/>
  </mergeCells>
  <pageMargins left="0.45" right="0.45" top="0.5" bottom="0.5" header="0.25" footer="0.25"/>
  <pageSetup scale="86" fitToHeight="0" orientation="landscape" r:id="rId1"/>
  <headerFooter>
    <oddHeader>&amp;C&amp;F</oddHeader>
    <oddFooter>&amp;LFacilities&amp;C&amp;P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4">
    <pageSetUpPr fitToPage="1"/>
  </sheetPr>
  <dimension ref="A1:G648"/>
  <sheetViews>
    <sheetView showZeros="0" zoomScaleNormal="100" workbookViewId="0">
      <pane ySplit="2" topLeftCell="A3" activePane="bottomLeft" state="frozen"/>
      <selection pane="bottomLeft" activeCell="E1" sqref="E1"/>
    </sheetView>
  </sheetViews>
  <sheetFormatPr defaultColWidth="0" defaultRowHeight="12.5" zeroHeight="1"/>
  <cols>
    <col min="1" max="1" width="6.7265625" customWidth="1"/>
    <col min="2" max="2" width="28.26953125" bestFit="1" customWidth="1"/>
    <col min="3" max="3" width="106" bestFit="1" customWidth="1"/>
    <col min="4" max="4" width="11.7265625" style="31" customWidth="1"/>
    <col min="5" max="5" width="4.26953125" customWidth="1"/>
    <col min="6" max="7" width="11.26953125" hidden="1" customWidth="1"/>
    <col min="8" max="16384" width="9" hidden="1"/>
  </cols>
  <sheetData>
    <row r="1" spans="1:5" ht="21" thickBot="1">
      <c r="A1" s="57" t="str">
        <f>CONCATENATE("Version ",+'Change History'!$A$27)</f>
        <v>Version 4.0</v>
      </c>
      <c r="B1" s="300" t="s">
        <v>1699</v>
      </c>
      <c r="C1" s="301"/>
      <c r="D1" s="299"/>
      <c r="E1" s="16"/>
    </row>
    <row r="2" spans="1:5" ht="28.5" thickBot="1">
      <c r="A2" s="639"/>
      <c r="B2" s="298" t="s">
        <v>865</v>
      </c>
      <c r="C2" s="296" t="s">
        <v>132</v>
      </c>
      <c r="D2" s="297" t="s">
        <v>62</v>
      </c>
      <c r="E2" s="16"/>
    </row>
    <row r="3" spans="1:5" s="25" customFormat="1" ht="12.75" customHeight="1">
      <c r="A3" s="639"/>
      <c r="B3" s="302">
        <f>Data!V5</f>
        <v>2183</v>
      </c>
      <c r="C3" s="173" t="str">
        <f>Data!W5</f>
        <v>3M, 2183, E-Z WRAP, 3.0 MIL, 4 in x 100 FT</v>
      </c>
      <c r="D3" s="176">
        <f>Data!X5</f>
        <v>5.72</v>
      </c>
      <c r="E3" s="28"/>
    </row>
    <row r="4" spans="1:5" s="25" customFormat="1">
      <c r="A4" s="639"/>
      <c r="B4" s="302" t="str">
        <f>Data!V6</f>
        <v>1700-3/4X60FT</v>
      </c>
      <c r="C4" s="173" t="str">
        <f>Data!W6</f>
        <v>3M, 1700-3/4X60FT, BLACK ELECTRICAL TAPE, 3/4 in x 60 FT</v>
      </c>
      <c r="D4" s="176">
        <f>Data!X6</f>
        <v>2.25</v>
      </c>
      <c r="E4" s="28"/>
    </row>
    <row r="5" spans="1:5" s="25" customFormat="1">
      <c r="A5" s="639"/>
      <c r="B5" s="302" t="str">
        <f>Data!V7</f>
        <v>1700-SLP</v>
      </c>
      <c r="C5" s="173" t="str">
        <f>Data!W7</f>
        <v>3M, 1700-SLP, BLACK ELECTRICAL TAPE, 3/4 in x 60 FT</v>
      </c>
      <c r="D5" s="176">
        <f>Data!X7</f>
        <v>1.31</v>
      </c>
      <c r="E5" s="28"/>
    </row>
    <row r="6" spans="1:5" s="25" customFormat="1">
      <c r="A6" s="639"/>
      <c r="B6" s="302" t="str">
        <f>Data!V8</f>
        <v>8100-YS</v>
      </c>
      <c r="C6" s="173" t="str">
        <f>Data!W8</f>
        <v>3M, 8100-YS, HOT MELT JACKETED ST FIBER CONNECTOR</v>
      </c>
      <c r="D6" s="176">
        <f>Data!X8</f>
        <v>0.9</v>
      </c>
      <c r="E6" s="28"/>
    </row>
    <row r="7" spans="1:5" s="25" customFormat="1">
      <c r="A7" s="639"/>
      <c r="B7" s="302" t="str">
        <f>Data!V9</f>
        <v>88T-1.5X44</v>
      </c>
      <c r="C7" s="173" t="str">
        <f>Data!W9</f>
        <v>3M, 88T-1.5X44, TELEPHONE VINYL PLASTIC TAPE, 1 in x 44 FT</v>
      </c>
      <c r="D7" s="176">
        <f>Data!X9</f>
        <v>6.4</v>
      </c>
      <c r="E7" s="28"/>
    </row>
    <row r="8" spans="1:5" s="25" customFormat="1">
      <c r="A8" s="639"/>
      <c r="B8" s="302" t="str">
        <f>Data!V10</f>
        <v>88T-1X36</v>
      </c>
      <c r="C8" s="173" t="str">
        <f>Data!W10</f>
        <v>3M, 88T-1X36, TELEPHONE VINYL PLASTIC TAPE, 1 in x 36 FT</v>
      </c>
      <c r="D8" s="176">
        <f>Data!X10</f>
        <v>2.69</v>
      </c>
      <c r="E8" s="28"/>
    </row>
    <row r="9" spans="1:5" s="25" customFormat="1">
      <c r="A9" s="639"/>
      <c r="B9" s="302" t="str">
        <f>Data!V11</f>
        <v>88T-FO / 98292997</v>
      </c>
      <c r="C9" s="173" t="str">
        <f>Data!W11</f>
        <v>3M, 88T-FO / 98292997, TELEPHONE VINYL PLASTIC TAPE, 1 in x 36 FT</v>
      </c>
      <c r="D9" s="176">
        <f>Data!X11</f>
        <v>2.69</v>
      </c>
      <c r="E9" s="28"/>
    </row>
    <row r="10" spans="1:5" s="25" customFormat="1">
      <c r="A10" s="639"/>
      <c r="B10" s="302" t="str">
        <f>Data!V12</f>
        <v>CT8BK50-C</v>
      </c>
      <c r="C10" s="173" t="str">
        <f>Data!W12</f>
        <v>3M, CT8BK50-C, BLACK/NYLON, CABLE TIE, 0.18 in x 7.60 in, PACK OF 100</v>
      </c>
      <c r="D10" s="176">
        <f>Data!X12</f>
        <v>13</v>
      </c>
      <c r="E10" s="28"/>
    </row>
    <row r="11" spans="1:5" s="25" customFormat="1">
      <c r="A11" s="639"/>
      <c r="B11" s="302" t="str">
        <f>Data!V13</f>
        <v>DT200</v>
      </c>
      <c r="C11" s="173" t="str">
        <f>Data!W13</f>
        <v>3M, DT200, FIRE BARRIER PUTTY SLEEVE KIT, 2 in x 12 in</v>
      </c>
      <c r="D11" s="176">
        <f>Data!X13</f>
        <v>28.81</v>
      </c>
      <c r="E11" s="28"/>
    </row>
    <row r="12" spans="1:5" s="25" customFormat="1">
      <c r="A12" s="639"/>
      <c r="B12" s="302" t="str">
        <f>Data!V14</f>
        <v>MP+</v>
      </c>
      <c r="C12" s="173" t="str">
        <f>Data!W14</f>
        <v>3M, MP+, FIRE BARRIER MOLDABLE PUTTY STIX, 1.5 in x 11 in</v>
      </c>
      <c r="D12" s="176">
        <f>Data!X14</f>
        <v>17.600000000000001</v>
      </c>
      <c r="E12" s="28"/>
    </row>
    <row r="13" spans="1:5" s="25" customFormat="1">
      <c r="A13" s="639"/>
      <c r="B13" s="302" t="str">
        <f>Data!V15</f>
        <v>MPP+</v>
      </c>
      <c r="C13" s="173" t="str">
        <f>Data!W15</f>
        <v>3M, MPP+, FIRE BARRIER MOLDABLE PUTTY PAD, 4 in x 8 in</v>
      </c>
      <c r="D13" s="176">
        <f>Data!X15</f>
        <v>7.72</v>
      </c>
      <c r="E13" s="28"/>
    </row>
    <row r="14" spans="1:5" s="25" customFormat="1">
      <c r="A14" s="639"/>
      <c r="B14" s="302" t="str">
        <f>Data!V16</f>
        <v>FOAS2FSMFCSC-3M</v>
      </c>
      <c r="C14" s="173" t="str">
        <f>Data!W16</f>
        <v>ACCU-TECH, FOAS2FSMFCSC-3M, FIBER JUMPER CABLE, DUPLEX, FC/SC, SM, 3 METER</v>
      </c>
      <c r="D14" s="176">
        <f>Data!X16</f>
        <v>25.21</v>
      </c>
      <c r="E14" s="28"/>
    </row>
    <row r="15" spans="1:5" s="25" customFormat="1">
      <c r="A15" s="639"/>
      <c r="B15" s="302" t="str">
        <f>Data!V17</f>
        <v>AT1650-BU</v>
      </c>
      <c r="C15" s="173" t="str">
        <f>Data!W17</f>
        <v>ALLEN TEL, AT1650-BU, CAT6 PATCH CABLE, 50FT, BLUE</v>
      </c>
      <c r="D15" s="176">
        <f>Data!X17</f>
        <v>21.2</v>
      </c>
      <c r="E15" s="28"/>
    </row>
    <row r="16" spans="1:5" s="25" customFormat="1">
      <c r="A16" s="639"/>
      <c r="B16" s="302" t="str">
        <f>Data!V18</f>
        <v>AT30D-12-15</v>
      </c>
      <c r="C16" s="173" t="str">
        <f>Data!W18</f>
        <v>ALLEN TEL, AT30D-12-15, WALL PLATE, 12 PORT, WHITE</v>
      </c>
      <c r="D16" s="176">
        <f>Data!X18</f>
        <v>7.22</v>
      </c>
      <c r="E16" s="28"/>
    </row>
    <row r="17" spans="1:5" s="25" customFormat="1">
      <c r="A17" s="639"/>
      <c r="B17" s="302" t="str">
        <f>Data!V19</f>
        <v>AT31-15</v>
      </c>
      <c r="C17" s="173" t="str">
        <f>Data!W19</f>
        <v>ALLEN TEL, AT31-15, BLANK FACEPLATE MODULE</v>
      </c>
      <c r="D17" s="176">
        <f>Data!X19</f>
        <v>0.67</v>
      </c>
      <c r="E17" s="28"/>
    </row>
    <row r="18" spans="1:5" s="25" customFormat="1">
      <c r="A18" s="639"/>
      <c r="B18" s="302" t="str">
        <f>Data!V20</f>
        <v>AT45MB-15</v>
      </c>
      <c r="C18" s="173" t="str">
        <f>Data!W20</f>
        <v>ALLEN TEL, AT45MB-15, DOUBLE GANG SURFACE MOUNT BOX, WHITE</v>
      </c>
      <c r="D18" s="176">
        <f>Data!X20</f>
        <v>19.28</v>
      </c>
      <c r="E18" s="28"/>
    </row>
    <row r="19" spans="1:5" s="25" customFormat="1">
      <c r="A19" s="639"/>
      <c r="B19" s="302" t="str">
        <f>Data!V21</f>
        <v>AT55WMP-1</v>
      </c>
      <c r="C19" s="173" t="str">
        <f>Data!W21</f>
        <v>ALLEN TEL, AT55WMP-1, WIRE MANAGEMENT PANEL, 19 in</v>
      </c>
      <c r="D19" s="176">
        <f>Data!X21</f>
        <v>47.62</v>
      </c>
      <c r="E19" s="28"/>
    </row>
    <row r="20" spans="1:5" s="25" customFormat="1">
      <c r="A20" s="639"/>
      <c r="B20" s="302" t="str">
        <f>Data!V22</f>
        <v>AT66-20</v>
      </c>
      <c r="C20" s="173" t="str">
        <f>Data!W22</f>
        <v>ALLEN TEL, AT66-20, CAT 6 HIGH DENSITY JACK MODULE, BLUE</v>
      </c>
      <c r="D20" s="176">
        <f>Data!X22</f>
        <v>8.19</v>
      </c>
      <c r="E20" s="28"/>
    </row>
    <row r="21" spans="1:5" s="25" customFormat="1">
      <c r="A21" s="639"/>
      <c r="B21" s="302" t="str">
        <f>Data!V23</f>
        <v>AT70-2-15</v>
      </c>
      <c r="C21" s="173" t="str">
        <f>Data!W23</f>
        <v>ALLEN TEL, AT70-2-15, WALL PLATE, 2 PORT, WHITE</v>
      </c>
      <c r="D21" s="176">
        <f>Data!X23</f>
        <v>2.64</v>
      </c>
      <c r="E21" s="28"/>
    </row>
    <row r="22" spans="1:5" s="25" customFormat="1">
      <c r="A22" s="639"/>
      <c r="B22" s="302" t="str">
        <f>Data!V24</f>
        <v>ATT55B-PNL-48</v>
      </c>
      <c r="C22" s="173" t="str">
        <f>Data!W24</f>
        <v>ALLEN TEL, ATT55B-PNL-48, COPPER PATCH PANEL, CAT 5e, 48 PORT</v>
      </c>
      <c r="D22" s="176">
        <f>Data!X24</f>
        <v>67.73</v>
      </c>
      <c r="E22" s="28"/>
    </row>
    <row r="23" spans="1:5" s="25" customFormat="1">
      <c r="A23" s="639"/>
      <c r="B23" s="302" t="str">
        <f>Data!V25</f>
        <v>GB324</v>
      </c>
      <c r="C23" s="173" t="str">
        <f>Data!W25</f>
        <v>ALLEN TEL, GB324, FIBER OPTIC CABINET, 1U RACK MOUNT</v>
      </c>
      <c r="D23" s="176">
        <f>Data!X25</f>
        <v>69.790000000000006</v>
      </c>
      <c r="E23" s="28"/>
    </row>
    <row r="24" spans="1:5" s="25" customFormat="1">
      <c r="A24" s="639"/>
      <c r="B24" s="302" t="str">
        <f>Data!V26</f>
        <v>GBSC2-D1-05</v>
      </c>
      <c r="C24" s="173" t="str">
        <f>Data!W26</f>
        <v>ALLEN TEL, GBSC2-D1-05, FIBER JUMPER CABLE, DUPLEX, SC/SC, SM, 5 METER</v>
      </c>
      <c r="D24" s="176">
        <f>Data!X26</f>
        <v>14.17</v>
      </c>
      <c r="E24" s="28"/>
    </row>
    <row r="25" spans="1:5" s="25" customFormat="1">
      <c r="A25" s="639"/>
      <c r="B25" s="302" t="str">
        <f>Data!V27</f>
        <v>GBSC-6SM</v>
      </c>
      <c r="C25" s="173" t="str">
        <f>Data!W27</f>
        <v>ALLEN TEL, GBSC-6SM, FIBER MOUNTING ADAPTER PANEL, 6 SC PORTS</v>
      </c>
      <c r="D25" s="176">
        <f>Data!X27</f>
        <v>26.87</v>
      </c>
      <c r="E25" s="28"/>
    </row>
    <row r="26" spans="1:5" s="25" customFormat="1">
      <c r="A26" s="639"/>
      <c r="B26" s="302" t="str">
        <f>Data!V28</f>
        <v>GBST2-D1-05</v>
      </c>
      <c r="C26" s="173" t="str">
        <f>Data!W28</f>
        <v>ALLEN TEL, GBST2-D1-05, FIBER JUMPER CABLE, DUPLEX, ST/ST, SM, 5 METER</v>
      </c>
      <c r="D26" s="176">
        <f>Data!X28</f>
        <v>14.39</v>
      </c>
      <c r="E26" s="28"/>
    </row>
    <row r="27" spans="1:5" s="25" customFormat="1">
      <c r="A27" s="639"/>
      <c r="B27" s="302" t="str">
        <f>Data!V29</f>
        <v>GBST2-D1-30</v>
      </c>
      <c r="C27" s="173" t="str">
        <f>Data!W29</f>
        <v>ALLEN TEL, GBST2-D1-30, FIBER JUMPER CABLE, DUPLEX, ST/ST, SM, 30 METER</v>
      </c>
      <c r="D27" s="176">
        <f>Data!X29</f>
        <v>28.05</v>
      </c>
      <c r="E27" s="28"/>
    </row>
    <row r="28" spans="1:5" s="25" customFormat="1">
      <c r="A28" s="639"/>
      <c r="B28" s="302" t="str">
        <f>Data!V30</f>
        <v>GBST2-D1-50</v>
      </c>
      <c r="C28" s="173" t="str">
        <f>Data!W30</f>
        <v>ALLEN TEL, GBST2-D1-50, FIBER JUMPER CABLE, DUPLEX, ST/ST, SM, 50 METER</v>
      </c>
      <c r="D28" s="176">
        <f>Data!X30</f>
        <v>34.729999999999997</v>
      </c>
      <c r="E28" s="28"/>
    </row>
    <row r="29" spans="1:5" s="25" customFormat="1">
      <c r="A29" s="639"/>
      <c r="B29" s="302">
        <f>Data!V31</f>
        <v>30279</v>
      </c>
      <c r="C29" s="173" t="str">
        <f>Data!W31</f>
        <v>ALLIED TUBE, 30279, EMT CONDUIT, 1/2 in x 10 FT</v>
      </c>
      <c r="D29" s="176">
        <f>Data!X31</f>
        <v>2.25</v>
      </c>
      <c r="E29" s="28"/>
    </row>
    <row r="30" spans="1:5" s="25" customFormat="1">
      <c r="A30" s="639"/>
      <c r="B30" s="302">
        <f>Data!V32</f>
        <v>101550</v>
      </c>
      <c r="C30" s="173" t="str">
        <f>Data!W32</f>
        <v>ALLIED TUBE, 101550, EMT CONDUIT, 3/4 in x 10 FT</v>
      </c>
      <c r="D30" s="176">
        <f>Data!X32</f>
        <v>6.17</v>
      </c>
      <c r="E30" s="28"/>
    </row>
    <row r="31" spans="1:5" s="25" customFormat="1">
      <c r="A31" s="639"/>
      <c r="B31" s="302" t="str">
        <f>Data!V33</f>
        <v>2DCP2</v>
      </c>
      <c r="C31" s="173" t="str">
        <f>Data!W33</f>
        <v>ALLIED TUBE, 2DCP2, EMT COMPRESSION COUPLING, STEEL, INSULATED, 1/2 in</v>
      </c>
      <c r="D31" s="176">
        <f>Data!X33</f>
        <v>2.15</v>
      </c>
      <c r="E31" s="28"/>
    </row>
    <row r="32" spans="1:5" s="25" customFormat="1">
      <c r="A32" s="639"/>
      <c r="B32" s="302" t="str">
        <f>Data!V34</f>
        <v>2DCP8</v>
      </c>
      <c r="C32" s="173" t="str">
        <f>Data!W34</f>
        <v>ALLIED TUBE, 2DCP8, EMT COMPRESSION COUPLING, STEEL, 1/2 in</v>
      </c>
      <c r="D32" s="176">
        <f>Data!X34</f>
        <v>2.15</v>
      </c>
      <c r="E32" s="28"/>
    </row>
    <row r="33" spans="1:5" s="25" customFormat="1">
      <c r="A33" s="639"/>
      <c r="B33" s="302" t="str">
        <f>Data!V35</f>
        <v>PS1100-AS-4-EG</v>
      </c>
      <c r="C33" s="173" t="str">
        <f>Data!W35</f>
        <v>ALLIED TUBE, PS1100-AS-4-EG, EMT UNISTRUT CLAMP, 4 in</v>
      </c>
      <c r="D33" s="176">
        <f>Data!X35</f>
        <v>4.25</v>
      </c>
      <c r="E33" s="28"/>
    </row>
    <row r="34" spans="1:5" s="25" customFormat="1">
      <c r="A34" s="639"/>
      <c r="B34" s="302" t="str">
        <f>Data!V36</f>
        <v>F-128</v>
      </c>
      <c r="C34" s="173" t="str">
        <f>Data!W36</f>
        <v xml:space="preserve">AM POLYWATER, F-128, FIBER OPTIC CABLE PULLING LUBRICANT, GALLON                                                                </v>
      </c>
      <c r="D34" s="176">
        <f>Data!X36</f>
        <v>16.45</v>
      </c>
      <c r="E34" s="28"/>
    </row>
    <row r="35" spans="1:5" s="25" customFormat="1">
      <c r="A35" s="639"/>
      <c r="B35" s="302" t="str">
        <f>Data!V37</f>
        <v>F-640</v>
      </c>
      <c r="C35" s="173" t="str">
        <f>Data!W37</f>
        <v>AM POLYWATER, F-640, FIBER OPTIC CABLE PULLING LUBRICANT, 5 GALLON</v>
      </c>
      <c r="D35" s="176">
        <f>Data!X37</f>
        <v>46.37</v>
      </c>
      <c r="E35" s="28"/>
    </row>
    <row r="36" spans="1:5" s="25" customFormat="1">
      <c r="A36" s="639"/>
      <c r="B36" s="302">
        <f>Data!V38</f>
        <v>8465</v>
      </c>
      <c r="C36" s="173" t="str">
        <f>Data!W38</f>
        <v>APPLETON, 8465, Square Box Fixture Cover, No Raise, 4 in</v>
      </c>
      <c r="D36" s="176">
        <f>Data!X38</f>
        <v>2.12</v>
      </c>
      <c r="E36" s="28"/>
    </row>
    <row r="37" spans="1:5" s="25" customFormat="1">
      <c r="A37" s="639"/>
      <c r="B37" s="302">
        <f>Data!V39</f>
        <v>448</v>
      </c>
      <c r="C37" s="173" t="str">
        <f>Data!W39</f>
        <v>ARLINGTON, 448, PLASTIC SCREW BUSHING, 3.5 in</v>
      </c>
      <c r="D37" s="176">
        <f>Data!X39</f>
        <v>5.69</v>
      </c>
      <c r="E37" s="28"/>
    </row>
    <row r="38" spans="1:5" s="25" customFormat="1">
      <c r="A38" s="639"/>
      <c r="B38" s="302" t="str">
        <f>Data!V40</f>
        <v>EMT200</v>
      </c>
      <c r="C38" s="173" t="str">
        <f>Data!W40</f>
        <v>ARLINGTON, EMT200, KNOCK ON INSULATING BUSHING, 2 in</v>
      </c>
      <c r="D38" s="176">
        <f>Data!X40</f>
        <v>2.96</v>
      </c>
      <c r="E38" s="28"/>
    </row>
    <row r="39" spans="1:5" s="25" customFormat="1">
      <c r="A39" s="639"/>
      <c r="B39" s="302" t="str">
        <f>Data!V41</f>
        <v>EMT350</v>
      </c>
      <c r="C39" s="173" t="str">
        <f>Data!W41</f>
        <v>ARLINGTON, EMT350, KNOCK ON INSULATING BUSHING, 3.5 in</v>
      </c>
      <c r="D39" s="176">
        <f>Data!X41</f>
        <v>8.58</v>
      </c>
      <c r="E39" s="28"/>
    </row>
    <row r="40" spans="1:5" s="25" customFormat="1">
      <c r="A40" s="639"/>
      <c r="B40" s="302" t="str">
        <f>Data!V42</f>
        <v>L422</v>
      </c>
      <c r="C40" s="173" t="str">
        <f>Data!W42</f>
        <v>ARLINGTON, L422, SQUEEZE CONNECTOR, 3/4 in</v>
      </c>
      <c r="D40" s="176">
        <f>Data!X42</f>
        <v>1.23</v>
      </c>
      <c r="E40" s="28"/>
    </row>
    <row r="41" spans="1:5" s="25" customFormat="1">
      <c r="A41" s="639"/>
      <c r="B41" s="302" t="str">
        <f>Data!V43</f>
        <v>LT75</v>
      </c>
      <c r="C41" s="173" t="str">
        <f>Data!W43</f>
        <v>ARLINGTON, LT75, STRAIGHT LIQUID TIGHT CONNECTOR, 3/4 in</v>
      </c>
      <c r="D41" s="176">
        <f>Data!X43</f>
        <v>5.18</v>
      </c>
      <c r="E41" s="28"/>
    </row>
    <row r="42" spans="1:5" s="25" customFormat="1">
      <c r="A42" s="639"/>
      <c r="B42" s="302" t="str">
        <f>Data!V44</f>
        <v>MBC27</v>
      </c>
      <c r="C42" s="173" t="str">
        <f>Data!W44</f>
        <v>ARLINGTON, MBC27, BEAM CLAMP, IRON, 2 in</v>
      </c>
      <c r="D42" s="176">
        <f>Data!X44</f>
        <v>6.39</v>
      </c>
      <c r="E42" s="28"/>
    </row>
    <row r="43" spans="1:5" s="25" customFormat="1">
      <c r="A43" s="639"/>
      <c r="B43" s="302" t="str">
        <f>Data!V45</f>
        <v>NMLT75</v>
      </c>
      <c r="C43" s="173" t="str">
        <f>Data!W45</f>
        <v>ARLINGTON, NMLT75, STRAIGHT LIQUID TIGHT NON-METALLIC CONNECTOR, 3/4 in</v>
      </c>
      <c r="D43" s="176">
        <f>Data!X45</f>
        <v>2.4700000000000002</v>
      </c>
      <c r="E43" s="28"/>
    </row>
    <row r="44" spans="1:5" s="25" customFormat="1">
      <c r="A44" s="639"/>
      <c r="B44" s="302" t="str">
        <f>Data!V46</f>
        <v>S-PN6-DN-YL-BER-CUT REEL</v>
      </c>
      <c r="C44" s="173" t="str">
        <f>Data!W46</f>
        <v>BERK-TEK, S-PN6-DN-YL-BER-CUT REEL, PLENUM INDOOR FIBER CABLE, SM, 6 STRAND, PER FT</v>
      </c>
      <c r="D44" s="176">
        <f>Data!X46</f>
        <v>0.49</v>
      </c>
      <c r="E44" s="28"/>
    </row>
    <row r="45" spans="1:5" s="25" customFormat="1">
      <c r="A45" s="639"/>
      <c r="B45" s="302" t="str">
        <f>Data!V47</f>
        <v>FT8120A</v>
      </c>
      <c r="C45" s="173" t="str">
        <f>Data!W47</f>
        <v>BLACK BOX, FT8120A, CABLE TIES, 7.5 in, 100-PACK</v>
      </c>
      <c r="D45" s="176">
        <f>Data!X47</f>
        <v>5.58</v>
      </c>
      <c r="E45" s="28"/>
    </row>
    <row r="46" spans="1:5" s="25" customFormat="1">
      <c r="A46" s="639"/>
      <c r="B46" s="302">
        <f>Data!V48</f>
        <v>25194566</v>
      </c>
      <c r="C46" s="173" t="str">
        <f>Data!W48</f>
        <v>B-LINE, 25194566, WIRE TRAY SPLICE KIT, 50 PER BOX</v>
      </c>
      <c r="D46" s="176">
        <f>Data!X48</f>
        <v>1.91</v>
      </c>
      <c r="E46" s="28"/>
    </row>
    <row r="47" spans="1:5" s="25" customFormat="1">
      <c r="A47" s="639"/>
      <c r="B47" s="302" t="str">
        <f>Data!V49</f>
        <v>3/8-16ZN120</v>
      </c>
      <c r="C47" s="173" t="str">
        <f>Data!W49</f>
        <v>B-LINE, 3/8-16ZN120, ALL THREADED ROD, ZINC-PLATED, 3/8 in x 10 FT</v>
      </c>
      <c r="D47" s="176">
        <f>Data!X49</f>
        <v>24.6</v>
      </c>
      <c r="E47" s="28"/>
    </row>
    <row r="48" spans="1:5" s="25" customFormat="1">
      <c r="A48" s="639"/>
      <c r="B48" s="302" t="str">
        <f>Data!V50</f>
        <v>B22SGALV10</v>
      </c>
      <c r="C48" s="173" t="str">
        <f>Data!W50</f>
        <v>B-LINE, B22SGALV10, UNISTRUT, GALVANIZED, SLOTTED, 1 5/8 in DEEP x 10 FT</v>
      </c>
      <c r="D48" s="176">
        <f>Data!X50</f>
        <v>18.68</v>
      </c>
      <c r="E48" s="28"/>
    </row>
    <row r="49" spans="1:5" s="25" customFormat="1">
      <c r="A49" s="639"/>
      <c r="B49" s="302" t="str">
        <f>Data!V51</f>
        <v>BCH21-W2</v>
      </c>
      <c r="C49" s="173" t="str">
        <f>Data!W51</f>
        <v>B-LINE, BCH21-W2, CABLE HOOK TO ROD HANGER, 1 5/16 in</v>
      </c>
      <c r="D49" s="176">
        <f>Data!X51</f>
        <v>7.69</v>
      </c>
      <c r="E49" s="28"/>
    </row>
    <row r="50" spans="1:5" s="25" customFormat="1">
      <c r="A50" s="639"/>
      <c r="B50" s="302" t="str">
        <f>Data!V52</f>
        <v>BCH32-W2</v>
      </c>
      <c r="C50" s="173" t="str">
        <f>Data!W52</f>
        <v>B-LINE, BCH32-W2, CABLE HOOK TO ROD HANGER, 2 in</v>
      </c>
      <c r="D50" s="176">
        <f>Data!X52</f>
        <v>8.7200000000000006</v>
      </c>
      <c r="E50" s="28"/>
    </row>
    <row r="51" spans="1:5" s="25" customFormat="1">
      <c r="A51" s="639"/>
      <c r="B51" s="302" t="str">
        <f>Data!V53</f>
        <v>FT4X20X10</v>
      </c>
      <c r="C51" s="173" t="str">
        <f>Data!W53</f>
        <v>B-LINE, FT4X20X10, GALVANIZED FLEXTRAY, STRAIGHT SECTION, 4 in x 20 in x 10 FT</v>
      </c>
      <c r="D51" s="176">
        <f>Data!X53</f>
        <v>74.790000000000006</v>
      </c>
      <c r="E51" s="28"/>
    </row>
    <row r="52" spans="1:5" s="25" customFormat="1">
      <c r="A52" s="639"/>
      <c r="B52" s="302" t="str">
        <f>Data!V54</f>
        <v>BMP53</v>
      </c>
      <c r="C52" s="173" t="str">
        <f>Data!W54</f>
        <v>BRADY, BMP53, CABLE LABEL CARTRIDGE</v>
      </c>
      <c r="D52" s="176">
        <f>Data!X54</f>
        <v>51.99</v>
      </c>
      <c r="E52" s="28"/>
    </row>
    <row r="53" spans="1:5" s="25" customFormat="1">
      <c r="A53" s="639"/>
      <c r="B53" s="302">
        <f>Data!V55</f>
        <v>322</v>
      </c>
      <c r="C53" s="173" t="str">
        <f>Data!W55</f>
        <v>BRIDGEPORT, 322, PLASTIC BUSHING, 3/4 in</v>
      </c>
      <c r="D53" s="176">
        <f>Data!X55</f>
        <v>0.5</v>
      </c>
      <c r="E53" s="28"/>
    </row>
    <row r="54" spans="1:5" s="25" customFormat="1">
      <c r="A54" s="639"/>
      <c r="B54" s="302">
        <f>Data!V56</f>
        <v>323</v>
      </c>
      <c r="C54" s="173" t="str">
        <f>Data!W56</f>
        <v>BRIDGEPORT, 323, PLASTIC BUSHING, 1 in</v>
      </c>
      <c r="D54" s="176">
        <f>Data!X56</f>
        <v>1.8</v>
      </c>
      <c r="E54" s="28"/>
    </row>
    <row r="55" spans="1:5" s="25" customFormat="1">
      <c r="A55" s="639"/>
      <c r="B55" s="302">
        <f>Data!V57</f>
        <v>326</v>
      </c>
      <c r="C55" s="173" t="str">
        <f>Data!W57</f>
        <v>BRIDGEPORT, 326, PLASTIC BUSHING, 2 in</v>
      </c>
      <c r="D55" s="176">
        <f>Data!X57</f>
        <v>1.01</v>
      </c>
      <c r="E55" s="28"/>
    </row>
    <row r="56" spans="1:5" s="25" customFormat="1">
      <c r="A56" s="639"/>
      <c r="B56" s="302">
        <f>Data!V58</f>
        <v>330</v>
      </c>
      <c r="C56" s="173" t="str">
        <f>Data!W58</f>
        <v>BRIDGEPORT, 330, PLASTIC BUSHING, 4 in</v>
      </c>
      <c r="D56" s="176">
        <f>Data!X58</f>
        <v>1.58</v>
      </c>
      <c r="E56" s="28"/>
    </row>
    <row r="57" spans="1:5" s="25" customFormat="1">
      <c r="A57" s="639"/>
      <c r="B57" s="302">
        <f>Data!V59</f>
        <v>332</v>
      </c>
      <c r="C57" s="173" t="str">
        <f>Data!W59</f>
        <v>BRIDGEPORT, 332, PLASTIC BUSHING, 6 in</v>
      </c>
      <c r="D57" s="176">
        <f>Data!X59</f>
        <v>0.5</v>
      </c>
      <c r="E57" s="28"/>
    </row>
    <row r="58" spans="1:5" s="25" customFormat="1">
      <c r="A58" s="639"/>
      <c r="B58" s="302">
        <f>Data!V60</f>
        <v>2110</v>
      </c>
      <c r="C58" s="173" t="str">
        <f>Data!W60</f>
        <v>BRIDGEPORT, 2110, EMT CONDUIT HANGER w/ BOLT, 3/4 in</v>
      </c>
      <c r="D58" s="176">
        <f>Data!X60</f>
        <v>0.5</v>
      </c>
      <c r="E58" s="28"/>
    </row>
    <row r="59" spans="1:5" s="25" customFormat="1">
      <c r="A59" s="639"/>
      <c r="B59" s="302">
        <f>Data!V61</f>
        <v>2150</v>
      </c>
      <c r="C59" s="173" t="str">
        <f>Data!W61</f>
        <v>BRIDGEPORT, 2150, EMT CONDUIT HANGER w/ BOLT, 2 in</v>
      </c>
      <c r="D59" s="176">
        <f>Data!X61</f>
        <v>1.1299999999999999</v>
      </c>
      <c r="E59" s="28"/>
    </row>
    <row r="60" spans="1:5" s="25" customFormat="1">
      <c r="A60" s="639"/>
      <c r="B60" s="302">
        <f>Data!V62</f>
        <v>2190</v>
      </c>
      <c r="C60" s="173" t="str">
        <f>Data!W62</f>
        <v>BRIDGEPORT, 2190, EMT CONDUIT HANGER w/ BOLT, 4 in</v>
      </c>
      <c r="D60" s="176">
        <f>Data!X62</f>
        <v>4.75</v>
      </c>
      <c r="E60" s="28"/>
    </row>
    <row r="61" spans="1:5" s="25" customFormat="1">
      <c r="A61" s="639"/>
      <c r="B61" s="302" t="str">
        <f>Data!V63</f>
        <v>241-DC</v>
      </c>
      <c r="C61" s="173" t="str">
        <f>Data!W63</f>
        <v>BRIDGEPORT, 241-DC, EMT SET SCREW COUPLING, 3/4 in</v>
      </c>
      <c r="D61" s="176">
        <f>Data!X63</f>
        <v>0.65</v>
      </c>
      <c r="E61" s="28"/>
    </row>
    <row r="62" spans="1:5" s="25" customFormat="1">
      <c r="A62" s="639"/>
      <c r="B62" s="302" t="str">
        <f>Data!V64</f>
        <v>249-DC</v>
      </c>
      <c r="C62" s="173" t="str">
        <f>Data!W64</f>
        <v>BRIDGEPORT, 249-DC, EMT SET SCREW COUPLING, 4 in</v>
      </c>
      <c r="D62" s="176">
        <f>Data!X64</f>
        <v>10.33</v>
      </c>
      <c r="E62" s="28"/>
    </row>
    <row r="63" spans="1:5" s="25" customFormat="1">
      <c r="A63" s="639"/>
      <c r="B63" s="302" t="str">
        <f>Data!V65</f>
        <v>261-DC</v>
      </c>
      <c r="C63" s="173" t="str">
        <f>Data!W65</f>
        <v>BRIDGEPORT, 261-DC, EMT COMPRESSION COUPLING, 3/4 in</v>
      </c>
      <c r="D63" s="176">
        <f>Data!X65</f>
        <v>0.88</v>
      </c>
      <c r="E63" s="28"/>
    </row>
    <row r="64" spans="1:5" s="25" customFormat="1">
      <c r="A64" s="639"/>
      <c r="B64" s="302" t="str">
        <f>Data!V66</f>
        <v>262-DC</v>
      </c>
      <c r="C64" s="173" t="str">
        <f>Data!W66</f>
        <v>BRIDGEPORT, 262-DC, EMT COMPRESSION COUPLING, 1 in</v>
      </c>
      <c r="D64" s="176">
        <f>Data!X66</f>
        <v>1.37</v>
      </c>
      <c r="E64" s="28"/>
    </row>
    <row r="65" spans="1:5" s="25" customFormat="1">
      <c r="A65" s="639"/>
      <c r="B65" s="302" t="str">
        <f>Data!V67</f>
        <v>921-S</v>
      </c>
      <c r="C65" s="173" t="str">
        <f>Data!W67</f>
        <v>BRIDGEPORT, 921-S, EMT ONE HOLE STRAP, 3/4 in</v>
      </c>
      <c r="D65" s="176">
        <f>Data!X67</f>
        <v>0.45</v>
      </c>
      <c r="E65" s="28"/>
    </row>
    <row r="66" spans="1:5" s="25" customFormat="1">
      <c r="A66" s="639"/>
      <c r="B66" s="302" t="str">
        <f>Data!V68</f>
        <v>922-S</v>
      </c>
      <c r="C66" s="173" t="str">
        <f>Data!W68</f>
        <v>BRIDGEPORT, 922-S, EMT ONE HOLE STRAP, 1 in</v>
      </c>
      <c r="D66" s="176">
        <f>Data!X68</f>
        <v>0.3</v>
      </c>
      <c r="E66" s="28"/>
    </row>
    <row r="67" spans="1:5" s="25" customFormat="1">
      <c r="A67" s="639"/>
      <c r="B67" s="302" t="str">
        <f>Data!V69</f>
        <v>TZE221</v>
      </c>
      <c r="C67" s="173" t="str">
        <f>Data!W69</f>
        <v>BROTHER, TZE221, BLACK ON WHITE TAPE FOR P-TOUCH, 3/8 in</v>
      </c>
      <c r="D67" s="176">
        <f>Data!X69</f>
        <v>9.66</v>
      </c>
      <c r="E67" s="28"/>
    </row>
    <row r="68" spans="1:5" s="25" customFormat="1">
      <c r="A68" s="639"/>
      <c r="B68" s="302" t="str">
        <f>Data!V70</f>
        <v>Tze-2312PK</v>
      </c>
      <c r="C68" s="173" t="str">
        <f>Data!W70</f>
        <v>BROTHER, Tze-2312PK, BLACK ON WHITE TAPE FOR P-TOUCH, 1/2 in (2-PACK)</v>
      </c>
      <c r="D68" s="176">
        <f>Data!X70</f>
        <v>17.5</v>
      </c>
      <c r="E68" s="28"/>
    </row>
    <row r="69" spans="1:5" s="25" customFormat="1">
      <c r="A69" s="639"/>
      <c r="B69" s="302" t="str">
        <f>Data!V71</f>
        <v>THHN6STRGRN</v>
      </c>
      <c r="C69" s="173" t="str">
        <f>Data!W71</f>
        <v>BURNDY, THHN6STRGRN, THHN STRANDED #6 GROUND WIRE, PER FT</v>
      </c>
      <c r="D69" s="176">
        <f>Data!X71</f>
        <v>0.56000000000000005</v>
      </c>
      <c r="E69" s="28"/>
    </row>
    <row r="70" spans="1:5" s="25" customFormat="1">
      <c r="A70" s="639"/>
      <c r="B70" s="302" t="str">
        <f>Data!V72</f>
        <v>YA8C-L1-BOX</v>
      </c>
      <c r="C70" s="173" t="str">
        <f>Data!W72</f>
        <v>BURNDY, YA8C-L1-BOX, COMPRESSION LUG, #8, ONE HOLE</v>
      </c>
      <c r="D70" s="176">
        <f>Data!X72</f>
        <v>1.8</v>
      </c>
      <c r="E70" s="28"/>
    </row>
    <row r="71" spans="1:5" s="25" customFormat="1">
      <c r="A71" s="639"/>
      <c r="B71" s="302" t="str">
        <f>Data!V73</f>
        <v>YGA6C2N</v>
      </c>
      <c r="C71" s="173" t="str">
        <f>Data!W73</f>
        <v>BURNDY, YGA6C2N, COMPRESSION LUG, #6, TWO HOLE</v>
      </c>
      <c r="D71" s="176">
        <f>Data!X73</f>
        <v>7.94</v>
      </c>
      <c r="E71" s="28"/>
    </row>
    <row r="72" spans="1:5" s="25" customFormat="1">
      <c r="A72" s="639"/>
      <c r="B72" s="302" t="str">
        <f>Data!V74</f>
        <v>YGHC26C26</v>
      </c>
      <c r="C72" s="173" t="str">
        <f>Data!W74</f>
        <v>BURNDY, YGHC26C26, COMPRESSION GROUND TAP CONNECTOR, COPPER</v>
      </c>
      <c r="D72" s="176">
        <f>Data!X74</f>
        <v>10.94</v>
      </c>
      <c r="E72" s="28"/>
    </row>
    <row r="73" spans="1:5" s="25" customFormat="1">
      <c r="A73" s="639"/>
      <c r="B73" s="302">
        <f>Data!V75</f>
        <v>10279</v>
      </c>
      <c r="C73" s="173" t="str">
        <f>Data!W75</f>
        <v>C2G, 10279, CAT5e SNAGLESS PATCH CABLE, BLUE, 1 FT</v>
      </c>
      <c r="D73" s="176">
        <f>Data!X75</f>
        <v>0.21</v>
      </c>
      <c r="E73" s="28"/>
    </row>
    <row r="74" spans="1:5" s="25" customFormat="1">
      <c r="A74" s="639"/>
      <c r="B74" s="302">
        <f>Data!V76</f>
        <v>27350</v>
      </c>
      <c r="C74" s="173" t="str">
        <f>Data!W76</f>
        <v>C2G, 27350, CAT5e SOLID PVC BULK CABLE, BLUE, PER FT</v>
      </c>
      <c r="D74" s="176">
        <f>Data!X76</f>
        <v>0.2</v>
      </c>
      <c r="E74" s="28"/>
    </row>
    <row r="75" spans="1:5" s="25" customFormat="1">
      <c r="A75" s="639"/>
      <c r="B75" s="302">
        <f>Data!V77</f>
        <v>1020</v>
      </c>
      <c r="C75" s="173" t="str">
        <f>Data!W77</f>
        <v>CANOGA PERKINS, 1020, STANDALONE ENCLOSURE FOR EDGEACCESS UCS MODULES</v>
      </c>
      <c r="D75" s="176">
        <f>Data!X77</f>
        <v>210</v>
      </c>
      <c r="E75" s="28"/>
    </row>
    <row r="76" spans="1:5" s="25" customFormat="1">
      <c r="A76" s="639"/>
      <c r="B76" s="302">
        <f>Data!V78</f>
        <v>2346</v>
      </c>
      <c r="C76" s="173" t="str">
        <f>Data!W78</f>
        <v>CANOGA PERKINS, 2346, T-3 DS-3 FIBER OPTIC MODEM</v>
      </c>
      <c r="D76" s="176">
        <f>Data!X78</f>
        <v>1440</v>
      </c>
      <c r="E76" s="28"/>
    </row>
    <row r="77" spans="1:5" s="25" customFormat="1">
      <c r="A77" s="639"/>
      <c r="B77" s="302" t="str">
        <f>Data!V79</f>
        <v>15007-100</v>
      </c>
      <c r="C77" s="173" t="str">
        <f>Data!W79</f>
        <v>CARLON, 15007-100, LIQUIDTIGHT NON-METALLIC FLEXIBLE CONDUIT, 3/4 in, PER FT</v>
      </c>
      <c r="D77" s="176">
        <f>Data!X79</f>
        <v>1.18</v>
      </c>
      <c r="E77" s="28"/>
    </row>
    <row r="78" spans="1:5" s="25" customFormat="1">
      <c r="A78" s="639"/>
      <c r="B78" s="302" t="str">
        <f>Data!V80</f>
        <v>CF4X1C-CUT REEL</v>
      </c>
      <c r="C78" s="173" t="str">
        <f>Data!W80</f>
        <v>CARLON, CF4X1C-CUT REEL, CORRUGATED NON-METALLIC FLEXIBLE CONDUIT CABLE WITH TAPE, 1 in, PER FT</v>
      </c>
      <c r="D78" s="176">
        <f>Data!X80</f>
        <v>2.0299999999999998</v>
      </c>
      <c r="E78" s="28"/>
    </row>
    <row r="79" spans="1:5" s="25" customFormat="1">
      <c r="A79" s="639"/>
      <c r="B79" s="302" t="str">
        <f>Data!V81</f>
        <v>F1-11437</v>
      </c>
      <c r="C79" s="173" t="str">
        <f>Data!W81</f>
        <v>CARLON, F1-11437, SINGLE WALL PLENUM RATED CORRUGATED FIBER INNERDUCT WITH PULL ROPE, 1 in, PER FT</v>
      </c>
      <c r="D79" s="176">
        <f>Data!X81</f>
        <v>4.92</v>
      </c>
      <c r="E79" s="28"/>
    </row>
    <row r="80" spans="1:5" s="25" customFormat="1">
      <c r="A80" s="639"/>
      <c r="B80" s="302" t="str">
        <f>Data!V82</f>
        <v>13622-010</v>
      </c>
      <c r="C80" s="173" t="str">
        <f>Data!W82</f>
        <v>CHATSWORTH, 13622-010, WALL MOUNTED COPPER GROUND BUSBAR</v>
      </c>
      <c r="D80" s="176">
        <f>Data!X82</f>
        <v>67.55</v>
      </c>
      <c r="E80" s="28"/>
    </row>
    <row r="81" spans="1:5" s="25" customFormat="1">
      <c r="A81" s="639"/>
      <c r="B81" s="302" t="str">
        <f>Data!V83</f>
        <v>2-EMT</v>
      </c>
      <c r="C81" s="173" t="str">
        <f>Data!W83</f>
        <v>CONDUIT, 2-EMT, EMT CONDUIT, 2 in, 10 FT</v>
      </c>
      <c r="D81" s="176">
        <f>Data!X83</f>
        <v>15.7</v>
      </c>
      <c r="E81" s="28"/>
    </row>
    <row r="82" spans="1:5" s="25" customFormat="1">
      <c r="A82" s="639"/>
      <c r="B82" s="302" t="str">
        <f>Data!V84</f>
        <v>3/4-EMT</v>
      </c>
      <c r="C82" s="173" t="str">
        <f>Data!W84</f>
        <v>CONDUIT, 3/4-EMT, EMT CONDUIT, 3/4 in, 10 FT</v>
      </c>
      <c r="D82" s="176">
        <f>Data!X84</f>
        <v>4.9400000000000004</v>
      </c>
      <c r="E82" s="28"/>
    </row>
    <row r="83" spans="1:5" s="25" customFormat="1">
      <c r="A83" s="639"/>
      <c r="B83" s="302" t="str">
        <f>Data!V85</f>
        <v>3-1/2-EMT</v>
      </c>
      <c r="C83" s="173" t="str">
        <f>Data!W85</f>
        <v>CONDUIT, 3-1/2-EMT, EMT CONDUIT, 3.5 in, 10 FT</v>
      </c>
      <c r="D83" s="176">
        <f>Data!X85</f>
        <v>77.41</v>
      </c>
      <c r="E83" s="28"/>
    </row>
    <row r="84" spans="1:5" s="25" customFormat="1">
      <c r="A84" s="639"/>
      <c r="B84" s="302" t="str">
        <f>Data!V86</f>
        <v>4-EMT</v>
      </c>
      <c r="C84" s="173" t="str">
        <f>Data!W86</f>
        <v>CONDUIT, 4-EMT, EMT CONDUIT, 4 in, 10 FT</v>
      </c>
      <c r="D84" s="176">
        <f>Data!X86</f>
        <v>57.29</v>
      </c>
      <c r="E84" s="28"/>
    </row>
    <row r="85" spans="1:5" s="25" customFormat="1">
      <c r="A85" s="639"/>
      <c r="B85" s="302" t="str">
        <f>Data!V87</f>
        <v>EMT34</v>
      </c>
      <c r="C85" s="173" t="str">
        <f>Data!W87</f>
        <v>CONDUIT, EMT34, EMT CONDUIT, 3/4 in, 10 FT</v>
      </c>
      <c r="D85" s="176">
        <f>Data!X87</f>
        <v>4.8099999999999996</v>
      </c>
      <c r="E85" s="28"/>
    </row>
    <row r="86" spans="1:5" s="25" customFormat="1">
      <c r="A86" s="639"/>
      <c r="B86" s="302" t="str">
        <f>Data!V88</f>
        <v>5K-1401-5</v>
      </c>
      <c r="C86" s="173" t="str">
        <f>Data!W88</f>
        <v>CONDUMEX, 5K-1401-5, TRACER WIRE PER FT</v>
      </c>
      <c r="D86" s="176">
        <f>Data!X88</f>
        <v>0.15</v>
      </c>
      <c r="E86" s="28"/>
    </row>
    <row r="87" spans="1:5" s="25" customFormat="1">
      <c r="A87" s="639"/>
      <c r="B87" s="302" t="str">
        <f>Data!V89</f>
        <v>TWRBR20W-SPL</v>
      </c>
      <c r="C87" s="173" t="str">
        <f>Data!W89</f>
        <v>COOPER, TWRBR20W-SPL, 20AMP DUAL ELECTRICAL OUTLET</v>
      </c>
      <c r="D87" s="176">
        <f>Data!X89</f>
        <v>1.63</v>
      </c>
      <c r="E87" s="28"/>
    </row>
    <row r="88" spans="1:5" s="25" customFormat="1">
      <c r="A88" s="639"/>
      <c r="B88" s="302">
        <f>Data!V90</f>
        <v>39200</v>
      </c>
      <c r="C88" s="173" t="str">
        <f>Data!W90</f>
        <v>COPPER BLDG WIRE, 39200, 12-AWG STRANDED WHITE COPPER THHN WIRE, PER FT</v>
      </c>
      <c r="D88" s="176">
        <f>Data!X90</f>
        <v>0.27</v>
      </c>
      <c r="E88" s="28"/>
    </row>
    <row r="89" spans="1:5" s="25" customFormat="1">
      <c r="A89" s="639"/>
      <c r="B89" s="302">
        <f>Data!V91</f>
        <v>43608</v>
      </c>
      <c r="C89" s="173" t="str">
        <f>Data!W91</f>
        <v>COPPER BLDG WIRE, 43608, 12-AWG STRANDED GREEN COPPER THHN WIRE, PER FT</v>
      </c>
      <c r="D89" s="176">
        <f>Data!X91</f>
        <v>0.27</v>
      </c>
      <c r="E89" s="28"/>
    </row>
    <row r="90" spans="1:5" s="25" customFormat="1">
      <c r="A90" s="639"/>
      <c r="B90" s="302">
        <f>Data!V92</f>
        <v>293655</v>
      </c>
      <c r="C90" s="173" t="str">
        <f>Data!W92</f>
        <v>COPPER BLDG WIRE, 293655, 12-AWG STRANDED BLACK COPPER THHN WIRE, PER FT</v>
      </c>
      <c r="D90" s="176">
        <f>Data!X92</f>
        <v>0.27</v>
      </c>
      <c r="E90" s="28"/>
    </row>
    <row r="91" spans="1:5" s="25" customFormat="1">
      <c r="A91" s="639"/>
      <c r="B91" s="302" t="str">
        <f>Data!V93</f>
        <v>012E81-33131-24</v>
      </c>
      <c r="C91" s="173" t="str">
        <f>Data!W93</f>
        <v>CORNING, 012E81-33131-24, 12 STRAND SM RISER MIC FIBER CABLE, PER FT</v>
      </c>
      <c r="D91" s="176">
        <f>Data!X93</f>
        <v>0.78</v>
      </c>
      <c r="E91" s="28"/>
    </row>
    <row r="92" spans="1:5" s="25" customFormat="1">
      <c r="A92" s="639"/>
      <c r="B92" s="302" t="str">
        <f>Data!V94</f>
        <v>012E88-33131-29</v>
      </c>
      <c r="C92" s="173" t="str">
        <f>Data!W94</f>
        <v>CORNING, 012E88-33131-29, 12 STRAND SM PLENUM MIC FIBER CABLE, PER FT</v>
      </c>
      <c r="D92" s="176">
        <f>Data!X94</f>
        <v>0.53</v>
      </c>
      <c r="E92" s="28"/>
    </row>
    <row r="93" spans="1:5" s="25" customFormat="1">
      <c r="A93" s="639"/>
      <c r="B93" s="302" t="str">
        <f>Data!V95</f>
        <v>012E8F-31131-29</v>
      </c>
      <c r="C93" s="173" t="str">
        <f>Data!W95</f>
        <v>CORNING, 012E8F-31131-29, 12 STRAND SM FREEDM TIGHT-BUFFERED RISER FIBER CABLE, PER FT</v>
      </c>
      <c r="D93" s="176">
        <f>Data!X95</f>
        <v>1.1299999999999999</v>
      </c>
      <c r="E93" s="28"/>
    </row>
    <row r="94" spans="1:5" s="25" customFormat="1">
      <c r="A94" s="639"/>
      <c r="B94" s="302" t="str">
        <f>Data!V96</f>
        <v>012ESF-T4101D20</v>
      </c>
      <c r="C94" s="173" t="str">
        <f>Data!W96</f>
        <v>CORNING, 012ESF-T4101D20, 12 STRAND SM FREEDM LST GEL-FREE RISER FIBER CABLE, PER FT</v>
      </c>
      <c r="D94" s="176">
        <f>Data!X96</f>
        <v>0.52</v>
      </c>
      <c r="E94" s="28"/>
    </row>
    <row r="95" spans="1:5" s="25" customFormat="1">
      <c r="A95" s="639"/>
      <c r="B95" s="302" t="str">
        <f>Data!V97</f>
        <v>012EU4-T4701D20</v>
      </c>
      <c r="C95" s="173" t="str">
        <f>Data!W97</f>
        <v>CORNING, 012EU4-T4701D20, 12 STRAND SM ALTOS LST GEL-FREE ALL-DIELECTRIC  FIBER CABLE, PER FT</v>
      </c>
      <c r="D95" s="176">
        <f>Data!X97</f>
        <v>0.43</v>
      </c>
      <c r="E95" s="28"/>
    </row>
    <row r="96" spans="1:5" s="25" customFormat="1">
      <c r="A96" s="639"/>
      <c r="B96" s="302" t="str">
        <f>Data!V98</f>
        <v>012K88-33130-29</v>
      </c>
      <c r="C96" s="173" t="str">
        <f>Data!W98</f>
        <v>CORNING, 012K88-33130-29, 12 STRAND MM MIC TIGHT-BUFFERED PLENUM 62.5 MICRON FIBER CABLE, PER FT</v>
      </c>
      <c r="D96" s="176">
        <f>Data!X98</f>
        <v>0.85</v>
      </c>
      <c r="E96" s="28"/>
    </row>
    <row r="97" spans="1:5" s="25" customFormat="1">
      <c r="A97" s="639"/>
      <c r="B97" s="302" t="str">
        <f>Data!V99</f>
        <v>1101045-01</v>
      </c>
      <c r="C97" s="173" t="str">
        <f>Data!W99</f>
        <v xml:space="preserve">CORNING, 1101045-01, ANAEROBIC ADHESIVE KIT                                                                         </v>
      </c>
      <c r="D97" s="176">
        <f>Data!X99</f>
        <v>48.81</v>
      </c>
      <c r="E97" s="28"/>
    </row>
    <row r="98" spans="1:5" s="25" customFormat="1">
      <c r="A98" s="639"/>
      <c r="B98" s="302" t="str">
        <f>Data!V100</f>
        <v>2806031-01</v>
      </c>
      <c r="C98" s="173" t="str">
        <f>Data!W100</f>
        <v xml:space="preserve">CORNING, 2806031-01, HEAT-SHRINK FUSION SPLICE PROTECTORS, 50 PACK </v>
      </c>
      <c r="D98" s="176">
        <f>Data!X100</f>
        <v>38.46</v>
      </c>
      <c r="E98" s="28"/>
    </row>
    <row r="99" spans="1:5" s="25" customFormat="1">
      <c r="A99" s="639"/>
      <c r="B99" s="302" t="str">
        <f>Data!V101</f>
        <v>31-SC-01295</v>
      </c>
      <c r="C99" s="173" t="str">
        <f>Data!W101</f>
        <v>CORNING, 31-SC-01295, UNICAM SM CONNECTOR, SC</v>
      </c>
      <c r="D99" s="176">
        <f>Data!X101</f>
        <v>10.35</v>
      </c>
      <c r="E99" s="28"/>
    </row>
    <row r="100" spans="1:5" s="25" customFormat="1">
      <c r="A100" s="639"/>
      <c r="B100" s="302" t="str">
        <f>Data!V102</f>
        <v>3615001-01</v>
      </c>
      <c r="C100" s="173" t="str">
        <f>Data!W102</f>
        <v>CORNING, 3615001-01, LINT-FREE WIPES, 280 PACK</v>
      </c>
      <c r="D100" s="176">
        <f>Data!X102</f>
        <v>13.29</v>
      </c>
      <c r="E100" s="28"/>
    </row>
    <row r="101" spans="1:5" s="25" customFormat="1">
      <c r="A101" s="639"/>
      <c r="B101" s="302" t="str">
        <f>Data!V103</f>
        <v>585801R3131001m</v>
      </c>
      <c r="C101" s="173" t="str">
        <f>Data!W103</f>
        <v>CORNING, 585801R3131001m, FIBER JUMPER CABLE, SM, SC-SC, 1 METER</v>
      </c>
      <c r="D101" s="176">
        <f>Data!X103</f>
        <v>13.89</v>
      </c>
      <c r="E101" s="28"/>
    </row>
    <row r="102" spans="1:5" s="25" customFormat="1">
      <c r="A102" s="639"/>
      <c r="B102" s="302" t="str">
        <f>Data!V104</f>
        <v>95-101-41-SP</v>
      </c>
      <c r="C102" s="173" t="str">
        <f>Data!W104</f>
        <v xml:space="preserve">CORNING, 95-101-41-SP, SC MULTIMODE FIBER CONNECTOR                                                                          </v>
      </c>
      <c r="D102" s="176">
        <f>Data!X104</f>
        <v>6.92</v>
      </c>
      <c r="E102" s="28"/>
    </row>
    <row r="103" spans="1:5" s="25" customFormat="1">
      <c r="A103" s="639"/>
      <c r="B103" s="302" t="str">
        <f>Data!V105</f>
        <v>95-101-52-SP</v>
      </c>
      <c r="C103" s="173" t="str">
        <f>Data!W105</f>
        <v xml:space="preserve">CORNING, 95-101-52-SP, ST MULTIMODE FIBER CONNECTOR                                                                                            </v>
      </c>
      <c r="D103" s="176">
        <f>Data!X105</f>
        <v>6.92</v>
      </c>
      <c r="E103" s="28"/>
    </row>
    <row r="104" spans="1:5" s="25" customFormat="1">
      <c r="A104" s="639"/>
      <c r="B104" s="302" t="str">
        <f>Data!V106</f>
        <v>95-200-41</v>
      </c>
      <c r="C104" s="173" t="str">
        <f>Data!W106</f>
        <v>CORNING, 95-200-41, UNICAM SM CONNECTOR, SC</v>
      </c>
      <c r="D104" s="176">
        <f>Data!X106</f>
        <v>10.77</v>
      </c>
      <c r="E104" s="28"/>
    </row>
    <row r="105" spans="1:5" s="25" customFormat="1">
      <c r="A105" s="639"/>
      <c r="B105" s="302" t="str">
        <f>Data!V107</f>
        <v>95-201-41-SP</v>
      </c>
      <c r="C105" s="173" t="str">
        <f>Data!W107</f>
        <v>CORNING, 95-201-41-SP, ANAEROBIC SM FIBER CONNECTOR, SC</v>
      </c>
      <c r="D105" s="176">
        <f>Data!X107</f>
        <v>7.4</v>
      </c>
      <c r="E105" s="28"/>
    </row>
    <row r="106" spans="1:5" s="25" customFormat="1">
      <c r="A106" s="639"/>
      <c r="B106" s="302" t="str">
        <f>Data!V108</f>
        <v>CCH-01U</v>
      </c>
      <c r="C106" s="173" t="str">
        <f>Data!W108</f>
        <v xml:space="preserve">CORNING, CCH-01U, CLOSET CONNECTOR HOUSING, 1U, RACK MOUNT  </v>
      </c>
      <c r="D106" s="176">
        <f>Data!X108</f>
        <v>116.8</v>
      </c>
      <c r="E106" s="28"/>
    </row>
    <row r="107" spans="1:5" s="25" customFormat="1">
      <c r="A107" s="639"/>
      <c r="B107" s="302" t="str">
        <f>Data!V109</f>
        <v>CCH-02U</v>
      </c>
      <c r="C107" s="173" t="str">
        <f>Data!W109</f>
        <v xml:space="preserve">CORNING, CCH-02U, CLOSET CONNECTOR HOUSING, 2U, RACK MOUNT  </v>
      </c>
      <c r="D107" s="176">
        <f>Data!X109</f>
        <v>257.2</v>
      </c>
      <c r="E107" s="28"/>
    </row>
    <row r="108" spans="1:5" s="25" customFormat="1">
      <c r="A108" s="639"/>
      <c r="B108" s="302" t="str">
        <f>Data!V110</f>
        <v>CCH-04U</v>
      </c>
      <c r="C108" s="173" t="str">
        <f>Data!W110</f>
        <v xml:space="preserve">CORNING, CCH-04U, CLOSET CONNECTOR HOUSING, 4U, RACK MOUNT  </v>
      </c>
      <c r="D108" s="176">
        <f>Data!X110</f>
        <v>176.76</v>
      </c>
      <c r="E108" s="28"/>
    </row>
    <row r="109" spans="1:5" s="25" customFormat="1">
      <c r="A109" s="639"/>
      <c r="B109" s="302" t="str">
        <f>Data!V111</f>
        <v>CCH-CP06-59</v>
      </c>
      <c r="C109" s="173" t="str">
        <f>Data!W111</f>
        <v>CORNING, CCH-CP06-59, CCH SM FIBER CONNECTOR PANEL, SC, 6 PORT</v>
      </c>
      <c r="D109" s="176">
        <f>Data!X111</f>
        <v>54.85</v>
      </c>
      <c r="E109" s="28"/>
    </row>
    <row r="110" spans="1:5" s="25" customFormat="1">
      <c r="A110" s="639"/>
      <c r="B110" s="302" t="str">
        <f>Data!V112</f>
        <v>CCH-CP12-19T</v>
      </c>
      <c r="C110" s="173" t="str">
        <f>Data!W112</f>
        <v>CORNING, CCH-CP12-19T, CCH SM FIBER CONNECTOR PANEL, ST, 12 PORT</v>
      </c>
      <c r="D110" s="176">
        <f>Data!X112</f>
        <v>43.43</v>
      </c>
      <c r="E110" s="28"/>
    </row>
    <row r="111" spans="1:5" s="25" customFormat="1">
      <c r="A111" s="639"/>
      <c r="B111" s="302" t="str">
        <f>Data!V113</f>
        <v>CCH-CP12-59</v>
      </c>
      <c r="C111" s="173" t="str">
        <f>Data!W113</f>
        <v>CORNING, CCH-CP12-59, CCH SM FIBER CONNECTOR PANEL, SC, 12 PORT</v>
      </c>
      <c r="D111" s="176">
        <f>Data!X113</f>
        <v>32.85</v>
      </c>
      <c r="E111" s="28"/>
    </row>
    <row r="112" spans="1:5" s="25" customFormat="1">
      <c r="A112" s="639"/>
      <c r="B112" s="302" t="str">
        <f>Data!V114</f>
        <v>CCH-CP12-6C</v>
      </c>
      <c r="C112" s="173" t="str">
        <f>Data!W114</f>
        <v>CORNING, CCH-CP12-6C, CCH SM FIBER CONNECTOR PANEL, SC, SIMPLEX 12 PORT</v>
      </c>
      <c r="D112" s="176">
        <f>Data!X114</f>
        <v>54.45</v>
      </c>
      <c r="E112" s="28"/>
    </row>
    <row r="113" spans="1:5" s="25" customFormat="1">
      <c r="A113" s="639"/>
      <c r="B113" s="302" t="str">
        <f>Data!V115</f>
        <v>CCH-CP12-91</v>
      </c>
      <c r="C113" s="173" t="str">
        <f>Data!W115</f>
        <v>CORNING, CCH-CP12-91, CCH MM FIBER CONNECTOR PANEL, SC, 12 PORT</v>
      </c>
      <c r="D113" s="176">
        <f>Data!X115</f>
        <v>32.85</v>
      </c>
      <c r="E113" s="28"/>
    </row>
    <row r="114" spans="1:5" s="25" customFormat="1">
      <c r="A114" s="639"/>
      <c r="B114" s="302" t="str">
        <f>Data!V116</f>
        <v>FAN-BT25-12</v>
      </c>
      <c r="C114" s="173" t="str">
        <f>Data!W116</f>
        <v>CORNING, FAN-BT25-12, BUFFER TUBE FAN-OUT KIT, INDOOR, 12 FIBER</v>
      </c>
      <c r="D114" s="176">
        <f>Data!X116</f>
        <v>13.63</v>
      </c>
      <c r="E114" s="28"/>
    </row>
    <row r="115" spans="1:5" s="25" customFormat="1">
      <c r="A115" s="639"/>
      <c r="B115" s="302" t="str">
        <f>Data!V117</f>
        <v>FAN-OD25-12</v>
      </c>
      <c r="C115" s="173" t="str">
        <f>Data!W117</f>
        <v>CORNING, FAN-OD25-12, BUFFER TUBE FAN-OUT KIT, OUTDOOR, 12 FIBER</v>
      </c>
      <c r="D115" s="176">
        <f>Data!X117</f>
        <v>44.69</v>
      </c>
      <c r="E115" s="28"/>
    </row>
    <row r="116" spans="1:5" s="25" customFormat="1">
      <c r="A116" s="639"/>
      <c r="B116" s="302" t="str">
        <f>Data!V118</f>
        <v>S-PN-12-DN-YL-SIC</v>
      </c>
      <c r="C116" s="173" t="str">
        <f>Data!W118</f>
        <v>CORNING, S-PN-12-DN-YL-SIC, 12 STRAND SM TIGHT-BUFFERED PLENUM FIBER CABLE, PER FT</v>
      </c>
      <c r="D116" s="176">
        <f>Data!X118</f>
        <v>2.63</v>
      </c>
      <c r="E116" s="28"/>
    </row>
    <row r="117" spans="1:5" s="25" customFormat="1">
      <c r="A117" s="639"/>
      <c r="B117" s="302" t="str">
        <f>Data!V119</f>
        <v>S-PN-6-DN-YL-SIC</v>
      </c>
      <c r="C117" s="173" t="str">
        <f>Data!W119</f>
        <v>CORNING, S-PN-6-DN-YL-SIC, 6 STRAND SM TIGHT-BUFFERED PLENUM FIBER CABLE, PER FT</v>
      </c>
      <c r="D117" s="176">
        <f>Data!X119</f>
        <v>2.57</v>
      </c>
      <c r="E117" s="28"/>
    </row>
    <row r="118" spans="1:5" s="25" customFormat="1">
      <c r="A118" s="639"/>
      <c r="B118" s="302" t="str">
        <f>Data!V120</f>
        <v>S-PO-12-DN-A-BK-SIC</v>
      </c>
      <c r="C118" s="173" t="str">
        <f>Data!W120</f>
        <v>CORNING, S-PO-12-DN-A-BK-SIC, 12 STRAND SM FREEDM TIGHT-BUFFERED PLENUM FIBER CABLE, PER FT</v>
      </c>
      <c r="D118" s="176">
        <f>Data!X120</f>
        <v>1.61</v>
      </c>
      <c r="E118" s="28"/>
    </row>
    <row r="119" spans="1:5" s="25" customFormat="1">
      <c r="A119" s="639"/>
      <c r="B119" s="302" t="str">
        <f>Data!V121</f>
        <v>S-RO-12-CL-A-BK-SIC-CUT REEL</v>
      </c>
      <c r="C119" s="173" t="str">
        <f>Data!W121</f>
        <v>CORNING, S-RO-12-CL-A-BK-SIC-CUT REEL, 12 STRAND SM FREEDM TIGHT-BUFFERED RISER FIBER CABLE, PER FT</v>
      </c>
      <c r="D119" s="176">
        <f>Data!X121</f>
        <v>0.68</v>
      </c>
      <c r="E119" s="28"/>
    </row>
    <row r="120" spans="1:5" s="25" customFormat="1">
      <c r="A120" s="639"/>
      <c r="B120" s="302" t="str">
        <f>Data!V122</f>
        <v>WCH-02P</v>
      </c>
      <c r="C120" s="173" t="str">
        <f>Data!W122</f>
        <v>CORNING, WCH-02P, WALL-MOUNT CONNECTOR HOUSING, HOLDS 2 CCH PANELS</v>
      </c>
      <c r="D120" s="176">
        <f>Data!X122</f>
        <v>50.57</v>
      </c>
      <c r="E120" s="28"/>
    </row>
    <row r="121" spans="1:5" s="25" customFormat="1">
      <c r="A121" s="639"/>
      <c r="B121" s="302">
        <f>Data!V123</f>
        <v>16</v>
      </c>
      <c r="C121" s="173" t="str">
        <f>Data!W123</f>
        <v>CROUSE-HINDS, 16, EMT LOCKNUT, 2 in</v>
      </c>
      <c r="D121" s="176">
        <f>Data!X123</f>
        <v>1.03</v>
      </c>
      <c r="E121" s="28"/>
    </row>
    <row r="122" spans="1:5" s="25" customFormat="1">
      <c r="A122" s="639"/>
      <c r="B122" s="302">
        <f>Data!V124</f>
        <v>20</v>
      </c>
      <c r="C122" s="173" t="str">
        <f>Data!W124</f>
        <v>CROUSE-HINDS, 20, EMT LOCKNUT, 4 in</v>
      </c>
      <c r="D122" s="176">
        <f>Data!X124</f>
        <v>5.29</v>
      </c>
      <c r="E122" s="28"/>
    </row>
    <row r="123" spans="1:5" s="25" customFormat="1">
      <c r="A123" s="639"/>
      <c r="B123" s="302">
        <f>Data!V125</f>
        <v>457</v>
      </c>
      <c r="C123" s="173" t="str">
        <f>Data!W125</f>
        <v>CROUSE-HINDS, 457, EMT SET SCREW CONNECTOR, 3 in</v>
      </c>
      <c r="D123" s="176">
        <f>Data!X125</f>
        <v>10.39</v>
      </c>
      <c r="E123" s="28"/>
    </row>
    <row r="124" spans="1:5" s="25" customFormat="1">
      <c r="A124" s="639"/>
      <c r="B124" s="302" t="str">
        <f>Data!V126</f>
        <v>458</v>
      </c>
      <c r="C124" s="173" t="str">
        <f>Data!W126</f>
        <v>CROUSE-HINDS, 458, EMT SET SCREW CONNECTOR, 3.5 in</v>
      </c>
      <c r="D124" s="176">
        <f>Data!X126</f>
        <v>11.92</v>
      </c>
      <c r="E124" s="28"/>
    </row>
    <row r="125" spans="1:5" s="25" customFormat="1">
      <c r="A125" s="639"/>
      <c r="B125" s="302">
        <f>Data!V127</f>
        <v>652</v>
      </c>
      <c r="C125" s="173" t="str">
        <f>Data!W127</f>
        <v>CROUSE-HINDS, 652, EMT COMPRESSION CONNECTOR, 1 in</v>
      </c>
      <c r="D125" s="176">
        <f>Data!X127</f>
        <v>0.85</v>
      </c>
      <c r="E125" s="28"/>
    </row>
    <row r="126" spans="1:5" s="25" customFormat="1">
      <c r="A126" s="639"/>
      <c r="B126" s="302">
        <f>Data!V128</f>
        <v>655</v>
      </c>
      <c r="C126" s="173" t="str">
        <f>Data!W128</f>
        <v>CROUSE-HINDS, 655, EMT COMPRESSION CONNECTOR, 2 in</v>
      </c>
      <c r="D126" s="176">
        <f>Data!X128</f>
        <v>4.78</v>
      </c>
      <c r="E126" s="28"/>
    </row>
    <row r="127" spans="1:5" s="25" customFormat="1">
      <c r="A127" s="639"/>
      <c r="B127" s="302">
        <f>Data!V129</f>
        <v>659</v>
      </c>
      <c r="C127" s="173" t="str">
        <f>Data!W129</f>
        <v>CROUSE-HINDS, 659, EMT COMPRESSION CONNECTOR, 4 in</v>
      </c>
      <c r="D127" s="176">
        <f>Data!X129</f>
        <v>15.9</v>
      </c>
      <c r="E127" s="28"/>
    </row>
    <row r="128" spans="1:5" s="25" customFormat="1">
      <c r="A128" s="639"/>
      <c r="B128" s="302">
        <f>Data!V130</f>
        <v>936</v>
      </c>
      <c r="C128" s="173" t="str">
        <f>Data!W130</f>
        <v>CROUSE-HINDS, 936, PLASTIC INSULATING BUSHING, 2 in</v>
      </c>
      <c r="D128" s="176">
        <f>Data!X130</f>
        <v>0.7</v>
      </c>
      <c r="E128" s="28"/>
    </row>
    <row r="129" spans="1:5" s="25" customFormat="1">
      <c r="A129" s="639"/>
      <c r="B129" s="302">
        <f>Data!V131</f>
        <v>938</v>
      </c>
      <c r="C129" s="173" t="str">
        <f>Data!W131</f>
        <v>CROUSE-HINDS, 938, PLASTIC INSULATING BUSHING, 3 in</v>
      </c>
      <c r="D129" s="176">
        <f>Data!X131</f>
        <v>3.19</v>
      </c>
      <c r="E129" s="28"/>
    </row>
    <row r="130" spans="1:5" s="25" customFormat="1">
      <c r="A130" s="639"/>
      <c r="B130" s="302">
        <f>Data!V132</f>
        <v>1129</v>
      </c>
      <c r="C130" s="173" t="str">
        <f>Data!W132</f>
        <v>CROUSE-HINDS, 1129, PLASTIC INSULATING BUSHING, 4 in</v>
      </c>
      <c r="D130" s="176">
        <f>Data!X132</f>
        <v>1.61</v>
      </c>
      <c r="E130" s="28"/>
    </row>
    <row r="131" spans="1:5" s="25" customFormat="1">
      <c r="A131" s="639"/>
      <c r="B131" s="302" t="str">
        <f>Data!V133</f>
        <v>1B</v>
      </c>
      <c r="C131" s="173" t="str">
        <f>Data!W133</f>
        <v>CROUSE-HINDS, 1B, EMT HANGER BRACKET, 3/4 in</v>
      </c>
      <c r="D131" s="176">
        <f>Data!X133</f>
        <v>0.35</v>
      </c>
      <c r="E131" s="28"/>
    </row>
    <row r="132" spans="1:5" s="25" customFormat="1">
      <c r="A132" s="639"/>
      <c r="B132" s="302" t="str">
        <f>Data!V134</f>
        <v>2B</v>
      </c>
      <c r="C132" s="173" t="str">
        <f>Data!W134</f>
        <v>CROUSE-HINDS, 2B, EMT HANGER BRACKET, 1 in</v>
      </c>
      <c r="D132" s="176">
        <f>Data!X134</f>
        <v>0.46</v>
      </c>
      <c r="E132" s="28"/>
    </row>
    <row r="133" spans="1:5" s="25" customFormat="1">
      <c r="A133" s="639"/>
      <c r="B133" s="302" t="str">
        <f>Data!V135</f>
        <v>496-7</v>
      </c>
      <c r="C133" s="173" t="str">
        <f>Data!W135</f>
        <v>CROUSE-HINDS, 496-7, EMT 2 HOLE CONDUIT CLAMP, 1.5 in, 50 PER BOX</v>
      </c>
      <c r="D133" s="176">
        <f>Data!X135</f>
        <v>4.75</v>
      </c>
      <c r="E133" s="28"/>
    </row>
    <row r="134" spans="1:5" s="25" customFormat="1">
      <c r="A134" s="639"/>
      <c r="B134" s="302" t="str">
        <f>Data!V136</f>
        <v>651S</v>
      </c>
      <c r="C134" s="173" t="str">
        <f>Data!W136</f>
        <v>CROUSE-HINDS, 651S, EMT COMPRESSION CONNECTOR, 3/4 in</v>
      </c>
      <c r="D134" s="176">
        <f>Data!X136</f>
        <v>0.73</v>
      </c>
      <c r="E134" s="28"/>
    </row>
    <row r="135" spans="1:5" s="25" customFormat="1">
      <c r="A135" s="639"/>
      <c r="B135" s="302" t="str">
        <f>Data!V137</f>
        <v>LT50</v>
      </c>
      <c r="C135" s="173" t="str">
        <f>Data!W137</f>
        <v>CROUSE-HINDS, LT50, EMT LIQUIDTIGHT CONNECTOR, 1/2 in</v>
      </c>
      <c r="D135" s="176">
        <f>Data!X137</f>
        <v>5.63</v>
      </c>
      <c r="E135" s="28"/>
    </row>
    <row r="136" spans="1:5" s="25" customFormat="1">
      <c r="A136" s="639"/>
      <c r="B136" s="302" t="str">
        <f>Data!V138</f>
        <v>LT7590</v>
      </c>
      <c r="C136" s="173" t="str">
        <f>Data!W138</f>
        <v>CROUSE-HINDS, LT7590, EMT LIQUIDTIGHT CONNECTOR, 3/4 in</v>
      </c>
      <c r="D136" s="176">
        <f>Data!X138</f>
        <v>8.11</v>
      </c>
      <c r="E136" s="28"/>
    </row>
    <row r="137" spans="1:5" s="25" customFormat="1">
      <c r="A137" s="639"/>
      <c r="B137" s="302" t="str">
        <f>Data!V139</f>
        <v>TP432</v>
      </c>
      <c r="C137" s="173" t="str">
        <f>Data!W139</f>
        <v>CROUSE-HINDS, TP432, ELECTRICAL OUTLET BOX, GALV, 4 in SQUARE, 2 1/8 in DEEP</v>
      </c>
      <c r="D137" s="176">
        <f>Data!X139</f>
        <v>3.66</v>
      </c>
      <c r="E137" s="28"/>
    </row>
    <row r="138" spans="1:5" s="25" customFormat="1">
      <c r="A138" s="639"/>
      <c r="B138" s="302">
        <f>Data!V140</f>
        <v>1692</v>
      </c>
      <c r="C138" s="173" t="str">
        <f>Data!W140</f>
        <v>DURAVENT, 1692, STOVE PIPE, 2 in</v>
      </c>
      <c r="D138" s="176">
        <f>Data!X140</f>
        <v>34.119999999999997</v>
      </c>
      <c r="E138" s="28"/>
    </row>
    <row r="139" spans="1:5" s="25" customFormat="1">
      <c r="A139" s="639"/>
      <c r="B139" s="302" t="str">
        <f>Data!V141</f>
        <v>BCH32-U-2-4</v>
      </c>
      <c r="C139" s="173" t="str">
        <f>Data!W141</f>
        <v>EATON, BCH32-U-2-4, J-HOOK, HAMMER-ON, 2 in</v>
      </c>
      <c r="D139" s="176">
        <f>Data!X141</f>
        <v>7.38</v>
      </c>
      <c r="E139" s="28"/>
    </row>
    <row r="140" spans="1:5" s="25" customFormat="1">
      <c r="A140" s="639"/>
      <c r="B140" s="302" t="str">
        <f>Data!V142</f>
        <v>BR120</v>
      </c>
      <c r="C140" s="173" t="str">
        <f>Data!W142</f>
        <v>EATON, BR120, 20 AMP CIRCUIT BREAKER, 1 POLE, 120/240V</v>
      </c>
      <c r="D140" s="176">
        <f>Data!X142</f>
        <v>8.65</v>
      </c>
      <c r="E140" s="28"/>
    </row>
    <row r="141" spans="1:5" s="25" customFormat="1">
      <c r="A141" s="639"/>
      <c r="B141" s="302" t="str">
        <f>Data!V143</f>
        <v>BR612L125SDP</v>
      </c>
      <c r="C141" s="173" t="str">
        <f>Data!W143</f>
        <v>EATON, BR612L125SDP, 125 AMP LOAD CENTER, 120/240V, 6 SPACE</v>
      </c>
      <c r="D141" s="176">
        <f>Data!X143</f>
        <v>55.47</v>
      </c>
      <c r="E141" s="28"/>
    </row>
    <row r="142" spans="1:5" s="25" customFormat="1">
      <c r="A142" s="639"/>
      <c r="B142" s="302" t="str">
        <f>Data!V144</f>
        <v>1-EMT</v>
      </c>
      <c r="C142" s="173" t="str">
        <f>Data!W144</f>
        <v>EMT, 1-EMT, EMT CONDUIT, 1 in, 10 FT</v>
      </c>
      <c r="D142" s="176">
        <f>Data!X144</f>
        <v>7.32</v>
      </c>
      <c r="E142" s="28"/>
    </row>
    <row r="143" spans="1:5" s="25" customFormat="1">
      <c r="A143" s="639"/>
      <c r="B143" s="302" t="str">
        <f>Data!V145</f>
        <v>2-EMT</v>
      </c>
      <c r="C143" s="173" t="str">
        <f>Data!W145</f>
        <v>EMT, 2-EMT, EMT CONDUIT, 2 in, 10 FT</v>
      </c>
      <c r="D143" s="176">
        <f>Data!X145</f>
        <v>11.11</v>
      </c>
      <c r="E143" s="28"/>
    </row>
    <row r="144" spans="1:5" s="25" customFormat="1">
      <c r="A144" s="639"/>
      <c r="B144" s="302" t="str">
        <f>Data!V146</f>
        <v>3/4EMT</v>
      </c>
      <c r="C144" s="173" t="str">
        <f>Data!W146</f>
        <v>EMT, 3/4EMT, EMT CONDUIT, 3/4 in, 10 FT</v>
      </c>
      <c r="D144" s="176">
        <f>Data!X146</f>
        <v>6.17</v>
      </c>
      <c r="E144" s="28"/>
    </row>
    <row r="145" spans="1:5" s="25" customFormat="1">
      <c r="A145" s="639"/>
      <c r="B145" s="302" t="str">
        <f>Data!V147</f>
        <v>5XC16</v>
      </c>
      <c r="C145" s="173" t="str">
        <f>Data!W147</f>
        <v>EMT, 5XC16, SET SCREW COUPLER, 3/4 in</v>
      </c>
      <c r="D145" s="176">
        <f>Data!X147</f>
        <v>1.74</v>
      </c>
      <c r="E145" s="28"/>
    </row>
    <row r="146" spans="1:5" s="25" customFormat="1">
      <c r="A146" s="639"/>
      <c r="B146" s="302" t="str">
        <f>Data!V148</f>
        <v>0500PL</v>
      </c>
      <c r="C146" s="173" t="str">
        <f>Data!W148</f>
        <v>ENDOT, 0500PL, PLENUM INNERDUCT, 1 in, PER FT.</v>
      </c>
      <c r="D146" s="176">
        <f>Data!X148</f>
        <v>1.38</v>
      </c>
      <c r="E146" s="28"/>
    </row>
    <row r="147" spans="1:5" s="25" customFormat="1">
      <c r="A147" s="639"/>
      <c r="B147" s="302" t="str">
        <f>Data!V149</f>
        <v>BC</v>
      </c>
      <c r="C147" s="173" t="str">
        <f>Data!W149</f>
        <v>ERICO, BC, BEAM CLAMP</v>
      </c>
      <c r="D147" s="176">
        <f>Data!X149</f>
        <v>1.01</v>
      </c>
      <c r="E147" s="28"/>
    </row>
    <row r="148" spans="1:5" s="25" customFormat="1">
      <c r="A148" s="639"/>
      <c r="B148" s="302" t="str">
        <f>Data!V150</f>
        <v>Caddy CAT32</v>
      </c>
      <c r="C148" s="173" t="str">
        <f>Data!W150</f>
        <v>ERICO, Caddy CAT32, J-HOOKS, 2 in</v>
      </c>
      <c r="D148" s="176">
        <f>Data!X150</f>
        <v>2.82</v>
      </c>
      <c r="E148" s="28"/>
    </row>
    <row r="149" spans="1:5" s="25" customFormat="1">
      <c r="A149" s="639"/>
      <c r="B149" s="302" t="str">
        <f>Data!V151</f>
        <v>CAT32HP</v>
      </c>
      <c r="C149" s="173" t="str">
        <f>Data!W151</f>
        <v>ERICO, CAT32HP, HP J-HOOKS, 2 in</v>
      </c>
      <c r="D149" s="176">
        <f>Data!X151</f>
        <v>4.0999999999999996</v>
      </c>
      <c r="E149" s="28"/>
    </row>
    <row r="150" spans="1:5" s="25" customFormat="1">
      <c r="A150" s="639"/>
      <c r="B150" s="302" t="str">
        <f>Data!V152</f>
        <v>K12</v>
      </c>
      <c r="C150" s="173" t="str">
        <f>Data!W152</f>
        <v>ERICO, K12, CONDUIT HANGER, 3/4 in</v>
      </c>
      <c r="D150" s="176">
        <f>Data!X152</f>
        <v>0.53</v>
      </c>
      <c r="E150" s="28"/>
    </row>
    <row r="151" spans="1:5" s="25" customFormat="1">
      <c r="A151" s="639"/>
      <c r="B151" s="302" t="str">
        <f>Data!V153</f>
        <v>MPLS</v>
      </c>
      <c r="C151" s="173" t="str">
        <f>Data!W153</f>
        <v xml:space="preserve">ERICO, MPLS, SINGLE GANG MOUNTING PLATE BRACKET                   </v>
      </c>
      <c r="D151" s="176">
        <f>Data!X153</f>
        <v>2.5</v>
      </c>
      <c r="E151" s="28"/>
    </row>
    <row r="152" spans="1:5" s="25" customFormat="1">
      <c r="A152" s="639"/>
      <c r="B152" s="302">
        <f>Data!V154</f>
        <v>31059</v>
      </c>
      <c r="C152" s="173" t="str">
        <f>Data!W154</f>
        <v>FASTENAL, 31059, SELF TAPPING PAN HEAD SCREW, #10 - 16</v>
      </c>
      <c r="D152" s="176">
        <f>Data!X154</f>
        <v>0.08</v>
      </c>
      <c r="E152" s="28"/>
    </row>
    <row r="153" spans="1:5" s="25" customFormat="1">
      <c r="A153" s="639"/>
      <c r="B153" s="302">
        <f>Data!V155</f>
        <v>1171832</v>
      </c>
      <c r="C153" s="173" t="str">
        <f>Data!W155</f>
        <v>FASTENAL, 1171832, SLOTTED ROUND HEAD MACHINE SCREW, 18-8 STAINLESS STEEL, 1/4-20 x 1-1/2 in</v>
      </c>
      <c r="D153" s="176">
        <f>Data!X155</f>
        <v>0.08</v>
      </c>
      <c r="E153" s="28"/>
    </row>
    <row r="154" spans="1:5" s="25" customFormat="1">
      <c r="A154" s="639"/>
      <c r="B154" s="302">
        <f>Data!V156</f>
        <v>3116823</v>
      </c>
      <c r="C154" s="173" t="str">
        <f>Data!W156</f>
        <v>FASTENAL, 3116823, FENDER WASHER, 3/8 in</v>
      </c>
      <c r="D154" s="176">
        <f>Data!X156</f>
        <v>0.22</v>
      </c>
      <c r="E154" s="28"/>
    </row>
    <row r="155" spans="1:5" s="25" customFormat="1">
      <c r="A155" s="639"/>
      <c r="B155" s="302">
        <f>Data!V157</f>
        <v>11544410</v>
      </c>
      <c r="C155" s="173" t="str">
        <f>Data!W157</f>
        <v xml:space="preserve">FASTENAL, 11544410, ZINC ELECTROPLATE SPRING STEEL CAGE NUT, 1/4-20 </v>
      </c>
      <c r="D155" s="176">
        <f>Data!X157</f>
        <v>0.24</v>
      </c>
      <c r="E155" s="28"/>
    </row>
    <row r="156" spans="1:5" s="25" customFormat="1">
      <c r="A156" s="639"/>
      <c r="B156" s="302" t="str">
        <f>Data!V158</f>
        <v>AM/C1080</v>
      </c>
      <c r="C156" s="173" t="str">
        <f>Data!W158</f>
        <v>FLUKE NETWORKS, AM/C1080, 802.11A/B/G/N USB CLIENT ADAPTER</v>
      </c>
      <c r="D156" s="176">
        <f>Data!X158</f>
        <v>124</v>
      </c>
      <c r="E156" s="28"/>
    </row>
    <row r="157" spans="1:5" s="25" customFormat="1">
      <c r="A157" s="639"/>
      <c r="B157" s="302">
        <f>Data!V159</f>
        <v>45501</v>
      </c>
      <c r="C157" s="173" t="str">
        <f>Data!W159</f>
        <v>GAMPAK, 45501, BX-MC-FLEX CONNECTOR, 3/8 in, PACK OF 10</v>
      </c>
      <c r="D157" s="176">
        <f>Data!X159</f>
        <v>5.15</v>
      </c>
      <c r="E157" s="28"/>
    </row>
    <row r="158" spans="1:5" s="25" customFormat="1">
      <c r="A158" s="639"/>
      <c r="B158" s="302">
        <f>Data!V160</f>
        <v>47921</v>
      </c>
      <c r="C158" s="173" t="str">
        <f>Data!W160</f>
        <v>GAMPAK, 47921, EMT ONE HOLE STRAP, 3/4 in, PACK OF 4</v>
      </c>
      <c r="D158" s="176">
        <f>Data!X160</f>
        <v>0.78</v>
      </c>
      <c r="E158" s="28"/>
    </row>
    <row r="159" spans="1:5" s="25" customFormat="1">
      <c r="A159" s="639"/>
      <c r="B159" s="302">
        <f>Data!V161</f>
        <v>49326</v>
      </c>
      <c r="C159" s="173" t="str">
        <f>Data!W161</f>
        <v>GAMPAK, 49326, EMT SCREW-ON BUSHING, 2 in</v>
      </c>
      <c r="D159" s="176">
        <f>Data!X161</f>
        <v>1.82</v>
      </c>
      <c r="E159" s="28"/>
    </row>
    <row r="160" spans="1:5" s="25" customFormat="1">
      <c r="A160" s="639"/>
      <c r="B160" s="302" t="str">
        <f>Data!V162</f>
        <v>THQP1120</v>
      </c>
      <c r="C160" s="173" t="str">
        <f>Data!W162</f>
        <v>GE, THQP1120, 20 AMP CIRCUIT BREAKER, 1 POLE, BOLT-ON, 120/240V</v>
      </c>
      <c r="D160" s="176">
        <f>Data!X162</f>
        <v>17.07</v>
      </c>
      <c r="E160" s="28"/>
    </row>
    <row r="161" spans="1:5" s="25" customFormat="1">
      <c r="A161" s="639"/>
      <c r="B161" s="302" t="str">
        <f>Data!V163</f>
        <v>2XPR200-103D20TL5</v>
      </c>
      <c r="C161" s="173" t="str">
        <f>Data!W163</f>
        <v>GEIST, 2XPR200-103D20TL5, RACK MOUNT PDU, 20 x NEMA 5-15/20R OUTLETS, 10 FOOT L5-30P TWIST LOCK POWER CORD</v>
      </c>
      <c r="D161" s="176">
        <f>Data!X163</f>
        <v>207.49</v>
      </c>
      <c r="E161" s="28"/>
    </row>
    <row r="162" spans="1:5" s="25" customFormat="1">
      <c r="A162" s="639"/>
      <c r="B162" s="302" t="str">
        <f>Data!V164</f>
        <v>6504-6W</v>
      </c>
      <c r="C162" s="173" t="str">
        <f>Data!W164</f>
        <v>GENERAL CABLE, 6504-6W, CAT5e CABLE, PER FT</v>
      </c>
      <c r="D162" s="176">
        <f>Data!X164</f>
        <v>0.16</v>
      </c>
      <c r="E162" s="28"/>
    </row>
    <row r="163" spans="1:5" s="25" customFormat="1">
      <c r="A163" s="639"/>
      <c r="B163" s="302" t="str">
        <f>Data!V165</f>
        <v>CG0061PNU-ILPA</v>
      </c>
      <c r="C163" s="173" t="str">
        <f>Data!W165</f>
        <v>GENERAL CABLE, CG0061PNU-ILPA, 12 STRAND SM TIGHT-BUFFERED ARMORED PLENUM FIBER CABLE, PER FT</v>
      </c>
      <c r="D163" s="176">
        <f>Data!X165</f>
        <v>5.17</v>
      </c>
      <c r="E163" s="28"/>
    </row>
    <row r="164" spans="1:5" s="25" customFormat="1">
      <c r="A164" s="639"/>
      <c r="B164" s="302" t="str">
        <f>Data!V166</f>
        <v>P012PNU-GCC</v>
      </c>
      <c r="C164" s="173" t="str">
        <f>Data!W166</f>
        <v>GENERAL CABLE, P012PNU-GCC, 12 STRAND SM FIBER, PER FT</v>
      </c>
      <c r="D164" s="176">
        <f>Data!X166</f>
        <v>0.57999999999999996</v>
      </c>
      <c r="E164" s="28"/>
    </row>
    <row r="165" spans="1:5" s="25" customFormat="1">
      <c r="A165" s="639"/>
      <c r="B165" s="302" t="str">
        <f>Data!V167</f>
        <v>THHN-6-STR-GRN-CUT REEL</v>
      </c>
      <c r="C165" s="173" t="str">
        <f>Data!W167</f>
        <v>GENERAL CABLE, THHN-6-STR-GRN-CUT REEL, THHN STRANDED #6 WIRE, GREEN, PER FT</v>
      </c>
      <c r="D165" s="176">
        <f>Data!X167</f>
        <v>0.59</v>
      </c>
      <c r="E165" s="28"/>
    </row>
    <row r="166" spans="1:5" s="25" customFormat="1">
      <c r="A166" s="639"/>
      <c r="B166" s="302" t="str">
        <f>Data!V168</f>
        <v>11K316</v>
      </c>
      <c r="C166" s="173" t="str">
        <f>Data!W168</f>
        <v>GRAINGER , 11K316, TOOGLE BOLT, 3/8 in</v>
      </c>
      <c r="D166" s="176">
        <f>Data!X168</f>
        <v>2.77</v>
      </c>
      <c r="E166" s="28"/>
    </row>
    <row r="167" spans="1:5" s="25" customFormat="1">
      <c r="A167" s="639"/>
      <c r="B167" s="302" t="str">
        <f>Data!V169</f>
        <v>430G</v>
      </c>
      <c r="C167" s="173" t="str">
        <f>Data!W169</f>
        <v>GREENLEE, 430G, JET LINE 6500 FT</v>
      </c>
      <c r="D167" s="176">
        <f>Data!X169</f>
        <v>32.659999999999997</v>
      </c>
      <c r="E167" s="28"/>
    </row>
    <row r="168" spans="1:5" s="25" customFormat="1">
      <c r="A168" s="639"/>
      <c r="B168" s="302" t="str">
        <f>Data!V170</f>
        <v>WGM30003</v>
      </c>
      <c r="C168" s="173" t="str">
        <f>Data!W170</f>
        <v>GREENSMIX, WGM30003, LEVELING PAVER SAND .5 CUBIC FT</v>
      </c>
      <c r="D168" s="176">
        <f>Data!X170</f>
        <v>5.72</v>
      </c>
      <c r="E168" s="28"/>
    </row>
    <row r="169" spans="1:5" s="25" customFormat="1">
      <c r="A169" s="639"/>
      <c r="B169" s="302">
        <f>Data!V171</f>
        <v>26272</v>
      </c>
      <c r="C169" s="173" t="str">
        <f>Data!W171</f>
        <v>HALEX, 26272, EMT SET SCREW CONNECTOR, 3/4 in</v>
      </c>
      <c r="D169" s="176">
        <f>Data!X171</f>
        <v>3.09</v>
      </c>
      <c r="E169" s="28"/>
    </row>
    <row r="170" spans="1:5" s="25" customFormat="1">
      <c r="A170" s="639"/>
      <c r="B170" s="302">
        <f>Data!V172</f>
        <v>26282</v>
      </c>
      <c r="C170" s="173" t="str">
        <f>Data!W172</f>
        <v>HALEX, 26282, EMT SET SCREW COUPLING, 3/4 in</v>
      </c>
      <c r="D170" s="176">
        <f>Data!X172</f>
        <v>4.63</v>
      </c>
      <c r="E170" s="28"/>
    </row>
    <row r="171" spans="1:5" s="25" customFormat="1">
      <c r="A171" s="639"/>
      <c r="B171" s="302" t="str">
        <f>Data!V173</f>
        <v>S-5275</v>
      </c>
      <c r="C171" s="173" t="str">
        <f>Data!W173</f>
        <v>HEILMAN TYCO, S-5275, NYLON CABLE TIES, 11 in, BOX OF 500</v>
      </c>
      <c r="D171" s="176">
        <f>Data!X173</f>
        <v>15.76</v>
      </c>
      <c r="E171" s="28"/>
    </row>
    <row r="172" spans="1:5" s="25" customFormat="1">
      <c r="A172" s="639"/>
      <c r="B172" s="302" t="str">
        <f>Data!V174</f>
        <v>GT75X1800</v>
      </c>
      <c r="C172" s="173" t="str">
        <f>Data!W174</f>
        <v>HELLERMANTYTON, GT75X1800, BLACK VELCRO ROLL, 3/4 in x 15 FT</v>
      </c>
      <c r="D172" s="176">
        <f>Data!X174</f>
        <v>11.92</v>
      </c>
      <c r="E172" s="28"/>
    </row>
    <row r="173" spans="1:5" s="25" customFormat="1">
      <c r="A173" s="639"/>
      <c r="B173" s="302">
        <f>Data!V175</f>
        <v>829304</v>
      </c>
      <c r="C173" s="173" t="str">
        <f>Data!W175</f>
        <v>HILLMAN GROUP, 829304, HEX NUT, STAINLESS STEEL, 3/8 in-16</v>
      </c>
      <c r="D173" s="176">
        <f>Data!X175</f>
        <v>0.11</v>
      </c>
      <c r="E173" s="28"/>
    </row>
    <row r="174" spans="1:5" s="25" customFormat="1">
      <c r="A174" s="639"/>
      <c r="B174" s="302">
        <f>Data!V176</f>
        <v>830626</v>
      </c>
      <c r="C174" s="173" t="str">
        <f>Data!W176</f>
        <v>HILLMAN GROUP, 830626, FENDER WASHER, STAINLESS STEEL, 3/8 x 1.5 in</v>
      </c>
      <c r="D174" s="176">
        <f>Data!X176</f>
        <v>0.11</v>
      </c>
      <c r="E174" s="28"/>
    </row>
    <row r="175" spans="1:5" s="25" customFormat="1">
      <c r="A175" s="639"/>
      <c r="B175" s="302">
        <f>Data!V177</f>
        <v>8110566</v>
      </c>
      <c r="C175" s="173" t="str">
        <f>Data!W177</f>
        <v>HILLMAN GROUP, 8110566, LOCK WASHER, STAINLESS STEEL, 3/8 in</v>
      </c>
      <c r="D175" s="176">
        <f>Data!X177</f>
        <v>0.04</v>
      </c>
      <c r="E175" s="28"/>
    </row>
    <row r="176" spans="1:5" s="25" customFormat="1">
      <c r="A176" s="639"/>
      <c r="B176" s="302" t="str">
        <f>Data!V178</f>
        <v>A18R186</v>
      </c>
      <c r="C176" s="173" t="str">
        <f>Data!W178</f>
        <v>HOFFMAN, A18R186, NEMA 3R ENCLOSURE WITH SCREW COVER</v>
      </c>
      <c r="D176" s="176">
        <f>Data!X178</f>
        <v>96.22</v>
      </c>
      <c r="E176" s="28"/>
    </row>
    <row r="177" spans="1:5" s="25" customFormat="1">
      <c r="A177" s="639"/>
      <c r="B177" s="302" t="str">
        <f>Data!V179</f>
        <v>AS1032</v>
      </c>
      <c r="C177" s="173" t="str">
        <f>Data!W179</f>
        <v>HOFFMAN, AS1032, SCREWS, STEEL, SILVER, 10-32 x 5/8 in, PACK OF 20</v>
      </c>
      <c r="D177" s="176">
        <f>Data!X179</f>
        <v>17.489999999999998</v>
      </c>
      <c r="E177" s="28"/>
    </row>
    <row r="178" spans="1:5" s="25" customFormat="1">
      <c r="A178" s="639"/>
      <c r="B178" s="302" t="str">
        <f>Data!V180</f>
        <v>ASE12X12X6NK</v>
      </c>
      <c r="C178" s="173" t="str">
        <f>Data!W180</f>
        <v>HOFFMAN, ASE12X12X6NK, NEMA 1 JUCTION BOX WITH SCREW COVER, 12x12x6  in</v>
      </c>
      <c r="D178" s="176">
        <f>Data!X180</f>
        <v>25.29</v>
      </c>
      <c r="E178" s="28"/>
    </row>
    <row r="179" spans="1:5" s="25" customFormat="1">
      <c r="A179" s="639"/>
      <c r="B179" s="302" t="str">
        <f>Data!V181</f>
        <v>P1032CN</v>
      </c>
      <c r="C179" s="173" t="str">
        <f>Data!W181</f>
        <v>HOFFMAN, P1032CN, CAGE NUTS, STEEL, SILVER, 10-32 in, PACK OF 20</v>
      </c>
      <c r="D179" s="176">
        <f>Data!X181</f>
        <v>24.4</v>
      </c>
      <c r="E179" s="28"/>
    </row>
    <row r="180" spans="1:5" s="25" customFormat="1">
      <c r="A180" s="639"/>
      <c r="B180" s="302">
        <f>Data!V182</f>
        <v>309961</v>
      </c>
      <c r="C180" s="173" t="str">
        <f>Data!W182</f>
        <v>HOME DEPOT, 309961, PLYWOOD BACK BOARD, FIRE-RATED, PRESSURE-TREATED, 4 X 8 FT</v>
      </c>
      <c r="D180" s="176">
        <f>Data!X182</f>
        <v>43.22</v>
      </c>
      <c r="E180" s="28"/>
    </row>
    <row r="181" spans="1:5" s="25" customFormat="1">
      <c r="A181" s="639"/>
      <c r="B181" s="302" t="str">
        <f>Data!V183</f>
        <v>FRPLY4X4</v>
      </c>
      <c r="C181" s="173" t="str">
        <f>Data!W183</f>
        <v>HOME DEPOT, FRPLY4X4, PLYWOOD BACK BOARD, FIRE-RATED, 4 X 4 FT</v>
      </c>
      <c r="D181" s="176">
        <f>Data!X183</f>
        <v>22.42</v>
      </c>
      <c r="E181" s="28"/>
    </row>
    <row r="182" spans="1:5" s="25" customFormat="1">
      <c r="A182" s="639"/>
      <c r="B182" s="302" t="str">
        <f>Data!V184</f>
        <v>N/A</v>
      </c>
      <c r="C182" s="173" t="str">
        <f>Data!W184</f>
        <v>HOME DEPOT, N/A, PLYWOOD BACK BOARD, 4 X 4 FT</v>
      </c>
      <c r="D182" s="176">
        <f>Data!X184</f>
        <v>48.5</v>
      </c>
      <c r="E182" s="28"/>
    </row>
    <row r="183" spans="1:5" s="25" customFormat="1">
      <c r="A183" s="639"/>
      <c r="B183" s="302">
        <f>Data!V185</f>
        <v>232</v>
      </c>
      <c r="C183" s="173" t="str">
        <f>Data!W185</f>
        <v>HUBBELL, 232, ELECTRICAL BOX, 4 x 4 x 2-1/8 in</v>
      </c>
      <c r="D183" s="176">
        <f>Data!X185</f>
        <v>4.18</v>
      </c>
      <c r="E183" s="28"/>
    </row>
    <row r="184" spans="1:5" s="25" customFormat="1">
      <c r="A184" s="639"/>
      <c r="B184" s="302">
        <f>Data!V186</f>
        <v>674</v>
      </c>
      <c r="C184" s="173" t="str">
        <f>Data!W186</f>
        <v>HUBBELL, 674, HANDY BOX, STEEL, 2-1/8 in</v>
      </c>
      <c r="D184" s="176">
        <f>Data!X186</f>
        <v>4.74</v>
      </c>
      <c r="E184" s="28"/>
    </row>
    <row r="185" spans="1:5" s="25" customFormat="1">
      <c r="A185" s="639"/>
      <c r="B185" s="302">
        <f>Data!V187</f>
        <v>752</v>
      </c>
      <c r="C185" s="173" t="str">
        <f>Data!W187</f>
        <v>HUBBELL, 752, SQUARE BOX COVER, BLANK, 4 in</v>
      </c>
      <c r="D185" s="176">
        <f>Data!X187</f>
        <v>1.81</v>
      </c>
      <c r="E185" s="28"/>
    </row>
    <row r="186" spans="1:5" s="25" customFormat="1">
      <c r="A186" s="639"/>
      <c r="B186" s="302">
        <f>Data!V188</f>
        <v>2193</v>
      </c>
      <c r="C186" s="173" t="str">
        <f>Data!W188</f>
        <v>HUBBELL, 2193, ARMORED CABLE/FLEX METAL CONDUIT SQUEEZE CONNECTOR, 3/4 in</v>
      </c>
      <c r="D186" s="176">
        <f>Data!X188</f>
        <v>5.87</v>
      </c>
      <c r="E186" s="28"/>
    </row>
    <row r="187" spans="1:5" s="25" customFormat="1">
      <c r="A187" s="639"/>
      <c r="B187" s="302" t="str">
        <f>Data!V189</f>
        <v>5351AW</v>
      </c>
      <c r="C187" s="173" t="str">
        <f>Data!W189</f>
        <v>HUBBELL, 5351AW, 20 AMP WHITE NYLON ELECTRICAL RECEPTACLE</v>
      </c>
      <c r="D187" s="176">
        <f>Data!X189</f>
        <v>5.44</v>
      </c>
      <c r="E187" s="28"/>
    </row>
    <row r="188" spans="1:5" s="25" customFormat="1">
      <c r="A188" s="639"/>
      <c r="B188" s="302" t="str">
        <f>Data!V190</f>
        <v>5362W</v>
      </c>
      <c r="C188" s="173" t="str">
        <f>Data!W190</f>
        <v>HUBBELL, 5362W, 20 AMP WHITE DUPLEX ELECTRICAL RECEPTACLE</v>
      </c>
      <c r="D188" s="176">
        <f>Data!X190</f>
        <v>5.42</v>
      </c>
      <c r="E188" s="28"/>
    </row>
    <row r="189" spans="1:5" s="25" customFormat="1">
      <c r="A189" s="639"/>
      <c r="B189" s="302" t="str">
        <f>Data!V191</f>
        <v>CR20WHI</v>
      </c>
      <c r="C189" s="173" t="str">
        <f>Data!W191</f>
        <v>HUBBELL, CR20WHI, 20 AMP WHITE COMMERCIAL DUPLEX ELECTRICAL RECEPTACLE</v>
      </c>
      <c r="D189" s="176">
        <f>Data!X191</f>
        <v>2.19</v>
      </c>
      <c r="E189" s="28"/>
    </row>
    <row r="190" spans="1:5" s="25" customFormat="1">
      <c r="A190" s="639"/>
      <c r="B190" s="302" t="str">
        <f>Data!V192</f>
        <v>GF20WLA</v>
      </c>
      <c r="C190" s="173" t="str">
        <f>Data!W192</f>
        <v>HUBBELL, GF20WLA, 20 AMP LED GFCI DUPLEX ELECTRICAL RECEPTACLE</v>
      </c>
      <c r="D190" s="176">
        <f>Data!X192</f>
        <v>15.48</v>
      </c>
      <c r="E190" s="28"/>
    </row>
    <row r="191" spans="1:5" s="25" customFormat="1">
      <c r="A191" s="639"/>
      <c r="B191" s="302" t="str">
        <f>Data!V193</f>
        <v>HN14</v>
      </c>
      <c r="C191" s="173" t="str">
        <f>Data!W193</f>
        <v xml:space="preserve">HUBBELL, HN14, #20 BOLTS, 1/4 x 20 x 1/4 in, PACK OF 20 </v>
      </c>
      <c r="D191" s="176">
        <f>Data!X193</f>
        <v>2</v>
      </c>
      <c r="E191" s="28"/>
    </row>
    <row r="192" spans="1:5" s="25" customFormat="1">
      <c r="A192" s="639"/>
      <c r="B192" s="302" t="str">
        <f>Data!V194</f>
        <v>LW14</v>
      </c>
      <c r="C192" s="173" t="str">
        <f>Data!W194</f>
        <v>HUBBELL, LW14, LOCK WASHERS, 1/4 in</v>
      </c>
      <c r="D192" s="176">
        <f>Data!X194</f>
        <v>7.0000000000000007E-2</v>
      </c>
      <c r="E192" s="28"/>
    </row>
    <row r="193" spans="1:5" s="25" customFormat="1">
      <c r="A193" s="639"/>
      <c r="B193" s="302" t="str">
        <f>Data!V195</f>
        <v>RACO-973</v>
      </c>
      <c r="C193" s="173" t="str">
        <f>Data!W195</f>
        <v>HUBBELL, RACO-973, GROUNDING SCREW, 10-32 x 3/8 in</v>
      </c>
      <c r="D193" s="176">
        <f>Data!X195</f>
        <v>0.4</v>
      </c>
      <c r="E193" s="28"/>
    </row>
    <row r="194" spans="1:5" s="25" customFormat="1">
      <c r="A194" s="639"/>
      <c r="B194" s="302" t="str">
        <f>Data!V196</f>
        <v>SS723</v>
      </c>
      <c r="C194" s="173" t="str">
        <f>Data!W196</f>
        <v>HUBBELL, SS723, SINGLE RECEPTACLE FACEPLATE, STAINLESS STEEL</v>
      </c>
      <c r="D194" s="176">
        <f>Data!X196</f>
        <v>3.67</v>
      </c>
      <c r="E194" s="28"/>
    </row>
    <row r="195" spans="1:5" s="25" customFormat="1">
      <c r="A195" s="639"/>
      <c r="B195" s="302" t="str">
        <f>Data!V197</f>
        <v>SS8-5C228</v>
      </c>
      <c r="C195" s="173" t="str">
        <f>Data!W197</f>
        <v>HUBBELL, SS8-5C228, DUAL RECEPTACLE FACEPLATE, STAINLESS STEEL</v>
      </c>
      <c r="D195" s="176">
        <f>Data!X197</f>
        <v>2.12</v>
      </c>
      <c r="E195" s="28"/>
    </row>
    <row r="196" spans="1:5" s="25" customFormat="1">
      <c r="A196" s="639"/>
      <c r="B196" s="302" t="str">
        <f>Data!V198</f>
        <v>WGB217940</v>
      </c>
      <c r="C196" s="173" t="str">
        <f>Data!W198</f>
        <v>HUBBELL, WGB217940, SET SCREW CONNECTOR, 2 in</v>
      </c>
      <c r="D196" s="176">
        <f>Data!X198</f>
        <v>4.95</v>
      </c>
      <c r="E196" s="28"/>
    </row>
    <row r="197" spans="1:5" s="25" customFormat="1">
      <c r="A197" s="639"/>
      <c r="B197" s="302">
        <f>Data!V199</f>
        <v>30451</v>
      </c>
      <c r="C197" s="173" t="str">
        <f>Data!W199</f>
        <v>IDEAL, 30451, WINGNUT, YELLOW, BOX OF 100</v>
      </c>
      <c r="D197" s="176">
        <f>Data!X199</f>
        <v>4.5999999999999996</v>
      </c>
      <c r="E197" s="28"/>
    </row>
    <row r="198" spans="1:5" s="25" customFormat="1">
      <c r="A198" s="639"/>
      <c r="B198" s="302">
        <f>Data!V200</f>
        <v>30452</v>
      </c>
      <c r="C198" s="173" t="str">
        <f>Data!W200</f>
        <v>IDEAL, 30452, WINGNUT, RED, BOX OF 100</v>
      </c>
      <c r="D198" s="176">
        <f>Data!X200</f>
        <v>4.63</v>
      </c>
      <c r="E198" s="28"/>
    </row>
    <row r="199" spans="1:5" s="25" customFormat="1">
      <c r="A199" s="639"/>
      <c r="B199" s="302" t="str">
        <f>Data!V201</f>
        <v>85-366</v>
      </c>
      <c r="C199" s="173" t="str">
        <f>Data!W201</f>
        <v>IDEAL, 85-366, CAT6 RJ45 MALE MODULAR PLUGS</v>
      </c>
      <c r="D199" s="176">
        <f>Data!X201</f>
        <v>0.55000000000000004</v>
      </c>
      <c r="E199" s="28"/>
    </row>
    <row r="200" spans="1:5" s="25" customFormat="1">
      <c r="A200" s="639"/>
      <c r="B200" s="302" t="str">
        <f>Data!V202</f>
        <v>GBL-4</v>
      </c>
      <c r="C200" s="173" t="str">
        <f>Data!W202</f>
        <v>ILSCO, GBL-4, #8 LUGS</v>
      </c>
      <c r="D200" s="176">
        <f>Data!X202</f>
        <v>3.27</v>
      </c>
      <c r="E200" s="28"/>
    </row>
    <row r="201" spans="1:5" s="25" customFormat="1">
      <c r="A201" s="639"/>
      <c r="B201" s="302">
        <f>Data!V203</f>
        <v>84016</v>
      </c>
      <c r="C201" s="173" t="str">
        <f>Data!W203</f>
        <v>LEVITON, 84016, DUAL RECEPTACLE FACEPLATE, DUAL GANG, STAINLESS STEEL</v>
      </c>
      <c r="D201" s="176">
        <f>Data!X203</f>
        <v>4.08</v>
      </c>
      <c r="E201" s="28"/>
    </row>
    <row r="202" spans="1:5" s="25" customFormat="1">
      <c r="A202" s="639"/>
      <c r="B202" s="302">
        <f>Data!V204</f>
        <v>88003</v>
      </c>
      <c r="C202" s="173" t="str">
        <f>Data!W204</f>
        <v>LEVITON, 88003, DUAL RECEPTACLE FACEPLATE, WHITE</v>
      </c>
      <c r="D202" s="176">
        <f>Data!X204</f>
        <v>2.16</v>
      </c>
      <c r="E202" s="28"/>
    </row>
    <row r="203" spans="1:5" s="25" customFormat="1">
      <c r="A203" s="639"/>
      <c r="B203" s="302" t="str">
        <f>Data!V205</f>
        <v>49253-BCM</v>
      </c>
      <c r="C203" s="173" t="str">
        <f>Data!W205</f>
        <v>LEVITON, 49253-BCM, WIRE MANAGER, 2U</v>
      </c>
      <c r="D203" s="176">
        <f>Data!X205</f>
        <v>28.94</v>
      </c>
      <c r="E203" s="28"/>
    </row>
    <row r="204" spans="1:5" s="25" customFormat="1">
      <c r="A204" s="639"/>
      <c r="B204" s="302" t="str">
        <f>Data!V206</f>
        <v>49990-SSC</v>
      </c>
      <c r="C204" s="173" t="str">
        <f>Data!W206</f>
        <v>LEVITON, 49990-SSC, FASTCAM SC SINGLEMODE FIBER CONNECTOR</v>
      </c>
      <c r="D204" s="176">
        <f>Data!X206</f>
        <v>10.69</v>
      </c>
      <c r="E204" s="28"/>
    </row>
    <row r="205" spans="1:5" s="25" customFormat="1">
      <c r="A205" s="639"/>
      <c r="B205" s="302" t="str">
        <f>Data!V207</f>
        <v>49991-SSC</v>
      </c>
      <c r="C205" s="173" t="str">
        <f>Data!W207</f>
        <v>LEVITON, 49991-SSC, FASTCAM SC SINGLEMODE FIBER PRE-POLISHED CONNECTOR</v>
      </c>
      <c r="D205" s="176">
        <f>Data!X207</f>
        <v>19.329999999999998</v>
      </c>
      <c r="E205" s="28"/>
    </row>
    <row r="206" spans="1:5" s="25" customFormat="1">
      <c r="A206" s="639"/>
      <c r="B206" s="302" t="str">
        <f>Data!V208</f>
        <v>5362-GY</v>
      </c>
      <c r="C206" s="173" t="str">
        <f>Data!W208</f>
        <v>LEVITON, 5362-GY, 20 AMP ISOLATED GROUND DUPLEX RECEPTACLE, GRAY</v>
      </c>
      <c r="D206" s="176">
        <f>Data!X208</f>
        <v>6.4</v>
      </c>
      <c r="E206" s="28"/>
    </row>
    <row r="207" spans="1:5" s="25" customFormat="1">
      <c r="A207" s="639"/>
      <c r="B207" s="302" t="str">
        <f>Data!V209</f>
        <v>5F100-2LC</v>
      </c>
      <c r="C207" s="173" t="str">
        <f>Data!W209</f>
        <v>LEVITON, 5F100-2LC, FIBER ADAPTER PLATE, SM, SC, 12 STRAND</v>
      </c>
      <c r="D207" s="176">
        <f>Data!X209</f>
        <v>36.01</v>
      </c>
      <c r="E207" s="28"/>
    </row>
    <row r="208" spans="1:5" s="25" customFormat="1">
      <c r="A208" s="639"/>
      <c r="B208" s="302" t="str">
        <f>Data!V210</f>
        <v>5F100-6LC</v>
      </c>
      <c r="C208" s="173" t="str">
        <f>Data!W210</f>
        <v>LEVITON, 5F100-6LC, FIBER ADAPTER PLATE, SM, SC, 6 STRAND</v>
      </c>
      <c r="D208" s="176">
        <f>Data!X210</f>
        <v>26.3</v>
      </c>
      <c r="E208" s="28"/>
    </row>
    <row r="209" spans="1:5" s="25" customFormat="1">
      <c r="A209" s="639"/>
      <c r="B209" s="302" t="str">
        <f>Data!V211</f>
        <v>5R1UL-F03</v>
      </c>
      <c r="C209" s="173" t="str">
        <f>Data!W211</f>
        <v>LEVITON, 5R1UL-F03, FIBER ENCLOSURE, 1 RU, RACK MOUNT</v>
      </c>
      <c r="D209" s="176">
        <f>Data!X211</f>
        <v>49.64</v>
      </c>
      <c r="E209" s="28"/>
    </row>
    <row r="210" spans="1:5" s="25" customFormat="1">
      <c r="A210" s="639"/>
      <c r="B210" s="302" t="str">
        <f>Data!V212</f>
        <v>5W110-N</v>
      </c>
      <c r="C210" s="173" t="str">
        <f>Data!W212</f>
        <v>LEVITON, 5W110-N, FIBER ENCLOSURE, WALL MOUNT, HOLDS 2 ADAPTER PLATES</v>
      </c>
      <c r="D210" s="176">
        <f>Data!X212</f>
        <v>42.97</v>
      </c>
      <c r="E210" s="28"/>
    </row>
    <row r="211" spans="1:5" s="25" customFormat="1">
      <c r="A211" s="639"/>
      <c r="B211" s="302" t="str">
        <f>Data!V213</f>
        <v>69586-U48</v>
      </c>
      <c r="C211" s="173" t="str">
        <f>Data!W213</f>
        <v>LEVITON, 69586-U48, COPPER PATCH PANEL, CAT6, 48 PORT</v>
      </c>
      <c r="D211" s="176">
        <f>Data!X213</f>
        <v>221.01</v>
      </c>
      <c r="E211" s="28"/>
    </row>
    <row r="212" spans="1:5" s="25" customFormat="1">
      <c r="A212" s="639"/>
      <c r="B212" s="302" t="str">
        <f>Data!V214</f>
        <v>80703-W</v>
      </c>
      <c r="C212" s="173" t="str">
        <f>Data!W214</f>
        <v>LEVITON, 80703-W, DUAL RECEPTACLE FACEPLATE, NYLON, WHITE</v>
      </c>
      <c r="D212" s="176">
        <f>Data!X214</f>
        <v>0.47</v>
      </c>
      <c r="E212" s="28"/>
    </row>
    <row r="213" spans="1:5" s="25" customFormat="1">
      <c r="A213" s="639"/>
      <c r="B213" s="302" t="str">
        <f>Data!V215</f>
        <v>84003-40</v>
      </c>
      <c r="C213" s="173" t="str">
        <f>Data!W215</f>
        <v>LEVITON, 84003-40, DUAL RECEPTACLE FACEPLATE, STAINLESS STEEL</v>
      </c>
      <c r="D213" s="176">
        <f>Data!X215</f>
        <v>3.25</v>
      </c>
      <c r="E213" s="28"/>
    </row>
    <row r="214" spans="1:5" s="25" customFormat="1">
      <c r="A214" s="639"/>
      <c r="B214" s="302" t="str">
        <f>Data!V216</f>
        <v>CR020-A</v>
      </c>
      <c r="C214" s="173" t="str">
        <f>Data!W216</f>
        <v>LEVITON, CR020-A, 20 AMP ELECTRICAL RECEPTICAL, STRAIGHT-BLADE</v>
      </c>
      <c r="D214" s="176">
        <f>Data!X216</f>
        <v>5.32</v>
      </c>
      <c r="E214" s="28"/>
    </row>
    <row r="215" spans="1:5" s="25" customFormat="1">
      <c r="A215" s="639"/>
      <c r="B215" s="302" t="str">
        <f>Data!V217</f>
        <v>CR020-I</v>
      </c>
      <c r="C215" s="173" t="str">
        <f>Data!W217</f>
        <v>LEVITON, CR020-I, 20 AMP ELECTRICAL RECEPTICAL, STRAIGHT-BLADE, IVORY</v>
      </c>
      <c r="D215" s="176">
        <f>Data!X217</f>
        <v>5.32</v>
      </c>
      <c r="E215" s="28"/>
    </row>
    <row r="216" spans="1:5" s="25" customFormat="1">
      <c r="A216" s="639"/>
      <c r="B216" s="302" t="str">
        <f>Data!V218</f>
        <v>CR20-W</v>
      </c>
      <c r="C216" s="173" t="str">
        <f>Data!W218</f>
        <v>LEVITON, CR20-W, 21 AMP ELECTRICAL RECEPTICAL, STRAIGHT-BLADE, WHITE</v>
      </c>
      <c r="D216" s="176">
        <f>Data!X218</f>
        <v>2.63</v>
      </c>
      <c r="E216" s="28"/>
    </row>
    <row r="217" spans="1:5" s="25" customFormat="1">
      <c r="A217" s="639"/>
      <c r="B217" s="302" t="str">
        <f>Data!V219</f>
        <v>SP5EU48</v>
      </c>
      <c r="C217" s="173" t="str">
        <f>Data!W219</f>
        <v>LEVITON, SP5EU48, COPPER PATCH PANEL, CAT5e, 48 PORT</v>
      </c>
      <c r="D217" s="176">
        <f>Data!X219</f>
        <v>143.15</v>
      </c>
      <c r="E217" s="28"/>
    </row>
    <row r="218" spans="1:5" s="25" customFormat="1">
      <c r="A218" s="639"/>
      <c r="B218" s="302">
        <f>Data!V220</f>
        <v>22</v>
      </c>
      <c r="C218" s="173" t="str">
        <f>Data!W220</f>
        <v>LH DOTTIE, 22, ANCHORS, RED, #8-10-12 x 1 in, BOX OF 100</v>
      </c>
      <c r="D218" s="176">
        <f>Data!X220</f>
        <v>7.1</v>
      </c>
      <c r="E218" s="28"/>
    </row>
    <row r="219" spans="1:5" s="25" customFormat="1">
      <c r="A219" s="639"/>
      <c r="B219" s="302" t="str">
        <f>Data!V221</f>
        <v>122 / 114048</v>
      </c>
      <c r="C219" s="173" t="str">
        <f>Data!W221</f>
        <v>LH DOTTIE, 122 / 114048, ANCHORS, YELLOW, #8-10-12 x 1.25 in, BOX OF 100</v>
      </c>
      <c r="D219" s="176">
        <f>Data!X221</f>
        <v>4.55</v>
      </c>
      <c r="E219" s="28"/>
    </row>
    <row r="220" spans="1:5" s="25" customFormat="1">
      <c r="A220" s="639"/>
      <c r="B220" s="302" t="str">
        <f>Data!V222</f>
        <v>14H114</v>
      </c>
      <c r="C220" s="173" t="str">
        <f>Data!W222</f>
        <v>LH DOTTIE, 14H114, TAPCON SCREWS, 5/16 x 1 in, BOX OF 100</v>
      </c>
      <c r="D220" s="176">
        <f>Data!X222</f>
        <v>31.01</v>
      </c>
      <c r="E220" s="28"/>
    </row>
    <row r="221" spans="1:5" s="25" customFormat="1">
      <c r="A221" s="639"/>
      <c r="B221" s="302" t="str">
        <f>Data!V223</f>
        <v>2WS10114</v>
      </c>
      <c r="C221" s="173" t="str">
        <f>Data!W223</f>
        <v>LH DOTTIE, 2WS10114, WOOD SCREWS, #10 X 1.25 in, STAINLESS STEEL, BOX OF 100</v>
      </c>
      <c r="D221" s="176">
        <f>Data!X223</f>
        <v>9.07</v>
      </c>
      <c r="E221" s="28"/>
    </row>
    <row r="222" spans="1:5" s="25" customFormat="1">
      <c r="A222" s="639"/>
      <c r="B222" s="302" t="str">
        <f>Data!V224</f>
        <v>36H114 / 112743</v>
      </c>
      <c r="C222" s="173" t="str">
        <f>Data!W224</f>
        <v>LH DOTTIE, 36H114 / 112743, TAPCON SCREWS, 3/16 x 1.25 in, BOX OF 100</v>
      </c>
      <c r="D222" s="176">
        <f>Data!X224</f>
        <v>4.84</v>
      </c>
      <c r="E222" s="28"/>
    </row>
    <row r="223" spans="1:5" s="25" customFormat="1">
      <c r="A223" s="639"/>
      <c r="B223" s="302" t="str">
        <f>Data!V225</f>
        <v>DA38 / 113618</v>
      </c>
      <c r="C223" s="173" t="str">
        <f>Data!W225</f>
        <v>LH DOTTIE, DA38 / 113618, DROP IN ANCHOR, 3/8 in, BOX OF 50</v>
      </c>
      <c r="D223" s="176">
        <f>Data!X225</f>
        <v>47.38</v>
      </c>
      <c r="E223" s="28"/>
    </row>
    <row r="224" spans="1:5" s="25" customFormat="1">
      <c r="A224" s="639"/>
      <c r="B224" s="302" t="str">
        <f>Data!V226</f>
        <v>DWSBX61</v>
      </c>
      <c r="C224" s="173" t="str">
        <f>Data!W226</f>
        <v>LH DOTTIE, DWSBX61, DRYWALL SCREWS, #6 x 1 in, BOX OF 100</v>
      </c>
      <c r="D224" s="176">
        <f>Data!X226</f>
        <v>5.76</v>
      </c>
      <c r="E224" s="28"/>
    </row>
    <row r="225" spans="1:5" s="25" customFormat="1">
      <c r="A225" s="639"/>
      <c r="B225" s="302" t="str">
        <f>Data!V227</f>
        <v>FENW38112</v>
      </c>
      <c r="C225" s="173" t="str">
        <f>Data!W227</f>
        <v>LH DOTTIE, FENW38112, WASHERS, 3/8 x 1.5 in, BOX OF 100</v>
      </c>
      <c r="D225" s="176">
        <f>Data!X227</f>
        <v>4.62</v>
      </c>
      <c r="E225" s="28"/>
    </row>
    <row r="226" spans="1:5" s="25" customFormat="1">
      <c r="A226" s="639"/>
      <c r="B226" s="302" t="str">
        <f>Data!V228</f>
        <v>FENW38114</v>
      </c>
      <c r="C226" s="173" t="str">
        <f>Data!W228</f>
        <v>LH DOTTIE, FENW38114, WASHERS, 3/8 x 1.25 in, BOX OF 100</v>
      </c>
      <c r="D226" s="176">
        <f>Data!X228</f>
        <v>13.73</v>
      </c>
      <c r="E226" s="28"/>
    </row>
    <row r="227" spans="1:5" s="25" customFormat="1">
      <c r="A227" s="639"/>
      <c r="B227" s="302" t="str">
        <f>Data!V229</f>
        <v>FW38 / 114027</v>
      </c>
      <c r="C227" s="173" t="str">
        <f>Data!W229</f>
        <v>LH DOTTIE, FW38 / 114027, FENDER WASHERS, 3/8 x 1.5 in, BOX OF 100</v>
      </c>
      <c r="D227" s="176">
        <f>Data!X229</f>
        <v>4.57</v>
      </c>
      <c r="E227" s="28"/>
    </row>
    <row r="228" spans="1:5" s="25" customFormat="1">
      <c r="A228" s="639"/>
      <c r="B228" s="302" t="str">
        <f>Data!V230</f>
        <v>GR58</v>
      </c>
      <c r="C228" s="173" t="str">
        <f>Data!W230</f>
        <v>LH DOTTIE, GR58, GROUNDING ROD CLAMP, 5/8 in</v>
      </c>
      <c r="D228" s="176">
        <f>Data!X230</f>
        <v>5.39</v>
      </c>
      <c r="E228" s="28"/>
    </row>
    <row r="229" spans="1:5" s="25" customFormat="1">
      <c r="A229" s="639"/>
      <c r="B229" s="302" t="str">
        <f>Data!V231</f>
        <v>HN38 / 113157</v>
      </c>
      <c r="C229" s="173" t="str">
        <f>Data!W231</f>
        <v>LH DOTTIE, HN38 / 113157, HEX NUT, ZINC-PLATED, 3/8 in-16, BOX OF 100</v>
      </c>
      <c r="D229" s="176">
        <f>Data!X231</f>
        <v>4.62</v>
      </c>
      <c r="E229" s="28"/>
    </row>
    <row r="230" spans="1:5" s="25" customFormat="1">
      <c r="A230" s="639"/>
      <c r="B230" s="302" t="str">
        <f>Data!V232</f>
        <v>K6CO / 113799</v>
      </c>
      <c r="C230" s="173" t="str">
        <f>Data!W232</f>
        <v>LH DOTTIE, K6CO / 113799, ANCHOR AND SCREW KIT, #8-10-12 RED ANCHORS, #10 x 1 in SCREWS, BOX OF 100</v>
      </c>
      <c r="D230" s="176">
        <f>Data!X232</f>
        <v>10.33</v>
      </c>
      <c r="E230" s="28"/>
    </row>
    <row r="231" spans="1:5" s="25" customFormat="1">
      <c r="A231" s="639"/>
      <c r="B231" s="302" t="str">
        <f>Data!V233</f>
        <v>LAG383 / 114625</v>
      </c>
      <c r="C231" s="173" t="str">
        <f>Data!W233</f>
        <v>LH DOTTIE, LAG383 / 114625, HEX LAG BOLT, 3/8 x 3 in, BOX OF 50</v>
      </c>
      <c r="D231" s="176">
        <f>Data!X233</f>
        <v>4.8899999999999997</v>
      </c>
      <c r="E231" s="28"/>
    </row>
    <row r="232" spans="1:5" s="25" customFormat="1">
      <c r="A232" s="639"/>
      <c r="B232" s="302" t="str">
        <f>Data!V234</f>
        <v>PHFW101</v>
      </c>
      <c r="C232" s="173" t="str">
        <f>Data!W234</f>
        <v>LH DOTTIE, PHFW101, WOOD SCREWS, #10 X 1 in, ZINC PLATED, BOX OF 100</v>
      </c>
      <c r="D232" s="176">
        <f>Data!X234</f>
        <v>4.8499999999999996</v>
      </c>
      <c r="E232" s="28"/>
    </row>
    <row r="233" spans="1:5" s="25" customFormat="1">
      <c r="A233" s="639"/>
      <c r="B233" s="302" t="str">
        <f>Data!V235</f>
        <v>ROD126</v>
      </c>
      <c r="C233" s="173" t="str">
        <f>Data!W235</f>
        <v>LH DOTTIE, ROD126, THREADED ROD, 1/2 in x 6 FT</v>
      </c>
      <c r="D233" s="176">
        <f>Data!X235</f>
        <v>10.49</v>
      </c>
      <c r="E233" s="28"/>
    </row>
    <row r="234" spans="1:5" s="25" customFormat="1">
      <c r="A234" s="639"/>
      <c r="B234" s="302" t="str">
        <f>Data!V236</f>
        <v>TB383</v>
      </c>
      <c r="C234" s="173" t="str">
        <f>Data!W236</f>
        <v>LH DOTTIE, TB383, TOOGLE BOLT, 3/8 x 3 in</v>
      </c>
      <c r="D234" s="176">
        <f>Data!X236</f>
        <v>1.4</v>
      </c>
      <c r="E234" s="28"/>
    </row>
    <row r="235" spans="1:5" s="25" customFormat="1">
      <c r="A235" s="639"/>
      <c r="B235" s="302" t="str">
        <f>Data!V237</f>
        <v>TEKPH634</v>
      </c>
      <c r="C235" s="173" t="str">
        <f>Data!W237</f>
        <v>LH DOTTIE, TEKPH634, SELF DRILLING SCREW, PHILLIPS PAN HEAD, #6 x 3/4 in, ZINC-PLATED, BOX OF 100</v>
      </c>
      <c r="D235" s="176">
        <f>Data!X237</f>
        <v>7.84</v>
      </c>
      <c r="E235" s="28"/>
    </row>
    <row r="236" spans="1:5" s="25" customFormat="1">
      <c r="A236" s="639"/>
      <c r="B236" s="302" t="str">
        <f>Data!V238</f>
        <v>W38500</v>
      </c>
      <c r="C236" s="173" t="str">
        <f>Data!W238</f>
        <v>LH DOTTIE, W38500, FULL THREAD WEDGE ANCHOR, 3/8-16</v>
      </c>
      <c r="D236" s="176">
        <f>Data!X238</f>
        <v>1.83</v>
      </c>
      <c r="E236" s="28"/>
    </row>
    <row r="237" spans="1:5" s="25" customFormat="1">
      <c r="A237" s="639"/>
      <c r="B237" s="302" t="str">
        <f>Data!V239</f>
        <v>WDK8</v>
      </c>
      <c r="C237" s="173" t="str">
        <f>Data!W239</f>
        <v>LH DOTTIE, WDK8, WALL ANCHOR DRILLER KIT, PHILLIPS / SLOTTED DRIVE</v>
      </c>
      <c r="D237" s="176">
        <f>Data!X239</f>
        <v>15.04</v>
      </c>
      <c r="E237" s="28"/>
    </row>
    <row r="238" spans="1:5" s="25" customFormat="1">
      <c r="A238" s="639"/>
      <c r="B238" s="302" t="str">
        <f>Data!V240</f>
        <v>NMHT12X50</v>
      </c>
      <c r="C238" s="173" t="str">
        <f>Data!W240</f>
        <v>LIQUATITE, NMHT12X50, LIQUID-TIGHT CONDUIT, BLACK, 3/4 in PER FT</v>
      </c>
      <c r="D238" s="176">
        <f>Data!X240</f>
        <v>1.94</v>
      </c>
      <c r="E238" s="28"/>
    </row>
    <row r="239" spans="1:5" s="25" customFormat="1">
      <c r="A239" s="639"/>
      <c r="B239" s="302" t="str">
        <f>Data!V241</f>
        <v>02-55035</v>
      </c>
      <c r="C239" s="173" t="str">
        <f>Data!W241</f>
        <v>LOWES, 02-55035, BX-MC-FLEX BUSHINGS, PACKAGE OF 35</v>
      </c>
      <c r="D239" s="176">
        <f>Data!X241</f>
        <v>3.55</v>
      </c>
      <c r="E239" s="28"/>
    </row>
    <row r="240" spans="1:5" s="25" customFormat="1">
      <c r="A240" s="639"/>
      <c r="B240" s="302" t="str">
        <f>Data!V242</f>
        <v>GL02</v>
      </c>
      <c r="C240" s="173" t="str">
        <f>Data!W242</f>
        <v>MARATHON, GL02, ELECTRICAL GROUND LUG</v>
      </c>
      <c r="D240" s="176">
        <f>Data!X242</f>
        <v>2.08</v>
      </c>
      <c r="E240" s="28"/>
    </row>
    <row r="241" spans="1:5" s="25" customFormat="1">
      <c r="A241" s="639"/>
      <c r="B241" s="302" t="str">
        <f>Data!V243</f>
        <v>MXC3456BK5300</v>
      </c>
      <c r="C241" s="173" t="str">
        <f>Data!W243</f>
        <v>MAXCELL, MXC3456BK5300, INNERDUCT, 3 CELL, BLACK, 3 in,  PER FT</v>
      </c>
      <c r="D241" s="176">
        <f>Data!X243</f>
        <v>3.38</v>
      </c>
      <c r="E241" s="28"/>
    </row>
    <row r="242" spans="1:5" s="25" customFormat="1">
      <c r="A242" s="639"/>
      <c r="B242" s="302" t="str">
        <f>Data!V244</f>
        <v>12/3 250FT COIL   WIRE</v>
      </c>
      <c r="C242" s="173" t="str">
        <f>Data!W244</f>
        <v>MC ALUM, 12/3 250FT COIL   WIRE, INTERLOCKED ARMORED CABLE, 12 AWG, 3 CONDUCTOR, PER FOOT</v>
      </c>
      <c r="D242" s="176">
        <f>Data!X244</f>
        <v>1.48</v>
      </c>
      <c r="E242" s="28"/>
    </row>
    <row r="243" spans="1:5" s="25" customFormat="1">
      <c r="A243" s="639"/>
      <c r="B243" s="302" t="str">
        <f>Data!V245</f>
        <v>JDIAS38</v>
      </c>
      <c r="C243" s="173" t="str">
        <f>Data!W245</f>
        <v>METALLICS WEST, JDIAS38, DROP IN ANCHORS, 3/8 in</v>
      </c>
      <c r="D243" s="176">
        <f>Data!X245</f>
        <v>7</v>
      </c>
      <c r="E243" s="28"/>
    </row>
    <row r="244" spans="1:5" s="25" customFormat="1">
      <c r="A244" s="639"/>
      <c r="B244" s="302" t="str">
        <f>Data!V246</f>
        <v>JN163</v>
      </c>
      <c r="C244" s="173" t="str">
        <f>Data!W246</f>
        <v>METALLICS WEST, JN163, HEX NUT, 1/4-20 ZINC FINISHED</v>
      </c>
      <c r="D244" s="176">
        <f>Data!X246</f>
        <v>4.54</v>
      </c>
      <c r="E244" s="28"/>
    </row>
    <row r="245" spans="1:5" s="25" customFormat="1">
      <c r="A245" s="639"/>
      <c r="B245" s="302" t="str">
        <f>Data!V247</f>
        <v>JN165</v>
      </c>
      <c r="C245" s="173" t="str">
        <f>Data!W247</f>
        <v>METALLICS WEST, JN165, HEX NUT, 3/8-16 ZINC FINISHED</v>
      </c>
      <c r="D245" s="176">
        <f>Data!X247</f>
        <v>9.51</v>
      </c>
      <c r="E245" s="28"/>
    </row>
    <row r="246" spans="1:5" s="25" customFormat="1">
      <c r="A246" s="639"/>
      <c r="B246" s="302" t="str">
        <f>Data!V248</f>
        <v>JW113</v>
      </c>
      <c r="C246" s="173" t="str">
        <f>Data!W248</f>
        <v>METALLICS WEST, JW113, FENDER WASHER, 1/4 x 1 in</v>
      </c>
      <c r="D246" s="176">
        <f>Data!X248</f>
        <v>4.53</v>
      </c>
      <c r="E246" s="28"/>
    </row>
    <row r="247" spans="1:5" s="25" customFormat="1">
      <c r="A247" s="639"/>
      <c r="B247" s="302" t="str">
        <f>Data!V249</f>
        <v>JW127</v>
      </c>
      <c r="C247" s="173" t="str">
        <f>Data!W249</f>
        <v>METALLICS WEST, JW127, FENDER WASHER, 3/8 x 1 in</v>
      </c>
      <c r="D247" s="176">
        <f>Data!X249</f>
        <v>4.57</v>
      </c>
      <c r="E247" s="28"/>
    </row>
    <row r="248" spans="1:5" s="25" customFormat="1">
      <c r="A248" s="639"/>
      <c r="B248" s="302" t="str">
        <f>Data!V250</f>
        <v>6NP4P24-BL-9-MOH-PVCE</v>
      </c>
      <c r="C248" s="173" t="str">
        <f>Data!W250</f>
        <v>MOHAWK, 6NP4P24-BL-9-MOH-PVCE, CAT6 PLENUM CABLE, BLUE, PER FT</v>
      </c>
      <c r="D248" s="176">
        <f>Data!X250</f>
        <v>1.1000000000000001</v>
      </c>
      <c r="E248" s="28"/>
    </row>
    <row r="249" spans="1:5" s="25" customFormat="1">
      <c r="A249" s="639"/>
      <c r="B249" s="302" t="str">
        <f>Data!V251</f>
        <v>6NP4P24-RD-9-MOH-PVCE</v>
      </c>
      <c r="C249" s="173" t="str">
        <f>Data!W251</f>
        <v>MOHAWK, 6NP4P24-RD-9-MOH-PVCE, CAT6 CABLE, PER FT</v>
      </c>
      <c r="D249" s="176">
        <f>Data!X251</f>
        <v>1.1000000000000001</v>
      </c>
      <c r="E249" s="28"/>
    </row>
    <row r="250" spans="1:5" s="25" customFormat="1">
      <c r="A250" s="639"/>
      <c r="B250" s="302" t="str">
        <f>Data!V252</f>
        <v>6P4P24-S-RD-R-MOH-AP</v>
      </c>
      <c r="C250" s="173" t="str">
        <f>Data!W252</f>
        <v>MOHAWK, 6P4P24-S-RD-R-MOH-AP, CAT6 SHIELDED PLENUM CABLE, RED, PER FT</v>
      </c>
      <c r="D250" s="176">
        <f>Data!X252</f>
        <v>1.32</v>
      </c>
      <c r="E250" s="28"/>
    </row>
    <row r="251" spans="1:5" s="25" customFormat="1">
      <c r="A251" s="639"/>
      <c r="B251" s="302">
        <f>Data!V253</f>
        <v>107305</v>
      </c>
      <c r="C251" s="173" t="str">
        <f>Data!W253</f>
        <v>MONOPRICE, 107305, COPPER PATCH PANEL, CAT 6, 48 PORT</v>
      </c>
      <c r="D251" s="176">
        <f>Data!X253</f>
        <v>22.68</v>
      </c>
      <c r="E251" s="28"/>
    </row>
    <row r="252" spans="1:5" s="25" customFormat="1">
      <c r="A252" s="639"/>
      <c r="B252" s="302">
        <f>Data!V254</f>
        <v>11402</v>
      </c>
      <c r="C252" s="173" t="str">
        <f>Data!W254</f>
        <v>MULBERRY, 11402, DUPLEX RECEPTACLE COVER, 4 in</v>
      </c>
      <c r="D252" s="176">
        <f>Data!X254</f>
        <v>1.25</v>
      </c>
      <c r="E252" s="28"/>
    </row>
    <row r="253" spans="1:5" s="25" customFormat="1">
      <c r="A253" s="639"/>
      <c r="B253" s="302" t="str">
        <f>Data!V255</f>
        <v>WP1250P</v>
      </c>
      <c r="C253" s="173" t="str">
        <f>Data!W255</f>
        <v>NEPTCO, WP1250P, POLY MULETAPE, PER FT</v>
      </c>
      <c r="D253" s="176">
        <f>Data!X255</f>
        <v>4.5599999999999996</v>
      </c>
      <c r="E253" s="28"/>
    </row>
    <row r="254" spans="1:5" s="25" customFormat="1">
      <c r="A254" s="639"/>
      <c r="B254" s="302" t="str">
        <f>Data!V256</f>
        <v>2104S42-00</v>
      </c>
      <c r="C254" s="173" t="str">
        <f>Data!W256</f>
        <v>NORTH COAST ELECTRIC COMPANY, 2104S42-00, 12-2 SOLID MC-LITE METAL CLAD ALUMINUM ELECTRICAL CABLE, PER FT</v>
      </c>
      <c r="D254" s="176">
        <f>Data!X256</f>
        <v>0.55000000000000004</v>
      </c>
      <c r="E254" s="28"/>
    </row>
    <row r="255" spans="1:5" s="25" customFormat="1">
      <c r="A255" s="639"/>
      <c r="B255" s="302">
        <f>Data!V257</f>
        <v>31159821</v>
      </c>
      <c r="C255" s="173" t="str">
        <f>Data!W257</f>
        <v>OLDCASTLE, 31159821, CONCRETE COVER FOR POLYMER CONCRETE BOX</v>
      </c>
      <c r="D255" s="176">
        <f>Data!X257</f>
        <v>56.78</v>
      </c>
      <c r="E255" s="28"/>
    </row>
    <row r="256" spans="1:5" s="25" customFormat="1">
      <c r="A256" s="639"/>
      <c r="B256" s="302">
        <f>Data!V258</f>
        <v>32140101</v>
      </c>
      <c r="C256" s="173" t="str">
        <f>Data!W258</f>
        <v>OLDCASTLE, 32140101, POLYMER CONCRETE BOX 17 x 30 in</v>
      </c>
      <c r="D256" s="176">
        <f>Data!X258</f>
        <v>67.12</v>
      </c>
      <c r="E256" s="28"/>
    </row>
    <row r="257" spans="1:5" s="25" customFormat="1">
      <c r="A257" s="639"/>
      <c r="B257" s="302" t="str">
        <f>Data!V259</f>
        <v>KFSP1</v>
      </c>
      <c r="C257" s="173" t="str">
        <f>Data!W259</f>
        <v>ORTRONICS, KFSP1, SINGLE PORT FACEPLATE</v>
      </c>
      <c r="D257" s="176">
        <f>Data!X259</f>
        <v>1.48</v>
      </c>
      <c r="E257" s="28"/>
    </row>
    <row r="258" spans="1:5" s="25" customFormat="1">
      <c r="A258" s="639"/>
      <c r="B258" s="302" t="str">
        <f>Data!V260</f>
        <v>KS5E-36</v>
      </c>
      <c r="C258" s="173" t="str">
        <f>Data!W260</f>
        <v>ORTRONICS, KS5E-36, CAT5e KEYSTONE JACK, BLUE</v>
      </c>
      <c r="D258" s="176">
        <f>Data!X260</f>
        <v>3.15</v>
      </c>
      <c r="E258" s="28"/>
    </row>
    <row r="259" spans="1:5" s="25" customFormat="1">
      <c r="A259" s="639"/>
      <c r="B259" s="302" t="str">
        <f>Data!V261</f>
        <v>KS5E42</v>
      </c>
      <c r="C259" s="173" t="str">
        <f>Data!W261</f>
        <v>ORTRONICS, KS5E42, CAT5e KEYSTONE JACK, RED</v>
      </c>
      <c r="D259" s="176">
        <f>Data!X261</f>
        <v>3.08</v>
      </c>
      <c r="E259" s="28"/>
    </row>
    <row r="260" spans="1:5" s="25" customFormat="1">
      <c r="A260" s="639"/>
      <c r="B260" s="302" t="str">
        <f>Data!V262</f>
        <v>KSFP2</v>
      </c>
      <c r="C260" s="173" t="str">
        <f>Data!W262</f>
        <v>ORTRONICS, KSFP2, DUAL PORT FACEPLATE</v>
      </c>
      <c r="D260" s="176">
        <f>Data!X262</f>
        <v>1.39</v>
      </c>
      <c r="E260" s="28"/>
    </row>
    <row r="261" spans="1:5" s="25" customFormat="1">
      <c r="A261" s="639"/>
      <c r="B261" s="302" t="str">
        <f>Data!V263</f>
        <v>SP5EU48</v>
      </c>
      <c r="C261" s="173" t="str">
        <f>Data!W263</f>
        <v>ORTRONICS, SP5EU48, COPPER PATCH PANEL, CAT5e, 48 PORT</v>
      </c>
      <c r="D261" s="176">
        <f>Data!X263</f>
        <v>93.18</v>
      </c>
      <c r="E261" s="28"/>
    </row>
    <row r="262" spans="1:5" s="25" customFormat="1">
      <c r="A262" s="639"/>
      <c r="B262" s="302" t="str">
        <f>Data!V264</f>
        <v>ABMT-S6-Q69</v>
      </c>
      <c r="C262" s="173" t="str">
        <f>Data!W264</f>
        <v>PANDUIT, ABMT-S6-Q69, CABLE TIE MOUNT, PACK OF 25</v>
      </c>
      <c r="D262" s="176">
        <f>Data!X264</f>
        <v>2.75</v>
      </c>
      <c r="E262" s="28"/>
    </row>
    <row r="263" spans="1:5" s="25" customFormat="1">
      <c r="A263" s="639"/>
      <c r="B263" s="302" t="str">
        <f>Data!V265</f>
        <v>CF10WH-X</v>
      </c>
      <c r="C263" s="173" t="str">
        <f>Data!W265</f>
        <v>PANDUIT, CF10WH-X, COUPLER FITTING FOR LD10 RACEWAY</v>
      </c>
      <c r="D263" s="176">
        <f>Data!X265</f>
        <v>2.21</v>
      </c>
      <c r="E263" s="28"/>
    </row>
    <row r="264" spans="1:5" s="25" customFormat="1">
      <c r="A264" s="639"/>
      <c r="B264" s="302" t="str">
        <f>Data!V266</f>
        <v>CF5EI-E</v>
      </c>
      <c r="C264" s="173" t="str">
        <f>Data!W266</f>
        <v>PANDUIT, CF5EI-E, COUPLER FITTING FOR LD5 RACEWAY</v>
      </c>
      <c r="D264" s="176">
        <f>Data!X266</f>
        <v>1.33</v>
      </c>
      <c r="E264" s="28"/>
    </row>
    <row r="265" spans="1:5" s="25" customFormat="1">
      <c r="A265" s="639"/>
      <c r="B265" s="302" t="str">
        <f>Data!V267</f>
        <v>CF5IW-E</v>
      </c>
      <c r="C265" s="173" t="str">
        <f>Data!W267</f>
        <v>PANDUIT, CF5IW-E, CEILING CAP FOR LD5 RACEWAY</v>
      </c>
      <c r="D265" s="176">
        <f>Data!X267</f>
        <v>1.46</v>
      </c>
      <c r="E265" s="28"/>
    </row>
    <row r="266" spans="1:5" s="25" customFormat="1">
      <c r="A266" s="639"/>
      <c r="B266" s="302" t="str">
        <f>Data!V268</f>
        <v>CF5WH-X</v>
      </c>
      <c r="C266" s="173" t="str">
        <f>Data!W268</f>
        <v>PANDUIT, CF5WH-X, COUPLER FITTING FOR LD5 RACEWAY</v>
      </c>
      <c r="D266" s="176">
        <f>Data!X268</f>
        <v>2.21</v>
      </c>
      <c r="E266" s="28"/>
    </row>
    <row r="267" spans="1:5" s="25" customFormat="1">
      <c r="A267" s="639"/>
      <c r="B267" s="302" t="str">
        <f>Data!V269</f>
        <v>DCF10WH-X</v>
      </c>
      <c r="C267" s="173" t="str">
        <f>Data!W269</f>
        <v>PANDUIT, DCF10WH-X, DROP CEILING FITTING FOR LD10 RACEWAY</v>
      </c>
      <c r="D267" s="176">
        <f>Data!X269</f>
        <v>2.83</v>
      </c>
      <c r="E267" s="28"/>
    </row>
    <row r="268" spans="1:5" s="25" customFormat="1">
      <c r="A268" s="639"/>
      <c r="B268" s="302" t="str">
        <f>Data!V270</f>
        <v>DCF5WH-X</v>
      </c>
      <c r="C268" s="173" t="str">
        <f>Data!W270</f>
        <v>PANDUIT, DCF5WH-X, DROP CEILING FITTING FOR LD5 RACEWAY</v>
      </c>
      <c r="D268" s="176">
        <f>Data!X270</f>
        <v>2.83</v>
      </c>
      <c r="E268" s="28"/>
    </row>
    <row r="269" spans="1:5" s="25" customFormat="1">
      <c r="A269" s="639"/>
      <c r="B269" s="302" t="str">
        <f>Data!V271</f>
        <v>F-640PST-FO</v>
      </c>
      <c r="C269" s="173" t="str">
        <f>Data!W271</f>
        <v>PANDUIT, F-640PST-FO, FIBER OPTIC MARKER TAG, PACK OF 5</v>
      </c>
      <c r="D269" s="176">
        <f>Data!X271</f>
        <v>11.09</v>
      </c>
      <c r="E269" s="28"/>
    </row>
    <row r="270" spans="1:5" s="25" customFormat="1">
      <c r="A270" s="639"/>
      <c r="B270" s="302" t="str">
        <f>Data!V272</f>
        <v>HLS-15R0</v>
      </c>
      <c r="C270" s="173" t="str">
        <f>Data!W272</f>
        <v>PANDUIT, HLS-15R0, BLACK VELCRO, 3/4 in x 15 FT</v>
      </c>
      <c r="D270" s="176">
        <f>Data!X272</f>
        <v>16.73</v>
      </c>
      <c r="E270" s="28"/>
    </row>
    <row r="271" spans="1:5" s="25" customFormat="1">
      <c r="A271" s="639"/>
      <c r="B271" s="302" t="str">
        <f>Data!V273</f>
        <v>HLS-75R0</v>
      </c>
      <c r="C271" s="173" t="str">
        <f>Data!W273</f>
        <v>PANDUIT, HLS-75R0, BLACK VELCRO, 3/4 in x 75 FT</v>
      </c>
      <c r="D271" s="176">
        <f>Data!X273</f>
        <v>57.04</v>
      </c>
      <c r="E271" s="28"/>
    </row>
    <row r="272" spans="1:5" s="25" customFormat="1">
      <c r="A272" s="639"/>
      <c r="B272" s="302" t="str">
        <f>Data!V274</f>
        <v>HLT2I-X0</v>
      </c>
      <c r="C272" s="173" t="str">
        <f>Data!W274</f>
        <v>PANDUIT, HLT2I-X0, TAK-TY HOOK &amp; LOOP CABLE TIES, .5 x 8 in, BLACK, PACK OF 10</v>
      </c>
      <c r="D272" s="176">
        <f>Data!X274</f>
        <v>5.73</v>
      </c>
      <c r="E272" s="28"/>
    </row>
    <row r="273" spans="1:5" s="25" customFormat="1">
      <c r="A273" s="639"/>
      <c r="B273" s="302" t="str">
        <f>Data!V275</f>
        <v>JBX3510IW-A</v>
      </c>
      <c r="C273" s="173" t="str">
        <f>Data!W275</f>
        <v>PANDUIT, JBX3510IW-A, OUTLET BOX, 2 PIECE, WHITE</v>
      </c>
      <c r="D273" s="176">
        <f>Data!X275</f>
        <v>5.91</v>
      </c>
      <c r="E273" s="28"/>
    </row>
    <row r="274" spans="1:5" s="25" customFormat="1">
      <c r="A274" s="639"/>
      <c r="B274" s="302" t="str">
        <f>Data!V276</f>
        <v>LD10WH6-A</v>
      </c>
      <c r="C274" s="173" t="str">
        <f>Data!W276</f>
        <v>PANDUIT, LD10WH6-A, LATCH DUCT FOR LD10 RACEWAY, 6 FT</v>
      </c>
      <c r="D274" s="176">
        <f>Data!X276</f>
        <v>4.42</v>
      </c>
      <c r="E274" s="28"/>
    </row>
    <row r="275" spans="1:5" s="25" customFormat="1">
      <c r="A275" s="639"/>
      <c r="B275" s="302" t="str">
        <f>Data!V277</f>
        <v>LD5EI6-A</v>
      </c>
      <c r="C275" s="173" t="str">
        <f>Data!W277</f>
        <v>PANDUIT, LD5EI6-A, LATCH DUCT FOR LD5 RACEWAY, 6 FT</v>
      </c>
      <c r="D275" s="176">
        <f>Data!X277</f>
        <v>12.23</v>
      </c>
      <c r="E275" s="28"/>
    </row>
    <row r="276" spans="1:5" s="25" customFormat="1">
      <c r="A276" s="639"/>
      <c r="B276" s="302" t="str">
        <f>Data!V278</f>
        <v>LD5IW8-A</v>
      </c>
      <c r="C276" s="173" t="str">
        <f>Data!W278</f>
        <v>PANDUIT, LD5IW8-A, LATCH DUCT FOR LD5 RACEWAY, 8 FT</v>
      </c>
      <c r="D276" s="176">
        <f>Data!X278</f>
        <v>2.36</v>
      </c>
      <c r="E276" s="28"/>
    </row>
    <row r="277" spans="1:5" s="25" customFormat="1">
      <c r="A277" s="639"/>
      <c r="B277" s="302" t="str">
        <f>Data!V279</f>
        <v>LD5WH6-A</v>
      </c>
      <c r="C277" s="173" t="str">
        <f>Data!W279</f>
        <v>PANDUIT, LD5WH6-A, LATCH DUCT FOR LD5 RACEWAY, 6 FT</v>
      </c>
      <c r="D277" s="176">
        <f>Data!X279</f>
        <v>2.99</v>
      </c>
      <c r="E277" s="28"/>
    </row>
    <row r="278" spans="1:5" s="25" customFormat="1">
      <c r="A278" s="639"/>
      <c r="B278" s="302" t="str">
        <f>Data!V280</f>
        <v>PLT2S-C</v>
      </c>
      <c r="C278" s="173" t="str">
        <f>Data!W280</f>
        <v>PANDUIT, PLT2S-C, CABLE TIE, WHITE, 7.4 in, PACK OF 100</v>
      </c>
      <c r="D278" s="176">
        <f>Data!X280</f>
        <v>16.510000000000002</v>
      </c>
      <c r="E278" s="28"/>
    </row>
    <row r="279" spans="1:5" s="25" customFormat="1">
      <c r="A279" s="639"/>
      <c r="B279" s="302" t="str">
        <f>Data!V281</f>
        <v>PLT2S-C0</v>
      </c>
      <c r="C279" s="173" t="str">
        <f>Data!W281</f>
        <v>PANDUIT, PLT2S-C0, CABLE TIE, BLACK, 7.4 in, PACK OF 100</v>
      </c>
      <c r="D279" s="176">
        <f>Data!X281</f>
        <v>12.57</v>
      </c>
      <c r="E279" s="28"/>
    </row>
    <row r="280" spans="1:5" s="25" customFormat="1">
      <c r="A280" s="639"/>
      <c r="B280" s="302" t="str">
        <f>Data!V282</f>
        <v>PST-FO</v>
      </c>
      <c r="C280" s="173" t="str">
        <f>Data!W282</f>
        <v>PANDUIT, PST-FO, FIBER SAFETY TAG, BLACK/YELLOW, 3.50 x 2 in, PACK OF 5</v>
      </c>
      <c r="D280" s="176">
        <f>Data!X282</f>
        <v>7.49</v>
      </c>
      <c r="E280" s="28"/>
    </row>
    <row r="281" spans="1:5" s="25" customFormat="1">
      <c r="A281" s="639"/>
      <c r="B281" s="302" t="str">
        <f>Data!V283</f>
        <v>T50F-X0</v>
      </c>
      <c r="C281" s="173" t="str">
        <f>Data!W283</f>
        <v>PANDUIT, T50F-X0, BLACK SPIRAL WRAP, .5 x 10 FT</v>
      </c>
      <c r="D281" s="176">
        <f>Data!X283</f>
        <v>17.649999999999999</v>
      </c>
      <c r="E281" s="28"/>
    </row>
    <row r="282" spans="1:5" s="25" customFormat="1">
      <c r="A282" s="639"/>
      <c r="B282" s="302" t="str">
        <f>Data!V284</f>
        <v>TG-1295</v>
      </c>
      <c r="C282" s="173" t="str">
        <f>Data!W284</f>
        <v>PANDUIT, TG-1295, SELF-LAMINATING PLASTIC TAGS, 2 x 3.5 in</v>
      </c>
      <c r="D282" s="176">
        <f>Data!X284</f>
        <v>34.46</v>
      </c>
      <c r="E282" s="28"/>
    </row>
    <row r="283" spans="1:5" s="25" customFormat="1">
      <c r="A283" s="639"/>
      <c r="B283" s="302" t="str">
        <f>Data!V285</f>
        <v>L5-30R LS30RCC</v>
      </c>
      <c r="C283" s="173" t="str">
        <f>Data!W285</f>
        <v>PASS/SEYMOUR, L5-30R LS30RCC, 30 AMP SINGLE OUTLET RECEPTACLE 125V</v>
      </c>
      <c r="D283" s="176">
        <f>Data!X285</f>
        <v>26.96</v>
      </c>
      <c r="E283" s="28"/>
    </row>
    <row r="284" spans="1:5" s="25" customFormat="1">
      <c r="A284" s="639"/>
      <c r="B284" s="302">
        <f>Data!V286</f>
        <v>8006622</v>
      </c>
      <c r="C284" s="173" t="str">
        <f>Data!W286</f>
        <v>PREFORMED, 8006622, COYOTE PUP BUFFER KIT</v>
      </c>
      <c r="D284" s="176">
        <f>Data!X286</f>
        <v>295.52</v>
      </c>
      <c r="E284" s="28"/>
    </row>
    <row r="285" spans="1:5" s="25" customFormat="1">
      <c r="A285" s="639"/>
      <c r="B285" s="302">
        <f>Data!V287</f>
        <v>8006877</v>
      </c>
      <c r="C285" s="173" t="str">
        <f>Data!W287</f>
        <v>PREFORMED, 8006877, COYOTE DOME CLOSURE FOR BUFFER TUBE, 6.5 x 22 in</v>
      </c>
      <c r="D285" s="176">
        <f>Data!X287</f>
        <v>30.7</v>
      </c>
      <c r="E285" s="28"/>
    </row>
    <row r="286" spans="1:5" s="25" customFormat="1">
      <c r="A286" s="639"/>
      <c r="B286" s="302">
        <f>Data!V288</f>
        <v>80802377</v>
      </c>
      <c r="C286" s="173" t="str">
        <f>Data!W288</f>
        <v>PREFORMED, 80802377, C-CEMENT, 4 OZ CAN</v>
      </c>
      <c r="D286" s="176">
        <f>Data!X288</f>
        <v>6.2</v>
      </c>
      <c r="E286" s="28"/>
    </row>
    <row r="287" spans="1:5" s="25" customFormat="1">
      <c r="A287" s="639"/>
      <c r="B287" s="302">
        <f>Data!V289</f>
        <v>80806033</v>
      </c>
      <c r="C287" s="173" t="str">
        <f>Data!W289</f>
        <v>PREFORMED, 80806033, COYOTE 12 STRAND SPLICE TRAY</v>
      </c>
      <c r="D287" s="176">
        <f>Data!X289</f>
        <v>35.159999999999997</v>
      </c>
      <c r="E287" s="28"/>
    </row>
    <row r="288" spans="1:5" s="25" customFormat="1">
      <c r="A288" s="639"/>
      <c r="B288" s="302">
        <f>Data!V290</f>
        <v>800081098</v>
      </c>
      <c r="C288" s="173" t="str">
        <f>Data!W290</f>
        <v>PREFORMED, 800081098,  3-SECTION END PLATE, 9.5 in</v>
      </c>
      <c r="D288" s="176">
        <f>Data!X290</f>
        <v>63.83</v>
      </c>
      <c r="E288" s="28"/>
    </row>
    <row r="289" spans="1:5" s="25" customFormat="1">
      <c r="A289" s="639"/>
      <c r="B289" s="302" t="str">
        <f>Data!V291</f>
        <v>4"X36"EMB</v>
      </c>
      <c r="C289" s="173" t="str">
        <f>Data!W291</f>
        <v>PREFORMED, 4"X36"EMB, BOLLARD, FIXED, 4 IN, CARBON STEEL, YELLOW</v>
      </c>
      <c r="D289" s="176">
        <f>Data!X291</f>
        <v>278.24</v>
      </c>
      <c r="E289" s="28"/>
    </row>
    <row r="290" spans="1:5" s="25" customFormat="1">
      <c r="A290" s="639"/>
      <c r="B290" s="302" t="str">
        <f>Data!V292</f>
        <v>COYD919B-000</v>
      </c>
      <c r="C290" s="173" t="str">
        <f>Data!W292</f>
        <v>PREFORMED, COYD919B-000, COYOTE DOME CLOSURE, 9.5 x 19 in</v>
      </c>
      <c r="D290" s="176">
        <f>Data!X292</f>
        <v>208.56</v>
      </c>
      <c r="E290" s="28"/>
    </row>
    <row r="291" spans="1:5" s="25" customFormat="1">
      <c r="A291" s="639"/>
      <c r="B291" s="302" t="str">
        <f>Data!V293</f>
        <v>924FR</v>
      </c>
      <c r="C291" s="173" t="str">
        <f>Data!W293</f>
        <v>PYRO-GUARD, 924FR, FIRE RETARDENT PLYWOOD, 4 x 8 FT</v>
      </c>
      <c r="D291" s="176">
        <f>Data!X293</f>
        <v>37.1</v>
      </c>
      <c r="E291" s="28"/>
    </row>
    <row r="292" spans="1:5" s="25" customFormat="1">
      <c r="A292" s="639"/>
      <c r="B292" s="302" t="str">
        <f>Data!V294</f>
        <v>PG3048CA0009</v>
      </c>
      <c r="C292" s="173" t="str">
        <f>Data!W294</f>
        <v>QUAZITE, PG3048CA0009, HAND HOLE, 30 x 48 x 24, WITH LID</v>
      </c>
      <c r="D292" s="176">
        <f>Data!X294</f>
        <v>724.33</v>
      </c>
      <c r="E292" s="28"/>
    </row>
    <row r="293" spans="1:5" s="25" customFormat="1">
      <c r="A293" s="639"/>
      <c r="B293" s="302" t="str">
        <f>Data!V295</f>
        <v>PG4848HA0009</v>
      </c>
      <c r="C293" s="173" t="str">
        <f>Data!W295</f>
        <v>QUAZITE, PG4848HA0009, HAND HOLE, 48 x 48 x 48, WITH LID</v>
      </c>
      <c r="D293" s="176">
        <f>Data!X295</f>
        <v>1806.85</v>
      </c>
      <c r="E293" s="28"/>
    </row>
    <row r="294" spans="1:5" s="25" customFormat="1">
      <c r="A294" s="639"/>
      <c r="B294" s="302" t="str">
        <f>Data!V296</f>
        <v>FOAS2FSMSCSC-1M</v>
      </c>
      <c r="C294" s="173" t="str">
        <f>Data!W296</f>
        <v>QUIKTRON, FOAS2FSMSCSC-1M, DUPLEX FIBER JUMPER, SM, SC-SC, 1 METER</v>
      </c>
      <c r="D294" s="176">
        <f>Data!X296</f>
        <v>12.02</v>
      </c>
      <c r="E294" s="28"/>
    </row>
    <row r="295" spans="1:5" s="25" customFormat="1">
      <c r="A295" s="639"/>
      <c r="B295" s="302">
        <f>Data!V297</f>
        <v>1048</v>
      </c>
      <c r="C295" s="173" t="str">
        <f>Data!W297</f>
        <v>RACO, 1048, KNOCKOUT SEAL, STEEL, 2 in</v>
      </c>
      <c r="D295" s="176">
        <f>Data!X297</f>
        <v>5</v>
      </c>
      <c r="E295" s="28"/>
    </row>
    <row r="296" spans="1:5" s="25" customFormat="1">
      <c r="A296" s="639"/>
      <c r="B296" s="302">
        <f>Data!V298</f>
        <v>8232</v>
      </c>
      <c r="C296" s="173" t="str">
        <f>Data!W298</f>
        <v>RACO, 8232, ELECTRICAL JUNCTION BOX, 4 x 4 x 4 in</v>
      </c>
      <c r="D296" s="176">
        <f>Data!X298</f>
        <v>4.38</v>
      </c>
      <c r="E296" s="28"/>
    </row>
    <row r="297" spans="1:5" s="25" customFormat="1">
      <c r="A297" s="639"/>
      <c r="B297" s="302">
        <f>Data!V299</f>
        <v>8752</v>
      </c>
      <c r="C297" s="173" t="str">
        <f>Data!W299</f>
        <v>RACO, 8752, ELECTRICAL JUNCTION BOX COVER, 4 x 4 in</v>
      </c>
      <c r="D297" s="176">
        <f>Data!X299</f>
        <v>0.96</v>
      </c>
      <c r="E297" s="28"/>
    </row>
    <row r="298" spans="1:5" s="25" customFormat="1">
      <c r="A298" s="639"/>
      <c r="B298" s="302" t="str">
        <f>Data!V300</f>
        <v>3LV27</v>
      </c>
      <c r="C298" s="173" t="str">
        <f>Data!W300</f>
        <v>RACO, 3LV27, EMT ONE-HOLE STRAP, STEEL, 1.25 in</v>
      </c>
      <c r="D298" s="176">
        <f>Data!X300</f>
        <v>0.33</v>
      </c>
      <c r="E298" s="28"/>
    </row>
    <row r="299" spans="1:5" s="25" customFormat="1">
      <c r="A299" s="639"/>
      <c r="B299" s="302" t="str">
        <f>Data!V301</f>
        <v>5A051</v>
      </c>
      <c r="C299" s="173" t="str">
        <f>Data!W301</f>
        <v>RACO, 5A051, ELECTRICAL JUNCTION BOX, 4 x 4 x 1.5 in</v>
      </c>
      <c r="D299" s="176">
        <f>Data!X301</f>
        <v>4.92</v>
      </c>
      <c r="E299" s="28"/>
    </row>
    <row r="300" spans="1:5" s="25" customFormat="1">
      <c r="A300" s="639"/>
      <c r="B300" s="302" t="str">
        <f>Data!V302</f>
        <v>902C</v>
      </c>
      <c r="C300" s="173" t="str">
        <f>Data!W302</f>
        <v>RACO, 902C, DUAL ELECTRICAL OUTLET COVER, 4 x 4 in</v>
      </c>
      <c r="D300" s="176">
        <f>Data!X302</f>
        <v>3.33</v>
      </c>
      <c r="E300" s="28"/>
    </row>
    <row r="301" spans="1:5" s="25" customFormat="1">
      <c r="A301" s="639"/>
      <c r="B301" s="302">
        <f>Data!V303</f>
        <v>50099</v>
      </c>
      <c r="C301" s="173" t="str">
        <f>Data!W303</f>
        <v>RED HEAD, 50099, WEDGE ANCHOR FOR CONCRETE, 5/8 x 5 in</v>
      </c>
      <c r="D301" s="176">
        <f>Data!X303</f>
        <v>4.43</v>
      </c>
      <c r="E301" s="28"/>
    </row>
    <row r="302" spans="1:5" s="25" customFormat="1">
      <c r="A302" s="639"/>
      <c r="B302" s="302" t="str">
        <f>Data!V304</f>
        <v>1-90D-EMT-ELL</v>
      </c>
      <c r="C302" s="173" t="str">
        <f>Data!W304</f>
        <v>REPUBLIC CONDUIT, 1-90D-EMT-ELL, EMT CONDUIT ELBOW, 90 DEGREE, 1 in</v>
      </c>
      <c r="D302" s="176">
        <f>Data!X304</f>
        <v>5.09</v>
      </c>
      <c r="E302" s="28"/>
    </row>
    <row r="303" spans="1:5" s="25" customFormat="1">
      <c r="A303" s="639"/>
      <c r="B303" s="302" t="str">
        <f>Data!V305</f>
        <v>3/4-90D-EMT-ELL</v>
      </c>
      <c r="C303" s="173" t="str">
        <f>Data!W305</f>
        <v>REPUBLIC CONDUIT, 3/4-90D-EMT-ELL, EMT CONDUIT ELBOW, 90 DEGREE, 3/4 in</v>
      </c>
      <c r="D303" s="176">
        <f>Data!X305</f>
        <v>3.33</v>
      </c>
      <c r="E303" s="28"/>
    </row>
    <row r="304" spans="1:5" s="25" customFormat="1">
      <c r="A304" s="639"/>
      <c r="B304" s="302" t="str">
        <f>Data!V306</f>
        <v>EMT 1"</v>
      </c>
      <c r="C304" s="173" t="str">
        <f>Data!W306</f>
        <v>REPUBLIC CONDUIT, EMT 1", EMT CONDUIT, 1 in, 10FT</v>
      </c>
      <c r="D304" s="176">
        <f>Data!X306</f>
        <v>6.3</v>
      </c>
      <c r="E304" s="28"/>
    </row>
    <row r="305" spans="1:5" s="25" customFormat="1">
      <c r="A305" s="639"/>
      <c r="B305" s="302" t="str">
        <f>Data!V307</f>
        <v>EMT 2"</v>
      </c>
      <c r="C305" s="173" t="str">
        <f>Data!W307</f>
        <v>REPUBLIC CONDUIT, EMT 2", EMT CONDUIT, 2 in, 10FT</v>
      </c>
      <c r="D305" s="176">
        <f>Data!X307</f>
        <v>11.11</v>
      </c>
      <c r="E305" s="28"/>
    </row>
    <row r="306" spans="1:5" s="25" customFormat="1">
      <c r="A306" s="639"/>
      <c r="B306" s="302" t="str">
        <f>Data!V308</f>
        <v>EMT 3/4"</v>
      </c>
      <c r="C306" s="173" t="str">
        <f>Data!W308</f>
        <v>REPUBLIC CONDUIT, EMT 3/4", EMT CONDUIT, 3/4 in, 10FT</v>
      </c>
      <c r="D306" s="176">
        <f>Data!X308</f>
        <v>5.59</v>
      </c>
      <c r="E306" s="28"/>
    </row>
    <row r="307" spans="1:5" s="25" customFormat="1">
      <c r="A307" s="639"/>
      <c r="B307" s="302" t="str">
        <f>Data!V309</f>
        <v>EMT 4"</v>
      </c>
      <c r="C307" s="173" t="str">
        <f>Data!W309</f>
        <v>REPUBLIC CONDUIT, EMT 4", EMT CONDUIT, 4 in, 10FT</v>
      </c>
      <c r="D307" s="176">
        <f>Data!X309</f>
        <v>42.93</v>
      </c>
      <c r="E307" s="28"/>
    </row>
    <row r="308" spans="1:5" s="25" customFormat="1">
      <c r="A308" s="639"/>
      <c r="B308" s="302" t="str">
        <f>Data!V310</f>
        <v>GP05RC</v>
      </c>
      <c r="C308" s="173" t="str">
        <f>Data!W310</f>
        <v>ROCK CITY, GP05RC, PEA GRAVEL, .5 CUBIC FT</v>
      </c>
      <c r="D308" s="176">
        <f>Data!X310</f>
        <v>5.68</v>
      </c>
      <c r="E308" s="28"/>
    </row>
    <row r="309" spans="1:5" s="25" customFormat="1">
      <c r="A309" s="639"/>
      <c r="B309" s="302" t="str">
        <f>Data!V311</f>
        <v>ED62B020</v>
      </c>
      <c r="C309" s="173" t="str">
        <f>Data!W311</f>
        <v>SIEMENS, ED62B020, 20 AMP CIRCUIT BREAKER, BOLT-ON</v>
      </c>
      <c r="D309" s="176">
        <f>Data!X311</f>
        <v>175</v>
      </c>
      <c r="E309" s="28"/>
    </row>
    <row r="310" spans="1:5" s="25" customFormat="1">
      <c r="A310" s="639"/>
      <c r="B310" s="302" t="str">
        <f>Data!V312</f>
        <v>9BB8P012G-E205A</v>
      </c>
      <c r="C310" s="173" t="str">
        <f>Data!W312</f>
        <v>SIEMON, 9BB8P012G-E205A, 12 STRAND SM PLENUM FIBER CABLE, PER FT</v>
      </c>
      <c r="D310" s="176">
        <f>Data!X312</f>
        <v>0.48</v>
      </c>
      <c r="E310" s="28"/>
    </row>
    <row r="311" spans="1:5" s="25" customFormat="1">
      <c r="A311" s="639"/>
      <c r="B311" s="302" t="str">
        <f>Data!V313</f>
        <v>CT4-BOX-20</v>
      </c>
      <c r="C311" s="173" t="str">
        <f>Data!W313</f>
        <v>SIEMON, CT4-BOX-20, SINGLE GANG SURFACE MOUNT BOX, IVORY</v>
      </c>
      <c r="D311" s="176">
        <f>Data!X313</f>
        <v>5.79</v>
      </c>
      <c r="E311" s="28"/>
    </row>
    <row r="312" spans="1:5" s="25" customFormat="1">
      <c r="A312" s="639"/>
      <c r="B312" s="302" t="str">
        <f>Data!V314</f>
        <v>HD5-24</v>
      </c>
      <c r="C312" s="173" t="str">
        <f>Data!W314</f>
        <v>SIEMON, HD5-24, COPPER PATCH PANEL, CAT5e, 24 PORT</v>
      </c>
      <c r="D312" s="176">
        <f>Data!X314</f>
        <v>94.82</v>
      </c>
      <c r="E312" s="28"/>
    </row>
    <row r="313" spans="1:5" s="25" customFormat="1">
      <c r="A313" s="639"/>
      <c r="B313" s="302" t="str">
        <f>Data!V315</f>
        <v>HD5-48</v>
      </c>
      <c r="C313" s="173" t="str">
        <f>Data!W315</f>
        <v>SIEMON, HD5-48, COPPER PATCH PANEL, CAT5e, 48 PORT</v>
      </c>
      <c r="D313" s="176">
        <f>Data!X315</f>
        <v>180.6</v>
      </c>
      <c r="E313" s="28"/>
    </row>
    <row r="314" spans="1:5" s="25" customFormat="1">
      <c r="A314" s="639"/>
      <c r="B314" s="302" t="str">
        <f>Data!V316</f>
        <v>HD6-24</v>
      </c>
      <c r="C314" s="173" t="str">
        <f>Data!W316</f>
        <v>SIEMON, HD6-24, COPPER PATCH PANEL, CAT6, 24 PORT</v>
      </c>
      <c r="D314" s="176">
        <f>Data!X316</f>
        <v>149.44</v>
      </c>
      <c r="E314" s="28"/>
    </row>
    <row r="315" spans="1:5" s="25" customFormat="1">
      <c r="A315" s="639"/>
      <c r="B315" s="302" t="str">
        <f>Data!V317</f>
        <v>HD6-48</v>
      </c>
      <c r="C315" s="173" t="str">
        <f>Data!W317</f>
        <v>SIEMON, HD6-48, COPPER PATCH PANEL, CAT6, 48 PORT</v>
      </c>
      <c r="D315" s="176">
        <f>Data!X317</f>
        <v>169.04</v>
      </c>
      <c r="E315" s="28"/>
    </row>
    <row r="316" spans="1:5" s="25" customFormat="1">
      <c r="A316" s="639"/>
      <c r="B316" s="302" t="str">
        <f>Data!V318</f>
        <v>MX5-F20</v>
      </c>
      <c r="C316" s="173" t="str">
        <f>Data!W318</f>
        <v>SIEMON, MX5-F20, RJ-45 FLAT JACK MODULE, CAT5e, IVORY</v>
      </c>
      <c r="D316" s="176">
        <f>Data!X318</f>
        <v>6.23</v>
      </c>
      <c r="E316" s="28"/>
    </row>
    <row r="317" spans="1:5" s="25" customFormat="1">
      <c r="A317" s="639"/>
      <c r="B317" s="302" t="str">
        <f>Data!V319</f>
        <v>MX6-F02</v>
      </c>
      <c r="C317" s="173" t="str">
        <f>Data!W319</f>
        <v>SIEMON, MX6-F02, RJ-45 FLAT JACK MODULE, CAT6, WHITE</v>
      </c>
      <c r="D317" s="176">
        <f>Data!X319</f>
        <v>9.9600000000000009</v>
      </c>
      <c r="E317" s="28"/>
    </row>
    <row r="318" spans="1:5" s="25" customFormat="1">
      <c r="A318" s="639"/>
      <c r="B318" s="302" t="str">
        <f>Data!V320</f>
        <v>MX6-F06</v>
      </c>
      <c r="C318" s="173" t="str">
        <f>Data!W320</f>
        <v>SIEMON, MX6-F06, RJ-45 FLAT JACK MODULE, CAT6, BLUE</v>
      </c>
      <c r="D318" s="176">
        <f>Data!X320</f>
        <v>5</v>
      </c>
      <c r="E318" s="28"/>
    </row>
    <row r="319" spans="1:5" s="25" customFormat="1">
      <c r="A319" s="639"/>
      <c r="B319" s="302" t="str">
        <f>Data!V321</f>
        <v>MX6-F20</v>
      </c>
      <c r="C319" s="173" t="str">
        <f>Data!W321</f>
        <v>SIEMON, MX6-F20, RJ-45 FLAT JACK MODULE, CAT6, IVORY</v>
      </c>
      <c r="D319" s="176">
        <f>Data!X321</f>
        <v>8.4700000000000006</v>
      </c>
      <c r="E319" s="28"/>
    </row>
    <row r="320" spans="1:5" s="25" customFormat="1">
      <c r="A320" s="639"/>
      <c r="B320" s="302" t="str">
        <f>Data!V322</f>
        <v>MX-FP-S-02-20</v>
      </c>
      <c r="C320" s="173" t="str">
        <f>Data!W322</f>
        <v xml:space="preserve">SIEMON, MX-FP-S-02-20, SINGLE GANG FACEPLATE, 2 PORT, IVORY       </v>
      </c>
      <c r="D320" s="176">
        <f>Data!X322</f>
        <v>2.86</v>
      </c>
      <c r="E320" s="28"/>
    </row>
    <row r="321" spans="1:5" s="25" customFormat="1">
      <c r="A321" s="639"/>
      <c r="B321" s="302" t="str">
        <f>Data!V323</f>
        <v>MX-SM1-20</v>
      </c>
      <c r="C321" s="173" t="str">
        <f>Data!W323</f>
        <v>SIEMON, MX-SM1-20, SURFACE MOUNT BOX, 1 PORT, IVORY</v>
      </c>
      <c r="D321" s="176">
        <f>Data!X323</f>
        <v>5.52</v>
      </c>
      <c r="E321" s="28"/>
    </row>
    <row r="322" spans="1:5" s="25" customFormat="1">
      <c r="A322" s="639"/>
      <c r="B322" s="302" t="str">
        <f>Data!V324</f>
        <v>RIC3-24-01</v>
      </c>
      <c r="C322" s="173" t="str">
        <f>Data!W324</f>
        <v>SIEMON, RIC3-24-01, FIBER ENCLOSURE, RACK MOUNT INTERCONNECT CENTER, 2 RMS</v>
      </c>
      <c r="D322" s="176">
        <f>Data!X324</f>
        <v>161.94999999999999</v>
      </c>
      <c r="E322" s="28"/>
    </row>
    <row r="323" spans="1:5" s="25" customFormat="1">
      <c r="A323" s="639"/>
      <c r="B323" s="302" t="str">
        <f>Data!V325</f>
        <v>RS3-RWM-2</v>
      </c>
      <c r="C323" s="173" t="str">
        <f>Data!W325</f>
        <v>SIEMON, RS3-RWM-2, WIRE MANAGER, SINGLE SIDED, 2U</v>
      </c>
      <c r="D323" s="176">
        <f>Data!X325</f>
        <v>42.12</v>
      </c>
      <c r="E323" s="28"/>
    </row>
    <row r="324" spans="1:5" s="25" customFormat="1">
      <c r="A324" s="639"/>
      <c r="B324" s="302" t="str">
        <f>Data!V326</f>
        <v>S110-RWM-1</v>
      </c>
      <c r="C324" s="173" t="str">
        <f>Data!W326</f>
        <v xml:space="preserve">SIEMON, S110-RWM-1, HORIZONTAL CABLE MANAGER, 1U </v>
      </c>
      <c r="D324" s="176">
        <f>Data!X326</f>
        <v>20.59</v>
      </c>
      <c r="E324" s="28"/>
    </row>
    <row r="325" spans="1:5" s="25" customFormat="1">
      <c r="A325" s="639"/>
      <c r="B325" s="302" t="str">
        <f>Data!V327</f>
        <v>S110-RWM2-01</v>
      </c>
      <c r="C325" s="173" t="str">
        <f>Data!W327</f>
        <v xml:space="preserve">SIEMON, S110-RWM2-01, HORIZONTAL CABLE MANAGER, 2U </v>
      </c>
      <c r="D325" s="176">
        <f>Data!X327</f>
        <v>37.72</v>
      </c>
      <c r="E325" s="28"/>
    </row>
    <row r="326" spans="1:5" s="25" customFormat="1">
      <c r="A326" s="639"/>
      <c r="B326" s="302" t="str">
        <f>Data!V328</f>
        <v>SWIC3-M-01</v>
      </c>
      <c r="C326" s="173" t="str">
        <f>Data!W328</f>
        <v>SIEMON, SWIC3-M-01, FIBER ENCLOSURE, MINI WALL MOUNT, BLACK</v>
      </c>
      <c r="D326" s="176">
        <f>Data!X328</f>
        <v>49.8</v>
      </c>
      <c r="E326" s="28"/>
    </row>
    <row r="327" spans="1:5" s="25" customFormat="1">
      <c r="A327" s="639"/>
      <c r="B327" s="302" t="str">
        <f>Data!V329</f>
        <v>Z6A-S01</v>
      </c>
      <c r="C327" s="173" t="str">
        <f>Data!W329</f>
        <v>SIEMON, Z6A-S01, RJ-45 ZMAX JACK, CAT6, SHIELDED, BLACK</v>
      </c>
      <c r="D327" s="176">
        <f>Data!X329</f>
        <v>12.88</v>
      </c>
      <c r="E327" s="28"/>
    </row>
    <row r="328" spans="1:5" s="25" customFormat="1">
      <c r="A328" s="639"/>
      <c r="B328" s="302">
        <f>Data!V330</f>
        <v>43608</v>
      </c>
      <c r="C328" s="173" t="str">
        <f>Data!W330</f>
        <v>SOUTHWIRE, 43608, #12 AWG STRANDED GREEN COPPER THHN WIRE, PER FT</v>
      </c>
      <c r="D328" s="176">
        <f>Data!X330</f>
        <v>0.25</v>
      </c>
      <c r="E328" s="28"/>
    </row>
    <row r="329" spans="1:5" s="25" customFormat="1">
      <c r="A329" s="639"/>
      <c r="B329" s="302">
        <f>Data!V331</f>
        <v>293655</v>
      </c>
      <c r="C329" s="173" t="str">
        <f>Data!W331</f>
        <v>SOUTHWIRE, 293655, #12 AWG STRANDED BLACK COPPER THHN WIRE, PER FT</v>
      </c>
      <c r="D329" s="176">
        <f>Data!X331</f>
        <v>0.25</v>
      </c>
      <c r="E329" s="28"/>
    </row>
    <row r="330" spans="1:5" s="25" customFormat="1">
      <c r="A330" s="639"/>
      <c r="B330" s="302">
        <f>Data!V332</f>
        <v>20497401</v>
      </c>
      <c r="C330" s="173" t="str">
        <f>Data!W332</f>
        <v>SOUTHWIRE, 20497401, #6 AWG STRANDED GREEN COPPER THHN WIRE, PER FT</v>
      </c>
      <c r="D330" s="176">
        <f>Data!X332</f>
        <v>4.78</v>
      </c>
      <c r="E330" s="28"/>
    </row>
    <row r="331" spans="1:5" s="25" customFormat="1">
      <c r="A331" s="639"/>
      <c r="B331" s="302" t="str">
        <f>Data!V333</f>
        <v>22965801</v>
      </c>
      <c r="C331" s="173" t="str">
        <f>Data!W333</f>
        <v>SOUTHWIRE, 22965801, #12 AWG STRANDED WHITE COPPER THHN WIRE, PER FT</v>
      </c>
      <c r="D331" s="176">
        <f>Data!X333</f>
        <v>0.25</v>
      </c>
      <c r="E331" s="28"/>
    </row>
    <row r="332" spans="1:5" s="25" customFormat="1">
      <c r="A332" s="639"/>
      <c r="B332" s="302">
        <f>Data!V334</f>
        <v>68580023</v>
      </c>
      <c r="C332" s="173" t="str">
        <f>Data!W334</f>
        <v>SOUTHWIRE, 68580023, 12/2 ALUMINUM METAL-CLAD CABLE, 100 FT</v>
      </c>
      <c r="D332" s="176">
        <f>Data!X334</f>
        <v>35.54</v>
      </c>
      <c r="E332" s="28"/>
    </row>
    <row r="333" spans="1:5" s="25" customFormat="1">
      <c r="A333" s="639"/>
      <c r="B333" s="302" t="str">
        <f>Data!V335</f>
        <v>#6AWG GREEN SOLID</v>
      </c>
      <c r="C333" s="173" t="str">
        <f>Data!W335</f>
        <v>SOUTHWIRE, #6AWG GREEN SOLID, #6 AWG SOLID GREEN COPPER THHN WIRE, PER FT</v>
      </c>
      <c r="D333" s="176">
        <f>Data!X335</f>
        <v>0.89</v>
      </c>
      <c r="E333" s="28"/>
    </row>
    <row r="334" spans="1:5" s="25" customFormat="1">
      <c r="A334" s="639"/>
      <c r="B334" s="302" t="str">
        <f>Data!V336</f>
        <v>10AWG STR</v>
      </c>
      <c r="C334" s="173" t="str">
        <f>Data!W336</f>
        <v>SOUTHWIRE, 10AWG STR, #10 AWG STRANDED WHITE COPPER THHN WIRE, PER FT</v>
      </c>
      <c r="D334" s="176">
        <f>Data!X336</f>
        <v>0.37</v>
      </c>
      <c r="E334" s="28"/>
    </row>
    <row r="335" spans="1:5" s="25" customFormat="1">
      <c r="A335" s="639"/>
      <c r="B335" s="302" t="str">
        <f>Data!V337</f>
        <v>10AWG STR</v>
      </c>
      <c r="C335" s="173" t="str">
        <f>Data!W337</f>
        <v>SOUTHWIRE, 10AWG STR, #10 AWG STRANDED BLACK COPPER THHN WIRE, PER FT</v>
      </c>
      <c r="D335" s="176">
        <f>Data!X337</f>
        <v>0.37</v>
      </c>
      <c r="E335" s="28"/>
    </row>
    <row r="336" spans="1:5" s="25" customFormat="1">
      <c r="A336" s="639"/>
      <c r="B336" s="302" t="str">
        <f>Data!V338</f>
        <v>10AWG STR</v>
      </c>
      <c r="C336" s="173" t="str">
        <f>Data!W338</f>
        <v>SOUTHWIRE, 10AWG STR, #10 AWG STRANDED RED COPPER THHN WIRE, PER FT</v>
      </c>
      <c r="D336" s="176">
        <f>Data!X338</f>
        <v>0.37</v>
      </c>
      <c r="E336" s="28"/>
    </row>
    <row r="337" spans="1:5" s="25" customFormat="1">
      <c r="A337" s="639"/>
      <c r="B337" s="302" t="str">
        <f>Data!V339</f>
        <v>10AWG STR</v>
      </c>
      <c r="C337" s="173" t="str">
        <f>Data!W339</f>
        <v>SOUTHWIRE, 10AWG STR, #10 AWG STRANDED GREEN COPPER THHN WIRE, PER FT</v>
      </c>
      <c r="D337" s="176">
        <f>Data!X339</f>
        <v>0.37</v>
      </c>
      <c r="E337" s="28"/>
    </row>
    <row r="338" spans="1:5" s="25" customFormat="1">
      <c r="A338" s="639"/>
      <c r="B338" s="302" t="str">
        <f>Data!V340</f>
        <v>12AWG STR</v>
      </c>
      <c r="C338" s="173" t="str">
        <f>Data!W340</f>
        <v>SOUTHWIRE, 12AWG STR, #12 AWG STRANDED RED COPPER THHN WIRE, PER FT</v>
      </c>
      <c r="D338" s="176">
        <f>Data!X340</f>
        <v>0.25</v>
      </c>
      <c r="E338" s="28"/>
    </row>
    <row r="339" spans="1:5" s="25" customFormat="1">
      <c r="A339" s="639"/>
      <c r="B339" s="302" t="str">
        <f>Data!V341</f>
        <v>3THHNSTRGREEN</v>
      </c>
      <c r="C339" s="173" t="str">
        <f>Data!W341</f>
        <v>SOUTHWIRE, 3THHNSTRGREEN, #3 AWG STRANDED GREEN COPPER THHN WIRE, PER FT</v>
      </c>
      <c r="D339" s="176">
        <f>Data!X341</f>
        <v>1.18</v>
      </c>
      <c r="E339" s="28"/>
    </row>
    <row r="340" spans="1:5" s="25" customFormat="1">
      <c r="A340" s="639"/>
      <c r="B340" s="302" t="str">
        <f>Data!V342</f>
        <v>EAGCR20W</v>
      </c>
      <c r="C340" s="173" t="str">
        <f>Data!W342</f>
        <v>SPEC GRADE, EAGCR20W, 20 AMP 125V DUAL ELECTRICAL RECEPTICLE, WHITE</v>
      </c>
      <c r="D340" s="176">
        <f>Data!X342</f>
        <v>1.86</v>
      </c>
      <c r="E340" s="28"/>
    </row>
    <row r="341" spans="1:5" s="25" customFormat="1">
      <c r="A341" s="639"/>
      <c r="B341" s="302" t="str">
        <f>Data!V343</f>
        <v>FSR200</v>
      </c>
      <c r="C341" s="173" t="str">
        <f>Data!W343</f>
        <v>SPECIFIED TECHNOLOGIES, FSR200, FIRE BARRIER SLEEVE KIT, 2 in</v>
      </c>
      <c r="D341" s="176">
        <f>Data!X343</f>
        <v>55.41</v>
      </c>
      <c r="E341" s="28"/>
    </row>
    <row r="342" spans="1:5" s="25" customFormat="1">
      <c r="A342" s="639"/>
      <c r="B342" s="302" t="str">
        <f>Data!V344</f>
        <v>SSP100</v>
      </c>
      <c r="C342" s="173" t="str">
        <f>Data!W344</f>
        <v>SPECIFIED TECHNOLOGIES, SSP100, FIRE BARRIER PUTTY STICK, RED, 2 OZ</v>
      </c>
      <c r="D342" s="176">
        <f>Data!X344</f>
        <v>23.91</v>
      </c>
      <c r="E342" s="28"/>
    </row>
    <row r="343" spans="1:5" s="25" customFormat="1">
      <c r="A343" s="639"/>
      <c r="B343" s="302" t="str">
        <f>Data!V345</f>
        <v>HOM120CP</v>
      </c>
      <c r="C343" s="173" t="str">
        <f>Data!W345</f>
        <v>SQUARE D, HOM120CP, 20 AMP SINGLE POLE CIRCUIT BREAKER</v>
      </c>
      <c r="D343" s="176">
        <f>Data!X345</f>
        <v>4.5599999999999996</v>
      </c>
      <c r="E343" s="28"/>
    </row>
    <row r="344" spans="1:5" s="25" customFormat="1">
      <c r="A344" s="639"/>
      <c r="B344" s="302" t="str">
        <f>Data!V346</f>
        <v>HOM230</v>
      </c>
      <c r="C344" s="173" t="str">
        <f>Data!W346</f>
        <v>SQUARE D, HOM230, 30 AMP SINGLE POLE CIRCUIT BREAKER</v>
      </c>
      <c r="D344" s="176">
        <f>Data!X346</f>
        <v>17.91</v>
      </c>
      <c r="E344" s="28"/>
    </row>
    <row r="345" spans="1:5" s="25" customFormat="1">
      <c r="A345" s="639"/>
      <c r="B345" s="302" t="str">
        <f>Data!V347</f>
        <v>QO120</v>
      </c>
      <c r="C345" s="173" t="str">
        <f>Data!W347</f>
        <v>SQUARE D, QO120, 20 AMP SINGLE POLE CIRCUIT BREAKER</v>
      </c>
      <c r="D345" s="176">
        <f>Data!X347</f>
        <v>15.81</v>
      </c>
      <c r="E345" s="28"/>
    </row>
    <row r="346" spans="1:5" s="25" customFormat="1">
      <c r="A346" s="639"/>
      <c r="B346" s="302" t="str">
        <f>Data!V348</f>
        <v>QO120CP</v>
      </c>
      <c r="C346" s="173" t="str">
        <f>Data!W348</f>
        <v>SQUARE D, QO120CP, 20 AMP SINGLE POLE CIRCUIT BREAKER</v>
      </c>
      <c r="D346" s="176">
        <f>Data!X348</f>
        <v>11.18</v>
      </c>
      <c r="E346" s="28"/>
    </row>
    <row r="347" spans="1:5" s="25" customFormat="1">
      <c r="A347" s="639"/>
      <c r="B347" s="302" t="str">
        <f>Data!V349</f>
        <v>QO230CP</v>
      </c>
      <c r="C347" s="173" t="str">
        <f>Data!W349</f>
        <v>SQUARE D, QO230CP, 30 AMP DOUBLE POLE CIRCUIT BREAKER</v>
      </c>
      <c r="D347" s="176">
        <f>Data!X349</f>
        <v>16.989999999999998</v>
      </c>
      <c r="E347" s="28"/>
    </row>
    <row r="348" spans="1:5" s="25" customFormat="1">
      <c r="A348" s="639"/>
      <c r="B348" s="302" t="str">
        <f>Data!V350</f>
        <v>QO612L100DF</v>
      </c>
      <c r="C348" s="173" t="str">
        <f>Data!W350</f>
        <v>SQUARE D, QO612L100DF, INDOOR FLUSH MOUNT LOAD CENTER, 6 SLOTS</v>
      </c>
      <c r="D348" s="176">
        <f>Data!X350</f>
        <v>58.98</v>
      </c>
      <c r="E348" s="28"/>
    </row>
    <row r="349" spans="1:5" s="25" customFormat="1">
      <c r="A349" s="639"/>
      <c r="B349" s="302" t="str">
        <f>Data!V351</f>
        <v>QO6L100S</v>
      </c>
      <c r="C349" s="173" t="str">
        <f>Data!W351</f>
        <v>SQUARE D, QO6L100S, INDOOR SURFACE MOUNT LOAD CENTER, 6 SLOTS</v>
      </c>
      <c r="D349" s="176">
        <f>Data!X351</f>
        <v>58.41</v>
      </c>
      <c r="E349" s="28"/>
    </row>
    <row r="350" spans="1:5" s="25" customFormat="1">
      <c r="A350" s="639"/>
      <c r="B350" s="302" t="str">
        <f>Data!V352</f>
        <v>QOB120</v>
      </c>
      <c r="C350" s="173" t="str">
        <f>Data!W352</f>
        <v>SQUARE D, QOB120, 20 AMP SINGLE POLE CIRCUIT BREAKER, BOLT-ON</v>
      </c>
      <c r="D350" s="176">
        <f>Data!X352</f>
        <v>29.19</v>
      </c>
      <c r="E350" s="28"/>
    </row>
    <row r="351" spans="1:5" s="25" customFormat="1">
      <c r="A351" s="639"/>
      <c r="B351" s="302" t="str">
        <f>Data!V353</f>
        <v>QOB320</v>
      </c>
      <c r="C351" s="173" t="str">
        <f>Data!W353</f>
        <v>SQUARE D, QOB320, 20 AMP THREE POLE CIRCUIT BREAKER, BOLT-ON</v>
      </c>
      <c r="D351" s="176">
        <f>Data!X353</f>
        <v>186.17</v>
      </c>
      <c r="E351" s="28"/>
    </row>
    <row r="352" spans="1:5" s="25" customFormat="1">
      <c r="A352" s="639"/>
      <c r="B352" s="302" t="str">
        <f>Data!V354</f>
        <v>R1038</v>
      </c>
      <c r="C352" s="173" t="str">
        <f>Data!W354</f>
        <v>STEEL CITY / KINDORF, R1038, THREADED ROD, 3/8 in x 10 FT</v>
      </c>
      <c r="D352" s="176">
        <f>Data!X354</f>
        <v>2.2999999999999998</v>
      </c>
      <c r="E352" s="28"/>
    </row>
    <row r="353" spans="1:5" s="25" customFormat="1">
      <c r="A353" s="639"/>
      <c r="B353" s="302" t="str">
        <f>Data!V355</f>
        <v>SPCGBZ1250210-0-KT1</v>
      </c>
      <c r="C353" s="173" t="str">
        <f>Data!W355</f>
        <v>STORM MANUFACTURING, SPCGBZ1250210-0-KT1, WALL MOUNTED COPPER GROUND BUSBAR</v>
      </c>
      <c r="D353" s="176">
        <f>Data!X355</f>
        <v>38.07</v>
      </c>
      <c r="E353" s="28"/>
    </row>
    <row r="354" spans="1:5" s="25" customFormat="1">
      <c r="A354" s="639"/>
      <c r="B354" s="302" t="str">
        <f>Data!V356</f>
        <v>A1200HS-10PG</v>
      </c>
      <c r="C354" s="173" t="str">
        <f>Data!W356</f>
        <v>SUPER-STRUT, A1200HS-10PG, SLOTTED CHANNEL , 1-5/8 in x 10 FT</v>
      </c>
      <c r="D354" s="176">
        <f>Data!X356</f>
        <v>35.17</v>
      </c>
      <c r="E354" s="28"/>
    </row>
    <row r="355" spans="1:5" s="25" customFormat="1">
      <c r="A355" s="639"/>
      <c r="B355" s="302" t="str">
        <f>Data!V357</f>
        <v>CBL-CAT6-RJ45-10FT-BLU</v>
      </c>
      <c r="C355" s="173" t="str">
        <f>Data!W357</f>
        <v>SUPPLIER SPECIFIC, CBL-CAT6-RJ45-10FT-BLU, CAT6 COPPER PATCH CABLE, RJ45, 10 FT, BLUE</v>
      </c>
      <c r="D355" s="176">
        <f>Data!X357</f>
        <v>2.23</v>
      </c>
      <c r="E355" s="28"/>
    </row>
    <row r="356" spans="1:5" s="25" customFormat="1">
      <c r="A356" s="639"/>
      <c r="B356" s="302">
        <f>Data!V358</f>
        <v>344361</v>
      </c>
      <c r="C356" s="173" t="str">
        <f>Data!W358</f>
        <v>TESSCO, 344361, 12 STRAND SM TIGHT-BUFFERED RISER FIBER CABLE, PER FT</v>
      </c>
      <c r="D356" s="176">
        <f>Data!X358</f>
        <v>1.8</v>
      </c>
      <c r="E356" s="28"/>
    </row>
    <row r="357" spans="1:5" s="25" customFormat="1">
      <c r="A357" s="639"/>
      <c r="B357" s="302">
        <f>Data!V359</f>
        <v>702.75</v>
      </c>
      <c r="C357" s="173" t="str">
        <f>Data!W359</f>
        <v>THOMAS-BETTS, 702.75, UNISTRUT CLAMP, 3/4 in</v>
      </c>
      <c r="D357" s="176">
        <f>Data!X359</f>
        <v>2.25</v>
      </c>
      <c r="E357" s="28"/>
    </row>
    <row r="358" spans="1:5" s="25" customFormat="1">
      <c r="A358" s="639"/>
      <c r="B358" s="302">
        <f>Data!V360</f>
        <v>52151.5</v>
      </c>
      <c r="C358" s="173" t="str">
        <f>Data!W360</f>
        <v>THOMAS-BETTS, 52151.5, SQUARE BOX, 4 in x 1.5 in</v>
      </c>
      <c r="D358" s="176">
        <f>Data!X360</f>
        <v>1.45</v>
      </c>
      <c r="E358" s="28"/>
    </row>
    <row r="359" spans="1:5" s="25" customFormat="1">
      <c r="A359" s="639"/>
      <c r="B359" s="302">
        <f>Data!V361</f>
        <v>58361.5</v>
      </c>
      <c r="C359" s="173" t="str">
        <f>Data!W361</f>
        <v>THOMAS-BETTS, 58361.5, SINGLE GANG ELECTRICAL OUTLET BOX, 1-7/8 in DEPTH</v>
      </c>
      <c r="D359" s="176">
        <f>Data!X361</f>
        <v>2.2000000000000002</v>
      </c>
      <c r="E359" s="28"/>
    </row>
    <row r="360" spans="1:5" s="25" customFormat="1">
      <c r="A360" s="639"/>
      <c r="B360" s="302">
        <f>Data!V362</f>
        <v>58371.5</v>
      </c>
      <c r="C360" s="173" t="str">
        <f>Data!W362</f>
        <v>THOMAS-BETTS, 58371.5, SINGLE GANG ELECTRICAL OUTLET BOX, 2-1/8 in DEPTH</v>
      </c>
      <c r="D360" s="176">
        <f>Data!X362</f>
        <v>2.56</v>
      </c>
      <c r="E360" s="28"/>
    </row>
    <row r="361" spans="1:5" s="25" customFormat="1">
      <c r="A361" s="639"/>
      <c r="B361" s="302" t="str">
        <f>Data!V363</f>
        <v xml:space="preserve"> 58371-3/4</v>
      </c>
      <c r="C361" s="173" t="str">
        <f>Data!W363</f>
        <v>THOMAS-BETTS,  58371-3/4, SINGLE GANG ELECTRICAL OUTLET BOX, 3/4 in KJO, 2-1/8 in DEPTH</v>
      </c>
      <c r="D361" s="176">
        <f>Data!X363</f>
        <v>5.85</v>
      </c>
      <c r="E361" s="28"/>
    </row>
    <row r="362" spans="1:5" s="25" customFormat="1">
      <c r="A362" s="639"/>
      <c r="B362" s="302" t="str">
        <f>Data!V364</f>
        <v>52151-1/2 &amp; 3/4</v>
      </c>
      <c r="C362" s="173" t="str">
        <f>Data!W364</f>
        <v>THOMAS-BETTS, 52151-1/2 &amp; 3/4, DUAL GANG ELECTRICAL OUTLET BOX, 1.5 in DEPTH</v>
      </c>
      <c r="D362" s="176">
        <f>Data!X364</f>
        <v>6.27</v>
      </c>
      <c r="E362" s="28"/>
    </row>
    <row r="363" spans="1:5" s="25" customFormat="1">
      <c r="A363" s="639"/>
      <c r="B363" s="302" t="str">
        <f>Data!V365</f>
        <v>52171-3/4</v>
      </c>
      <c r="C363" s="173" t="str">
        <f>Data!W365</f>
        <v>THOMAS-BETTS, 52171-3/4, DUAL GANG ELECTRICAL OUTLET BOX, 2-1/8 in DEPTH</v>
      </c>
      <c r="D363" s="176">
        <f>Data!X365</f>
        <v>6.69</v>
      </c>
      <c r="E363" s="28"/>
    </row>
    <row r="364" spans="1:5" s="25" customFormat="1">
      <c r="A364" s="639"/>
      <c r="B364" s="302" t="str">
        <f>Data!V366</f>
        <v>52-C-0</v>
      </c>
      <c r="C364" s="173" t="str">
        <f>Data!W366</f>
        <v>THOMAS-BETTS, 52-C-0, SQUARE FLAT DEVICE COVER, STEEL, 4 in</v>
      </c>
      <c r="D364" s="176">
        <f>Data!X366</f>
        <v>2.67</v>
      </c>
      <c r="E364" s="28"/>
    </row>
    <row r="365" spans="1:5" s="25" customFormat="1">
      <c r="A365" s="639"/>
      <c r="B365" s="302" t="str">
        <f>Data!V367</f>
        <v>52-C-1</v>
      </c>
      <c r="C365" s="173" t="str">
        <f>Data!W367</f>
        <v>THOMAS-BETTS, 52-C-1, SQUARE FLAT BLANK COVER, STEEL, 4 in</v>
      </c>
      <c r="D365" s="176">
        <f>Data!X367</f>
        <v>2.67</v>
      </c>
      <c r="E365" s="28"/>
    </row>
    <row r="366" spans="1:5" s="25" customFormat="1">
      <c r="A366" s="639"/>
      <c r="B366" s="302" t="str">
        <f>Data!V368</f>
        <v>52-C-14-5/8</v>
      </c>
      <c r="C366" s="173" t="str">
        <f>Data!W368</f>
        <v>THOMAS-BETTS, 52-C-14-5/8, SQUARE RAISED DEVICE COVER, STEEL, 4 in</v>
      </c>
      <c r="D366" s="176">
        <f>Data!X368</f>
        <v>2.94</v>
      </c>
      <c r="E366" s="28"/>
    </row>
    <row r="367" spans="1:5" s="25" customFormat="1">
      <c r="A367" s="639"/>
      <c r="B367" s="302" t="str">
        <f>Data!V369</f>
        <v>58 C 7</v>
      </c>
      <c r="C367" s="173" t="str">
        <f>Data!W369</f>
        <v>THOMAS-BETTS, 58 C 7, SINGLE GANG ELECTRICAL OUTLET BOX COVER</v>
      </c>
      <c r="D367" s="176">
        <f>Data!X369</f>
        <v>0.66</v>
      </c>
      <c r="E367" s="28"/>
    </row>
    <row r="368" spans="1:5" s="25" customFormat="1">
      <c r="A368" s="639"/>
      <c r="B368" s="302" t="str">
        <f>Data!V370</f>
        <v>702 2</v>
      </c>
      <c r="C368" s="173" t="str">
        <f>Data!W370</f>
        <v>THOMAS-BETTS, 702 2, CONDUIT CLAMP, 2.5 in, PACK OF 10</v>
      </c>
      <c r="D368" s="176">
        <f>Data!X370</f>
        <v>13.12</v>
      </c>
      <c r="E368" s="28"/>
    </row>
    <row r="369" spans="1:5" s="25" customFormat="1">
      <c r="A369" s="639"/>
      <c r="B369" s="302" t="str">
        <f>Data!V371</f>
        <v>703 2</v>
      </c>
      <c r="C369" s="173" t="str">
        <f>Data!W371</f>
        <v>THOMAS-BETTS, 703 2, CONDUIT/EMT CLAMP, 2.5 in</v>
      </c>
      <c r="D369" s="176">
        <f>Data!X371</f>
        <v>1.17</v>
      </c>
      <c r="E369" s="28"/>
    </row>
    <row r="370" spans="1:5" s="25" customFormat="1">
      <c r="A370" s="639"/>
      <c r="B370" s="302" t="str">
        <f>Data!V372</f>
        <v>843-TB</v>
      </c>
      <c r="C370" s="173" t="str">
        <f>Data!W372</f>
        <v>THOMAS-BETTS, 843-TB, CHASE HEX HEAD BUSHED NIPPLE, 3/4, in</v>
      </c>
      <c r="D370" s="176">
        <f>Data!X372</f>
        <v>3.09</v>
      </c>
      <c r="E370" s="28"/>
    </row>
    <row r="371" spans="1:5" s="25" customFormat="1">
      <c r="A371" s="639"/>
      <c r="B371" s="302" t="str">
        <f>Data!V373</f>
        <v>A1200HS10EG</v>
      </c>
      <c r="C371" s="173" t="str">
        <f>Data!W373</f>
        <v>THOMAS-BETTS, A1200HS10EG, SLOTTED CHANNEL, 1-5/8 in x 10 FT</v>
      </c>
      <c r="D371" s="176">
        <f>Data!X373</f>
        <v>2.76</v>
      </c>
      <c r="E371" s="28"/>
    </row>
    <row r="372" spans="1:5" s="25" customFormat="1">
      <c r="A372" s="639"/>
      <c r="B372" s="302" t="str">
        <f>Data!V374</f>
        <v>BU 510</v>
      </c>
      <c r="C372" s="173" t="str">
        <f>Data!W374</f>
        <v>THOMAS-BETTS, BU 510, PLASTIC BUSHING, 4 in</v>
      </c>
      <c r="D372" s="176">
        <f>Data!X374</f>
        <v>1.88</v>
      </c>
      <c r="E372" s="28"/>
    </row>
    <row r="373" spans="1:5" s="25" customFormat="1">
      <c r="A373" s="639"/>
      <c r="B373" s="302" t="str">
        <f>Data!V375</f>
        <v>CDOWTG-25</v>
      </c>
      <c r="C373" s="173" t="str">
        <f>Data!W375</f>
        <v>THOMAS-BETTS, CDOWTG-25, SINGLE GANG SWITCH BOX, 2.5 in DEPTH</v>
      </c>
      <c r="D373" s="176">
        <f>Data!X375</f>
        <v>10.17</v>
      </c>
      <c r="E373" s="28"/>
    </row>
    <row r="374" spans="1:5" s="25" customFormat="1">
      <c r="A374" s="639"/>
      <c r="B374" s="302" t="str">
        <f>Data!V376</f>
        <v>CF4X1C-200</v>
      </c>
      <c r="C374" s="173" t="str">
        <f>Data!W376</f>
        <v>THOMAS-BETTS, CF4X1C-200, PLENUM INNERDUCT ORANGE W/TAPE, 1 in, PER FT</v>
      </c>
      <c r="D374" s="176">
        <f>Data!X376</f>
        <v>5.0599999999999996</v>
      </c>
      <c r="E374" s="28"/>
    </row>
    <row r="375" spans="1:5" s="25" customFormat="1">
      <c r="A375" s="639"/>
      <c r="B375" s="302" t="str">
        <f>Data!V377</f>
        <v>CF4X4C-250</v>
      </c>
      <c r="C375" s="173" t="str">
        <f>Data!W377</f>
        <v>THOMAS-BETTS, CF4X4C-250, PLENUM INNERDUCT WHITE W/TAPE, 1 in, PER FT</v>
      </c>
      <c r="D375" s="176">
        <f>Data!X377</f>
        <v>4.49</v>
      </c>
      <c r="E375" s="28"/>
    </row>
    <row r="376" spans="1:5" s="25" customFormat="1">
      <c r="A376" s="639"/>
      <c r="B376" s="302" t="str">
        <f>Data!V378</f>
        <v>CG4X1C-200</v>
      </c>
      <c r="C376" s="173" t="str">
        <f>Data!W378</f>
        <v>THOMAS-BETTS, CG4X1C-200, PLENUM INNERDUCT ORANGE W/TAPE, 1.25 in, PER FT</v>
      </c>
      <c r="D376" s="176">
        <f>Data!X378</f>
        <v>2.23</v>
      </c>
      <c r="E376" s="28"/>
    </row>
    <row r="377" spans="1:5" s="25" customFormat="1">
      <c r="A377" s="639"/>
      <c r="B377" s="302" t="str">
        <f>Data!V379</f>
        <v>CG4X4C-200</v>
      </c>
      <c r="C377" s="173" t="str">
        <f>Data!W379</f>
        <v>THOMAS-BETTS, CG4X4C-200, PLENUM INNERDUCT WHITE W/TAPE, 1.25 in, PER FT</v>
      </c>
      <c r="D377" s="176">
        <f>Data!X379</f>
        <v>2.23</v>
      </c>
      <c r="E377" s="28"/>
    </row>
    <row r="378" spans="1:5" s="25" customFormat="1">
      <c r="A378" s="639"/>
      <c r="B378" s="302" t="str">
        <f>Data!V380</f>
        <v>DF4X1C-CUT REEL</v>
      </c>
      <c r="C378" s="173" t="str">
        <f>Data!W380</f>
        <v>THOMAS-BETTS, DF4X1C-CUT REEL, NON-PLENUM INNERDUCT ORANGE W/TAPE, 1 in, PER FT</v>
      </c>
      <c r="D378" s="176">
        <f>Data!X380</f>
        <v>0.64</v>
      </c>
      <c r="E378" s="28"/>
    </row>
    <row r="379" spans="1:5" s="25" customFormat="1">
      <c r="A379" s="639"/>
      <c r="B379" s="302" t="str">
        <f>Data!V381</f>
        <v>EMT400</v>
      </c>
      <c r="C379" s="173" t="str">
        <f>Data!W381</f>
        <v>THOMAS-BETTS, EMT400, INSULATING BUSHING, 4 in</v>
      </c>
      <c r="D379" s="176">
        <f>Data!X381</f>
        <v>5.63</v>
      </c>
      <c r="E379" s="28"/>
    </row>
    <row r="380" spans="1:5" s="25" customFormat="1">
      <c r="A380" s="639"/>
      <c r="B380" s="302" t="str">
        <f>Data!V382</f>
        <v>GW 125 G</v>
      </c>
      <c r="C380" s="173" t="str">
        <f>Data!W382</f>
        <v>THOMAS-BETTS, GW 125 G, SINGLE GANG OUTLET BOX, 2.5 in DEPTH</v>
      </c>
      <c r="D380" s="176">
        <f>Data!X382</f>
        <v>5.65</v>
      </c>
      <c r="E380" s="28"/>
    </row>
    <row r="381" spans="1:5" s="25" customFormat="1">
      <c r="A381" s="639"/>
      <c r="B381" s="302" t="str">
        <f>Data!V383</f>
        <v>HC 402</v>
      </c>
      <c r="C381" s="173" t="str">
        <f>Data!W383</f>
        <v>THOMAS-BETTS, HC 402, THREADLESS COMPRESSION CONDUIT CONNECTOR, 3/4 in</v>
      </c>
      <c r="D381" s="176">
        <f>Data!X383</f>
        <v>5.27</v>
      </c>
      <c r="E381" s="28"/>
    </row>
    <row r="382" spans="1:5" s="25" customFormat="1">
      <c r="A382" s="639"/>
      <c r="B382" s="302" t="str">
        <f>Data!V384</f>
        <v>LTC050</v>
      </c>
      <c r="C382" s="173" t="str">
        <f>Data!W384</f>
        <v>THOMAS-BETTS, LTC050, LIQUIDTIGHT NON-METALLIC CONDUIT; 1/2 INCH, PER FT</v>
      </c>
      <c r="D382" s="176">
        <f>Data!X384</f>
        <v>1.31</v>
      </c>
      <c r="E382" s="28"/>
    </row>
    <row r="383" spans="1:5" s="25" customFormat="1">
      <c r="A383" s="639"/>
      <c r="B383" s="302" t="str">
        <f>Data!V385</f>
        <v>RS-12</v>
      </c>
      <c r="C383" s="173" t="str">
        <f>Data!W385</f>
        <v>THOMAS-BETTS, RS-12, SQUARE RAISED DUPLEX COVER, STEEL, 4 in</v>
      </c>
      <c r="D383" s="176">
        <f>Data!X385</f>
        <v>1.47</v>
      </c>
      <c r="E383" s="28"/>
    </row>
    <row r="384" spans="1:5" s="25" customFormat="1">
      <c r="A384" s="639"/>
      <c r="B384" s="302" t="str">
        <f>Data!V386</f>
        <v>TC1110A</v>
      </c>
      <c r="C384" s="173" t="str">
        <f>Data!W386</f>
        <v>THOMAS-BETTS, TC1110A, EMT COMPRESSION CONNECTOR, 4 in</v>
      </c>
      <c r="D384" s="176">
        <f>Data!X386</f>
        <v>18.920000000000002</v>
      </c>
      <c r="E384" s="28"/>
    </row>
    <row r="385" spans="1:5" s="25" customFormat="1">
      <c r="A385" s="639"/>
      <c r="B385" s="302" t="str">
        <f>Data!V387</f>
        <v>TC112A</v>
      </c>
      <c r="C385" s="173" t="str">
        <f>Data!W387</f>
        <v>THOMAS-BETTS, TC112A, EMT COMPRESSION CONNECTOR, 3/4 in</v>
      </c>
      <c r="D385" s="176">
        <f>Data!X387</f>
        <v>1.73</v>
      </c>
      <c r="E385" s="28"/>
    </row>
    <row r="386" spans="1:5" s="25" customFormat="1">
      <c r="A386" s="639"/>
      <c r="B386" s="302" t="str">
        <f>Data!V388</f>
        <v>TC116A</v>
      </c>
      <c r="C386" s="173" t="str">
        <f>Data!W388</f>
        <v>THOMAS-BETTS, TC116A, EMT COMPRESSION CONNECTOR, 2 in</v>
      </c>
      <c r="D386" s="176">
        <f>Data!X388</f>
        <v>5.22</v>
      </c>
      <c r="E386" s="28"/>
    </row>
    <row r="387" spans="1:5" s="25" customFormat="1">
      <c r="A387" s="639"/>
      <c r="B387" s="302" t="str">
        <f>Data!V389</f>
        <v>TC122A</v>
      </c>
      <c r="C387" s="173" t="str">
        <f>Data!W389</f>
        <v>THOMAS-BETTS, TC122A, EMT SET SCREW CONNECTOR, STEEL, 3/4 in</v>
      </c>
      <c r="D387" s="176">
        <f>Data!X389</f>
        <v>0.45</v>
      </c>
      <c r="E387" s="28"/>
    </row>
    <row r="388" spans="1:5" s="25" customFormat="1">
      <c r="A388" s="639"/>
      <c r="B388" s="302" t="str">
        <f>Data!V390</f>
        <v>TC123A</v>
      </c>
      <c r="C388" s="173" t="str">
        <f>Data!W390</f>
        <v>THOMAS-BETTS, TC123A, EMT SET SCREW CONNECTOR, 1 in</v>
      </c>
      <c r="D388" s="176">
        <f>Data!X390</f>
        <v>1.04</v>
      </c>
      <c r="E388" s="28"/>
    </row>
    <row r="389" spans="1:5" s="25" customFormat="1">
      <c r="A389" s="639"/>
      <c r="B389" s="302" t="str">
        <f>Data!V391</f>
        <v>TC126A</v>
      </c>
      <c r="C389" s="173" t="str">
        <f>Data!W391</f>
        <v>THOMAS-BETTS, TC126A, EMT SET SCREW CONNECTOR, STEEL, 2 in</v>
      </c>
      <c r="D389" s="176">
        <f>Data!X391</f>
        <v>1.94</v>
      </c>
      <c r="E389" s="28"/>
    </row>
    <row r="390" spans="1:5" s="25" customFormat="1">
      <c r="A390" s="639"/>
      <c r="B390" s="302" t="str">
        <f>Data!V392</f>
        <v>TC2210-SC</v>
      </c>
      <c r="C390" s="173" t="str">
        <f>Data!W392</f>
        <v>THOMAS-BETTS, TC2210-SC, EMT SET SCREW CONNECTOR, 4 in</v>
      </c>
      <c r="D390" s="176">
        <f>Data!X392</f>
        <v>21.4</v>
      </c>
      <c r="E390" s="28"/>
    </row>
    <row r="391" spans="1:5" s="25" customFormat="1">
      <c r="A391" s="639"/>
      <c r="B391" s="302" t="str">
        <f>Data!V393</f>
        <v>TC222-SC</v>
      </c>
      <c r="C391" s="173" t="str">
        <f>Data!W393</f>
        <v>THOMAS-BETTS, TC222-SC, EMT SET SCREW CONNECTOR, 3/4 in</v>
      </c>
      <c r="D391" s="176">
        <f>Data!X393</f>
        <v>0.87</v>
      </c>
      <c r="E391" s="28"/>
    </row>
    <row r="392" spans="1:5" s="25" customFormat="1">
      <c r="A392" s="639"/>
      <c r="B392" s="302" t="str">
        <f>Data!V394</f>
        <v>TK 222 SC</v>
      </c>
      <c r="C392" s="173" t="str">
        <f>Data!W394</f>
        <v>THOMAS-BETTS, TK 222 SC, EMT SET SCREW COUPLING, 3/4 in</v>
      </c>
      <c r="D392" s="176">
        <f>Data!X394</f>
        <v>0.9</v>
      </c>
      <c r="E392" s="28"/>
    </row>
    <row r="393" spans="1:5" s="25" customFormat="1">
      <c r="A393" s="639"/>
      <c r="B393" s="302" t="str">
        <f>Data!V395</f>
        <v>TK112A</v>
      </c>
      <c r="C393" s="173" t="str">
        <f>Data!W395</f>
        <v>THOMAS-BETTS, TK112A, EMT COMPRESSION COUPLING, 3/4 in</v>
      </c>
      <c r="D393" s="176">
        <f>Data!X395</f>
        <v>1.73</v>
      </c>
      <c r="E393" s="28"/>
    </row>
    <row r="394" spans="1:5" s="25" customFormat="1">
      <c r="A394" s="639"/>
      <c r="B394" s="302" t="str">
        <f>Data!V396</f>
        <v>TK116A</v>
      </c>
      <c r="C394" s="173" t="str">
        <f>Data!W396</f>
        <v>THOMAS-BETTS, TK116A, EMT COMPRESSION COUPLING, 2 in</v>
      </c>
      <c r="D394" s="176">
        <f>Data!X396</f>
        <v>5.0999999999999996</v>
      </c>
      <c r="E394" s="28"/>
    </row>
    <row r="395" spans="1:5" s="25" customFormat="1">
      <c r="A395" s="639"/>
      <c r="B395" s="302" t="str">
        <f>Data!V397</f>
        <v>TK122A</v>
      </c>
      <c r="C395" s="173" t="str">
        <f>Data!W397</f>
        <v>THOMAS-BETTS, TK122A, EMT SET SCREW COUPLING, STEEL, 3/4 in</v>
      </c>
      <c r="D395" s="176">
        <f>Data!X397</f>
        <v>0.5</v>
      </c>
      <c r="E395" s="28"/>
    </row>
    <row r="396" spans="1:5" s="25" customFormat="1">
      <c r="A396" s="639"/>
      <c r="B396" s="302" t="str">
        <f>Data!V398</f>
        <v>TS 101</v>
      </c>
      <c r="C396" s="173" t="str">
        <f>Data!W398</f>
        <v>THOMAS-BETTS, TS 101, EMT ONE HOLE STRAP, 1/2 in</v>
      </c>
      <c r="D396" s="176">
        <f>Data!X398</f>
        <v>1.07</v>
      </c>
      <c r="E396" s="28"/>
    </row>
    <row r="397" spans="1:5" s="25" customFormat="1">
      <c r="A397" s="639"/>
      <c r="B397" s="302" t="str">
        <f>Data!V399</f>
        <v>TS 103</v>
      </c>
      <c r="C397" s="173" t="str">
        <f>Data!W399</f>
        <v>THOMAS-BETTS, TS 103, EMT ONE HOLE STRAP, 1 in</v>
      </c>
      <c r="D397" s="176">
        <f>Data!X399</f>
        <v>4.93</v>
      </c>
      <c r="E397" s="28"/>
    </row>
    <row r="398" spans="1:5" s="25" customFormat="1">
      <c r="A398" s="639"/>
      <c r="B398" s="302" t="str">
        <f>Data!V400</f>
        <v>TS102</v>
      </c>
      <c r="C398" s="173" t="str">
        <f>Data!W400</f>
        <v>THOMAS-BETTS, TS102, EMT ONE HOLE STRAP, 3/4 in</v>
      </c>
      <c r="D398" s="176">
        <f>Data!X400</f>
        <v>1.2</v>
      </c>
      <c r="E398" s="28"/>
    </row>
    <row r="399" spans="1:5" s="25" customFormat="1">
      <c r="A399" s="639"/>
      <c r="B399" s="302" t="str">
        <f>Data!V401</f>
        <v>TS902</v>
      </c>
      <c r="C399" s="173" t="str">
        <f>Data!W401</f>
        <v>THOMAS-BETTS, TS902, EMT TWO HOLE STRAP, 3/4 in</v>
      </c>
      <c r="D399" s="176">
        <f>Data!X401</f>
        <v>1.01</v>
      </c>
      <c r="E399" s="28"/>
    </row>
    <row r="400" spans="1:5" s="25" customFormat="1">
      <c r="A400" s="639"/>
      <c r="B400" s="302" t="str">
        <f>Data!V402</f>
        <v>N356-01M</v>
      </c>
      <c r="C400" s="173" t="str">
        <f>Data!W402</f>
        <v>TRIPP LITE, N356-01M, FIBER JUMPER CABLE, PLENUM, DUPLEX, SM, SC-SC, 1 METER</v>
      </c>
      <c r="D400" s="176">
        <f>Data!X402</f>
        <v>20.010000000000002</v>
      </c>
      <c r="E400" s="28"/>
    </row>
    <row r="401" spans="1:5" s="25" customFormat="1">
      <c r="A401" s="639"/>
      <c r="B401" s="302">
        <f>Data!V403</f>
        <v>53722</v>
      </c>
      <c r="C401" s="173" t="str">
        <f>Data!W403</f>
        <v>UTILITECH, 53722, VINYL ELECTRICAL TAPE, 3/4 in x 60 FT</v>
      </c>
      <c r="D401" s="176">
        <f>Data!X403</f>
        <v>0.71</v>
      </c>
      <c r="E401" s="28"/>
    </row>
    <row r="402" spans="1:5" s="25" customFormat="1">
      <c r="A402" s="639"/>
      <c r="B402" s="302">
        <f>Data!V404</f>
        <v>189645</v>
      </c>
      <c r="C402" s="173" t="str">
        <f>Data!W404</f>
        <v>VELCRO, 189645, VELCRO, BLACK, 3/4 in x 75 FT</v>
      </c>
      <c r="D402" s="176">
        <f>Data!X404</f>
        <v>9.07</v>
      </c>
      <c r="E402" s="28"/>
    </row>
    <row r="403" spans="1:5" s="25" customFormat="1">
      <c r="A403" s="639"/>
      <c r="B403" s="302" t="str">
        <f>Data!V405</f>
        <v>S-13671</v>
      </c>
      <c r="C403" s="173" t="str">
        <f>Data!W405</f>
        <v>VELCRO, S-13671, VELCRO, BLACK, 1/2 in x 75 FT</v>
      </c>
      <c r="D403" s="176">
        <f>Data!X405</f>
        <v>16.350000000000001</v>
      </c>
      <c r="E403" s="28"/>
    </row>
    <row r="404" spans="1:5" s="25" customFormat="1">
      <c r="A404" s="639"/>
      <c r="B404" s="302" t="str">
        <f>Data!V406</f>
        <v>NM-WG-12-3-CUT REEL</v>
      </c>
      <c r="C404" s="173" t="str">
        <f>Data!W406</f>
        <v>WIRE, NM-WG-12-3-CUT REEL, #12 AWG ROMEX ELECTRICAL WIRE, PER FT</v>
      </c>
      <c r="D404" s="176">
        <f>Data!X406</f>
        <v>0.83</v>
      </c>
      <c r="E404" s="28"/>
    </row>
    <row r="405" spans="1:5" s="25" customFormat="1">
      <c r="A405" s="639"/>
      <c r="B405" s="302" t="str">
        <f>Data!V407</f>
        <v>THHN-12-SOL-BLK-500S per ft</v>
      </c>
      <c r="C405" s="173" t="str">
        <f>Data!W407</f>
        <v>WIRE, THHN-12-SOL-BLK-500S per ft, #12 AWG SOLID BLACK COPPER THHN WIRE, PER FT</v>
      </c>
      <c r="D405" s="176">
        <f>Data!X407</f>
        <v>0.08</v>
      </c>
      <c r="E405" s="28"/>
    </row>
    <row r="406" spans="1:5" s="25" customFormat="1">
      <c r="A406" s="639"/>
      <c r="B406" s="302" t="str">
        <f>Data!V408</f>
        <v>THHN-12-SOL-GRN-500S per ft</v>
      </c>
      <c r="C406" s="173" t="str">
        <f>Data!W408</f>
        <v>WIRE, THHN-12-SOL-GRN-500S per ft, #12 AWG SOLID GREEN COPPER THHN WIRE, PER FT</v>
      </c>
      <c r="D406" s="176">
        <f>Data!X408</f>
        <v>0.08</v>
      </c>
      <c r="E406" s="28"/>
    </row>
    <row r="407" spans="1:5" s="25" customFormat="1">
      <c r="A407" s="639"/>
      <c r="B407" s="302" t="str">
        <f>Data!V409</f>
        <v>THHN-12-SOL-WHT-500S per ft</v>
      </c>
      <c r="C407" s="173" t="str">
        <f>Data!W409</f>
        <v>WIRE, THHN-12-SOL-WHT-500S per ft, #12 AWG SOLID WHITE COPPER THHN WIRE, PER FT</v>
      </c>
      <c r="D407" s="176">
        <f>Data!X409</f>
        <v>0.08</v>
      </c>
      <c r="E407" s="28"/>
    </row>
    <row r="408" spans="1:5" s="25" customFormat="1">
      <c r="A408" s="639"/>
      <c r="B408" s="302" t="str">
        <f>Data!V410</f>
        <v>WB-440304FR-WH</v>
      </c>
      <c r="C408" s="173" t="str">
        <f>Data!W410</f>
        <v>WOODBACKER, WB-440304FR-WH, FLAME RETARDANT BACKBOARD, WHITE, 3/4 in x 4 FT x 4 FT</v>
      </c>
      <c r="D408" s="176">
        <f>Data!X410</f>
        <v>52.87</v>
      </c>
      <c r="E408" s="28"/>
    </row>
    <row r="409" spans="1:5" s="25" customFormat="1" ht="20.149999999999999" customHeight="1">
      <c r="A409" s="28"/>
      <c r="B409" s="28"/>
      <c r="C409" s="28"/>
      <c r="D409" s="62"/>
      <c r="E409" s="28"/>
    </row>
    <row r="410" spans="1:5" s="25" customFormat="1" hidden="1">
      <c r="D410" s="30"/>
    </row>
    <row r="411" spans="1:5" s="25" customFormat="1" hidden="1">
      <c r="D411" s="30"/>
    </row>
    <row r="412" spans="1:5" s="25" customFormat="1" hidden="1">
      <c r="D412" s="30"/>
    </row>
    <row r="413" spans="1:5" s="25" customFormat="1" hidden="1">
      <c r="D413" s="30"/>
    </row>
    <row r="414" spans="1:5" s="25" customFormat="1" hidden="1">
      <c r="D414" s="30"/>
    </row>
    <row r="415" spans="1:5" s="25" customFormat="1" hidden="1">
      <c r="D415" s="30"/>
    </row>
    <row r="416" spans="1:5" s="25" customFormat="1" hidden="1">
      <c r="D416" s="30"/>
    </row>
    <row r="417" spans="4:4" s="25" customFormat="1" hidden="1">
      <c r="D417" s="30"/>
    </row>
    <row r="418" spans="4:4" s="25" customFormat="1" hidden="1">
      <c r="D418" s="30"/>
    </row>
    <row r="419" spans="4:4" s="25" customFormat="1" hidden="1">
      <c r="D419" s="30"/>
    </row>
    <row r="420" spans="4:4" s="25" customFormat="1" hidden="1">
      <c r="D420" s="30"/>
    </row>
    <row r="421" spans="4:4" s="25" customFormat="1" hidden="1">
      <c r="D421" s="30"/>
    </row>
    <row r="422" spans="4:4" s="25" customFormat="1" hidden="1">
      <c r="D422" s="30"/>
    </row>
    <row r="423" spans="4:4" s="25" customFormat="1" hidden="1">
      <c r="D423" s="30"/>
    </row>
    <row r="424" spans="4:4" s="25" customFormat="1" hidden="1">
      <c r="D424" s="30"/>
    </row>
    <row r="425" spans="4:4" s="25" customFormat="1" hidden="1">
      <c r="D425" s="30"/>
    </row>
    <row r="426" spans="4:4" s="25" customFormat="1" hidden="1">
      <c r="D426" s="30"/>
    </row>
    <row r="427" spans="4:4" s="25" customFormat="1" hidden="1">
      <c r="D427" s="30"/>
    </row>
    <row r="428" spans="4:4" s="25" customFormat="1" hidden="1">
      <c r="D428" s="30"/>
    </row>
    <row r="429" spans="4:4" s="25" customFormat="1" hidden="1">
      <c r="D429" s="30"/>
    </row>
    <row r="430" spans="4:4" s="25" customFormat="1" hidden="1">
      <c r="D430" s="30"/>
    </row>
    <row r="431" spans="4:4" s="25" customFormat="1" hidden="1">
      <c r="D431" s="30"/>
    </row>
    <row r="432" spans="4:4" s="25" customFormat="1" hidden="1">
      <c r="D432" s="30"/>
    </row>
    <row r="433" spans="4:4" s="25" customFormat="1" hidden="1">
      <c r="D433" s="30"/>
    </row>
    <row r="434" spans="4:4" s="25" customFormat="1" hidden="1">
      <c r="D434" s="30"/>
    </row>
    <row r="435" spans="4:4" s="25" customFormat="1" hidden="1">
      <c r="D435" s="30"/>
    </row>
    <row r="436" spans="4:4" s="25" customFormat="1" hidden="1">
      <c r="D436" s="30"/>
    </row>
    <row r="437" spans="4:4" s="25" customFormat="1" hidden="1">
      <c r="D437" s="30"/>
    </row>
    <row r="438" spans="4:4" s="25" customFormat="1" hidden="1">
      <c r="D438" s="30"/>
    </row>
    <row r="439" spans="4:4" s="25" customFormat="1" hidden="1">
      <c r="D439" s="30"/>
    </row>
    <row r="440" spans="4:4" s="25" customFormat="1" hidden="1">
      <c r="D440" s="30"/>
    </row>
    <row r="441" spans="4:4" s="25" customFormat="1" hidden="1">
      <c r="D441" s="30"/>
    </row>
    <row r="442" spans="4:4" s="25" customFormat="1" hidden="1">
      <c r="D442" s="30"/>
    </row>
    <row r="443" spans="4:4" s="25" customFormat="1" hidden="1">
      <c r="D443" s="30"/>
    </row>
    <row r="444" spans="4:4" s="25" customFormat="1" hidden="1">
      <c r="D444" s="30"/>
    </row>
    <row r="445" spans="4:4" s="25" customFormat="1" hidden="1">
      <c r="D445" s="30"/>
    </row>
    <row r="446" spans="4:4" s="25" customFormat="1" hidden="1">
      <c r="D446" s="30"/>
    </row>
    <row r="447" spans="4:4" s="25" customFormat="1" hidden="1">
      <c r="D447" s="30"/>
    </row>
    <row r="448" spans="4:4" s="25" customFormat="1" hidden="1">
      <c r="D448" s="30"/>
    </row>
    <row r="449" spans="4:4" s="25" customFormat="1" hidden="1">
      <c r="D449" s="30"/>
    </row>
    <row r="450" spans="4:4" s="25" customFormat="1" hidden="1">
      <c r="D450" s="30"/>
    </row>
    <row r="451" spans="4:4" s="25" customFormat="1" hidden="1">
      <c r="D451" s="30"/>
    </row>
    <row r="452" spans="4:4" s="25" customFormat="1" hidden="1">
      <c r="D452" s="30"/>
    </row>
    <row r="453" spans="4:4" s="25" customFormat="1" hidden="1">
      <c r="D453" s="30"/>
    </row>
    <row r="454" spans="4:4" s="25" customFormat="1" hidden="1">
      <c r="D454" s="30"/>
    </row>
    <row r="455" spans="4:4" s="25" customFormat="1" hidden="1">
      <c r="D455" s="30"/>
    </row>
    <row r="456" spans="4:4" s="25" customFormat="1" hidden="1">
      <c r="D456" s="30"/>
    </row>
    <row r="457" spans="4:4" s="25" customFormat="1" hidden="1">
      <c r="D457" s="30"/>
    </row>
    <row r="458" spans="4:4" s="25" customFormat="1" hidden="1">
      <c r="D458" s="30"/>
    </row>
    <row r="459" spans="4:4" s="25" customFormat="1" hidden="1">
      <c r="D459" s="30"/>
    </row>
    <row r="460" spans="4:4" s="25" customFormat="1" hidden="1">
      <c r="D460" s="30"/>
    </row>
    <row r="461" spans="4:4" s="25" customFormat="1" hidden="1">
      <c r="D461" s="30"/>
    </row>
    <row r="462" spans="4:4" s="25" customFormat="1" hidden="1">
      <c r="D462" s="30"/>
    </row>
    <row r="463" spans="4:4" s="25" customFormat="1" hidden="1">
      <c r="D463" s="30"/>
    </row>
    <row r="464" spans="4:4" s="25" customFormat="1" hidden="1">
      <c r="D464" s="30"/>
    </row>
    <row r="465" spans="4:4" s="25" customFormat="1" hidden="1">
      <c r="D465" s="30"/>
    </row>
    <row r="466" spans="4:4" s="25" customFormat="1" hidden="1">
      <c r="D466" s="30"/>
    </row>
    <row r="467" spans="4:4" s="25" customFormat="1" hidden="1">
      <c r="D467" s="30"/>
    </row>
    <row r="468" spans="4:4" s="25" customFormat="1" hidden="1">
      <c r="D468" s="30"/>
    </row>
    <row r="469" spans="4:4" s="25" customFormat="1" hidden="1">
      <c r="D469" s="30"/>
    </row>
    <row r="470" spans="4:4" s="25" customFormat="1" hidden="1">
      <c r="D470" s="30"/>
    </row>
    <row r="471" spans="4:4" s="25" customFormat="1" hidden="1">
      <c r="D471" s="30"/>
    </row>
    <row r="472" spans="4:4" s="25" customFormat="1" hidden="1">
      <c r="D472" s="30"/>
    </row>
    <row r="473" spans="4:4" s="25" customFormat="1" hidden="1">
      <c r="D473" s="30"/>
    </row>
    <row r="474" spans="4:4" s="25" customFormat="1" hidden="1">
      <c r="D474" s="30"/>
    </row>
    <row r="475" spans="4:4" s="25" customFormat="1" hidden="1">
      <c r="D475" s="30"/>
    </row>
    <row r="476" spans="4:4" s="25" customFormat="1" hidden="1">
      <c r="D476" s="30"/>
    </row>
    <row r="477" spans="4:4" s="25" customFormat="1" hidden="1">
      <c r="D477" s="30"/>
    </row>
    <row r="478" spans="4:4" s="25" customFormat="1" hidden="1">
      <c r="D478" s="30"/>
    </row>
    <row r="479" spans="4:4" s="25" customFormat="1" hidden="1">
      <c r="D479" s="30"/>
    </row>
    <row r="480" spans="4:4" s="25" customFormat="1" hidden="1">
      <c r="D480" s="30"/>
    </row>
    <row r="481" spans="4:4" s="25" customFormat="1" hidden="1">
      <c r="D481" s="30"/>
    </row>
    <row r="482" spans="4:4" s="25" customFormat="1" hidden="1">
      <c r="D482" s="30"/>
    </row>
    <row r="483" spans="4:4" s="25" customFormat="1" hidden="1">
      <c r="D483" s="30"/>
    </row>
    <row r="484" spans="4:4" s="25" customFormat="1" hidden="1">
      <c r="D484" s="30"/>
    </row>
    <row r="485" spans="4:4" s="25" customFormat="1" hidden="1">
      <c r="D485" s="30"/>
    </row>
    <row r="486" spans="4:4" s="25" customFormat="1" hidden="1">
      <c r="D486" s="30"/>
    </row>
    <row r="487" spans="4:4" s="25" customFormat="1" hidden="1">
      <c r="D487" s="30"/>
    </row>
    <row r="488" spans="4:4" s="25" customFormat="1" hidden="1">
      <c r="D488" s="30"/>
    </row>
    <row r="489" spans="4:4" s="25" customFormat="1" hidden="1">
      <c r="D489" s="30"/>
    </row>
    <row r="490" spans="4:4" s="25" customFormat="1" hidden="1">
      <c r="D490" s="30"/>
    </row>
    <row r="491" spans="4:4" s="25" customFormat="1" hidden="1">
      <c r="D491" s="30"/>
    </row>
    <row r="492" spans="4:4" s="25" customFormat="1" hidden="1">
      <c r="D492" s="30"/>
    </row>
    <row r="493" spans="4:4" s="25" customFormat="1" hidden="1">
      <c r="D493" s="30"/>
    </row>
    <row r="494" spans="4:4" s="25" customFormat="1" hidden="1">
      <c r="D494" s="30"/>
    </row>
    <row r="495" spans="4:4" s="25" customFormat="1" hidden="1">
      <c r="D495" s="30"/>
    </row>
    <row r="496" spans="4:4" s="25" customFormat="1" hidden="1">
      <c r="D496" s="30"/>
    </row>
    <row r="497" spans="4:4" s="25" customFormat="1" hidden="1">
      <c r="D497" s="30"/>
    </row>
    <row r="498" spans="4:4" s="25" customFormat="1" hidden="1">
      <c r="D498" s="30"/>
    </row>
    <row r="499" spans="4:4" s="25" customFormat="1" hidden="1">
      <c r="D499" s="30"/>
    </row>
    <row r="500" spans="4:4" s="25" customFormat="1" hidden="1">
      <c r="D500" s="30"/>
    </row>
    <row r="501" spans="4:4" s="25" customFormat="1" hidden="1">
      <c r="D501" s="30"/>
    </row>
    <row r="502" spans="4:4" s="25" customFormat="1" hidden="1">
      <c r="D502" s="30"/>
    </row>
    <row r="503" spans="4:4" s="25" customFormat="1" hidden="1">
      <c r="D503" s="30"/>
    </row>
    <row r="504" spans="4:4" s="25" customFormat="1" hidden="1">
      <c r="D504" s="30"/>
    </row>
    <row r="505" spans="4:4" s="25" customFormat="1" hidden="1">
      <c r="D505" s="30"/>
    </row>
    <row r="506" spans="4:4" s="25" customFormat="1" hidden="1">
      <c r="D506" s="30"/>
    </row>
    <row r="507" spans="4:4" s="25" customFormat="1" hidden="1">
      <c r="D507" s="30"/>
    </row>
    <row r="508" spans="4:4" s="25" customFormat="1" hidden="1">
      <c r="D508" s="30"/>
    </row>
    <row r="509" spans="4:4" s="25" customFormat="1" hidden="1">
      <c r="D509" s="30"/>
    </row>
    <row r="510" spans="4:4" s="25" customFormat="1" hidden="1">
      <c r="D510" s="30"/>
    </row>
    <row r="511" spans="4:4" s="25" customFormat="1" hidden="1">
      <c r="D511" s="30"/>
    </row>
    <row r="512" spans="4:4" s="25" customFormat="1" hidden="1">
      <c r="D512" s="30"/>
    </row>
    <row r="513" spans="4:4" s="25" customFormat="1" hidden="1">
      <c r="D513" s="30"/>
    </row>
    <row r="514" spans="4:4" s="25" customFormat="1" hidden="1">
      <c r="D514" s="30"/>
    </row>
    <row r="515" spans="4:4" s="25" customFormat="1" hidden="1">
      <c r="D515" s="30"/>
    </row>
    <row r="516" spans="4:4" s="25" customFormat="1" hidden="1">
      <c r="D516" s="30"/>
    </row>
    <row r="517" spans="4:4" s="25" customFormat="1" hidden="1">
      <c r="D517" s="30"/>
    </row>
    <row r="518" spans="4:4" s="25" customFormat="1" hidden="1">
      <c r="D518" s="30"/>
    </row>
    <row r="519" spans="4:4" s="25" customFormat="1" hidden="1">
      <c r="D519" s="30"/>
    </row>
    <row r="520" spans="4:4" s="25" customFormat="1" hidden="1">
      <c r="D520" s="30"/>
    </row>
    <row r="521" spans="4:4" s="25" customFormat="1" hidden="1">
      <c r="D521" s="30"/>
    </row>
    <row r="522" spans="4:4" s="25" customFormat="1" hidden="1">
      <c r="D522" s="30"/>
    </row>
    <row r="523" spans="4:4" s="25" customFormat="1" hidden="1">
      <c r="D523" s="30"/>
    </row>
    <row r="524" spans="4:4" s="25" customFormat="1" hidden="1">
      <c r="D524" s="30"/>
    </row>
    <row r="525" spans="4:4" s="25" customFormat="1" hidden="1">
      <c r="D525" s="30"/>
    </row>
    <row r="526" spans="4:4" s="25" customFormat="1" hidden="1">
      <c r="D526" s="30"/>
    </row>
    <row r="527" spans="4:4" s="25" customFormat="1" hidden="1">
      <c r="D527" s="30"/>
    </row>
    <row r="528" spans="4:4" s="25" customFormat="1" hidden="1">
      <c r="D528" s="30"/>
    </row>
    <row r="529" spans="4:4" s="25" customFormat="1" hidden="1">
      <c r="D529" s="30"/>
    </row>
    <row r="530" spans="4:4" s="25" customFormat="1" hidden="1">
      <c r="D530" s="30"/>
    </row>
    <row r="531" spans="4:4" s="25" customFormat="1" hidden="1">
      <c r="D531" s="30"/>
    </row>
    <row r="532" spans="4:4" s="25" customFormat="1" hidden="1">
      <c r="D532" s="30"/>
    </row>
    <row r="533" spans="4:4" s="25" customFormat="1" hidden="1">
      <c r="D533" s="30"/>
    </row>
    <row r="534" spans="4:4" s="25" customFormat="1" hidden="1">
      <c r="D534" s="30"/>
    </row>
    <row r="535" spans="4:4" s="25" customFormat="1" hidden="1">
      <c r="D535" s="30"/>
    </row>
    <row r="536" spans="4:4" s="25" customFormat="1" hidden="1">
      <c r="D536" s="30"/>
    </row>
    <row r="537" spans="4:4" s="25" customFormat="1" hidden="1">
      <c r="D537" s="30"/>
    </row>
    <row r="538" spans="4:4" s="25" customFormat="1" hidden="1">
      <c r="D538" s="30"/>
    </row>
    <row r="539" spans="4:4" s="25" customFormat="1" hidden="1">
      <c r="D539" s="30"/>
    </row>
    <row r="540" spans="4:4" s="25" customFormat="1" hidden="1">
      <c r="D540" s="30"/>
    </row>
    <row r="541" spans="4:4" s="25" customFormat="1" hidden="1">
      <c r="D541" s="30"/>
    </row>
    <row r="542" spans="4:4" s="25" customFormat="1" hidden="1">
      <c r="D542" s="30"/>
    </row>
    <row r="543" spans="4:4" s="25" customFormat="1" hidden="1">
      <c r="D543" s="30"/>
    </row>
    <row r="544" spans="4:4" s="25" customFormat="1" hidden="1">
      <c r="D544" s="30"/>
    </row>
    <row r="545" spans="4:4" s="25" customFormat="1" hidden="1">
      <c r="D545" s="30"/>
    </row>
    <row r="546" spans="4:4" s="25" customFormat="1" hidden="1">
      <c r="D546" s="30"/>
    </row>
    <row r="547" spans="4:4" s="25" customFormat="1" hidden="1">
      <c r="D547" s="30"/>
    </row>
    <row r="548" spans="4:4" s="25" customFormat="1" hidden="1">
      <c r="D548" s="30"/>
    </row>
    <row r="549" spans="4:4" s="25" customFormat="1" hidden="1">
      <c r="D549" s="30"/>
    </row>
    <row r="550" spans="4:4" s="25" customFormat="1" hidden="1">
      <c r="D550" s="30"/>
    </row>
    <row r="551" spans="4:4" s="25" customFormat="1" hidden="1">
      <c r="D551" s="30"/>
    </row>
    <row r="552" spans="4:4" s="25" customFormat="1" hidden="1">
      <c r="D552" s="30"/>
    </row>
    <row r="553" spans="4:4" s="25" customFormat="1" hidden="1">
      <c r="D553" s="30"/>
    </row>
    <row r="554" spans="4:4" s="25" customFormat="1" hidden="1">
      <c r="D554" s="30"/>
    </row>
    <row r="555" spans="4:4" s="25" customFormat="1" hidden="1">
      <c r="D555" s="30"/>
    </row>
    <row r="556" spans="4:4" s="25" customFormat="1" hidden="1">
      <c r="D556" s="30"/>
    </row>
    <row r="557" spans="4:4" s="25" customFormat="1" hidden="1">
      <c r="D557" s="30"/>
    </row>
    <row r="558" spans="4:4" s="25" customFormat="1" hidden="1">
      <c r="D558" s="30"/>
    </row>
    <row r="559" spans="4:4" s="25" customFormat="1" hidden="1">
      <c r="D559" s="30"/>
    </row>
    <row r="560" spans="4:4" s="25" customFormat="1" hidden="1">
      <c r="D560" s="30"/>
    </row>
    <row r="561" spans="4:4" s="25" customFormat="1" hidden="1">
      <c r="D561" s="30"/>
    </row>
    <row r="562" spans="4:4" s="25" customFormat="1" hidden="1">
      <c r="D562" s="30"/>
    </row>
    <row r="563" spans="4:4" s="25" customFormat="1" hidden="1">
      <c r="D563" s="30"/>
    </row>
    <row r="564" spans="4:4" s="25" customFormat="1" hidden="1">
      <c r="D564" s="30"/>
    </row>
    <row r="565" spans="4:4" s="25" customFormat="1" hidden="1">
      <c r="D565" s="30"/>
    </row>
    <row r="566" spans="4:4" s="25" customFormat="1" hidden="1">
      <c r="D566" s="30"/>
    </row>
    <row r="567" spans="4:4" s="25" customFormat="1" hidden="1">
      <c r="D567" s="30"/>
    </row>
    <row r="568" spans="4:4" s="25" customFormat="1" hidden="1">
      <c r="D568" s="30"/>
    </row>
    <row r="569" spans="4:4" s="25" customFormat="1" hidden="1">
      <c r="D569" s="30"/>
    </row>
    <row r="570" spans="4:4" s="25" customFormat="1" hidden="1">
      <c r="D570" s="30"/>
    </row>
    <row r="571" spans="4:4" s="25" customFormat="1" hidden="1">
      <c r="D571" s="30"/>
    </row>
    <row r="572" spans="4:4" s="25" customFormat="1" hidden="1">
      <c r="D572" s="30"/>
    </row>
    <row r="573" spans="4:4" s="25" customFormat="1" hidden="1">
      <c r="D573" s="30"/>
    </row>
    <row r="574" spans="4:4" s="25" customFormat="1" hidden="1">
      <c r="D574" s="30"/>
    </row>
    <row r="575" spans="4:4" s="25" customFormat="1" hidden="1">
      <c r="D575" s="30"/>
    </row>
    <row r="576" spans="4:4" s="25" customFormat="1" hidden="1">
      <c r="D576" s="30"/>
    </row>
    <row r="577" spans="4:4" s="25" customFormat="1" hidden="1">
      <c r="D577" s="30"/>
    </row>
    <row r="578" spans="4:4" s="25" customFormat="1" hidden="1">
      <c r="D578" s="30"/>
    </row>
    <row r="579" spans="4:4" s="25" customFormat="1" hidden="1">
      <c r="D579" s="30"/>
    </row>
    <row r="580" spans="4:4" s="25" customFormat="1" hidden="1">
      <c r="D580" s="30"/>
    </row>
    <row r="581" spans="4:4" s="25" customFormat="1" hidden="1">
      <c r="D581" s="30"/>
    </row>
    <row r="582" spans="4:4" s="25" customFormat="1" hidden="1">
      <c r="D582" s="30"/>
    </row>
    <row r="583" spans="4:4" s="25" customFormat="1" hidden="1">
      <c r="D583" s="30"/>
    </row>
    <row r="584" spans="4:4" s="25" customFormat="1" hidden="1">
      <c r="D584" s="30"/>
    </row>
    <row r="585" spans="4:4" s="25" customFormat="1" hidden="1">
      <c r="D585" s="30"/>
    </row>
    <row r="586" spans="4:4" s="25" customFormat="1" hidden="1">
      <c r="D586" s="30"/>
    </row>
    <row r="587" spans="4:4" s="25" customFormat="1" hidden="1">
      <c r="D587" s="30"/>
    </row>
    <row r="588" spans="4:4" s="25" customFormat="1" hidden="1">
      <c r="D588" s="30"/>
    </row>
    <row r="589" spans="4:4" s="25" customFormat="1" hidden="1">
      <c r="D589" s="30"/>
    </row>
    <row r="590" spans="4:4" s="25" customFormat="1" hidden="1">
      <c r="D590" s="30"/>
    </row>
    <row r="591" spans="4:4" s="25" customFormat="1" hidden="1">
      <c r="D591" s="30"/>
    </row>
    <row r="592" spans="4:4" s="25" customFormat="1" hidden="1">
      <c r="D592" s="30"/>
    </row>
    <row r="593" spans="4:4" s="25" customFormat="1" hidden="1">
      <c r="D593" s="30"/>
    </row>
    <row r="594" spans="4:4" s="25" customFormat="1" hidden="1">
      <c r="D594" s="30"/>
    </row>
    <row r="595" spans="4:4" s="25" customFormat="1" hidden="1">
      <c r="D595" s="30"/>
    </row>
    <row r="596" spans="4:4" s="25" customFormat="1" hidden="1">
      <c r="D596" s="30"/>
    </row>
    <row r="597" spans="4:4" s="25" customFormat="1" hidden="1">
      <c r="D597" s="30"/>
    </row>
    <row r="598" spans="4:4" s="25" customFormat="1" hidden="1">
      <c r="D598" s="30"/>
    </row>
    <row r="599" spans="4:4" s="25" customFormat="1" hidden="1">
      <c r="D599" s="30"/>
    </row>
    <row r="600" spans="4:4" s="25" customFormat="1" hidden="1">
      <c r="D600" s="30"/>
    </row>
    <row r="601" spans="4:4" s="25" customFormat="1" hidden="1">
      <c r="D601" s="30"/>
    </row>
    <row r="602" spans="4:4" s="25" customFormat="1" hidden="1">
      <c r="D602" s="30"/>
    </row>
    <row r="603" spans="4:4" s="25" customFormat="1" hidden="1">
      <c r="D603" s="30"/>
    </row>
    <row r="604" spans="4:4" s="25" customFormat="1" hidden="1">
      <c r="D604" s="30"/>
    </row>
    <row r="605" spans="4:4" s="25" customFormat="1" hidden="1">
      <c r="D605" s="30"/>
    </row>
    <row r="606" spans="4:4" s="25" customFormat="1" hidden="1">
      <c r="D606" s="30"/>
    </row>
    <row r="607" spans="4:4" s="25" customFormat="1" hidden="1">
      <c r="D607" s="30"/>
    </row>
    <row r="608" spans="4:4" s="25" customFormat="1" hidden="1">
      <c r="D608" s="30"/>
    </row>
    <row r="609" spans="4:4" s="25" customFormat="1" hidden="1">
      <c r="D609" s="30"/>
    </row>
    <row r="610" spans="4:4" s="25" customFormat="1" hidden="1">
      <c r="D610" s="30"/>
    </row>
    <row r="611" spans="4:4" s="25" customFormat="1" hidden="1">
      <c r="D611" s="30"/>
    </row>
    <row r="612" spans="4:4" s="25" customFormat="1" hidden="1">
      <c r="D612" s="30"/>
    </row>
    <row r="613" spans="4:4" s="25" customFormat="1" hidden="1">
      <c r="D613" s="30"/>
    </row>
    <row r="614" spans="4:4" s="25" customFormat="1" hidden="1">
      <c r="D614" s="30"/>
    </row>
    <row r="615" spans="4:4" s="25" customFormat="1" hidden="1">
      <c r="D615" s="30"/>
    </row>
    <row r="616" spans="4:4" s="25" customFormat="1" hidden="1">
      <c r="D616" s="30"/>
    </row>
    <row r="617" spans="4:4" s="25" customFormat="1" hidden="1">
      <c r="D617" s="30"/>
    </row>
    <row r="618" spans="4:4" s="25" customFormat="1" hidden="1">
      <c r="D618" s="30"/>
    </row>
    <row r="619" spans="4:4" s="25" customFormat="1" hidden="1">
      <c r="D619" s="30"/>
    </row>
    <row r="620" spans="4:4" s="25" customFormat="1" hidden="1">
      <c r="D620" s="30"/>
    </row>
    <row r="621" spans="4:4" s="25" customFormat="1" hidden="1">
      <c r="D621" s="30"/>
    </row>
    <row r="622" spans="4:4" s="25" customFormat="1" hidden="1">
      <c r="D622" s="30"/>
    </row>
    <row r="623" spans="4:4" s="25" customFormat="1" hidden="1">
      <c r="D623" s="30"/>
    </row>
    <row r="624" spans="4:4" s="25" customFormat="1" hidden="1">
      <c r="D624" s="30"/>
    </row>
    <row r="625" spans="4:4" s="25" customFormat="1" hidden="1">
      <c r="D625" s="30"/>
    </row>
    <row r="626" spans="4:4" s="25" customFormat="1" hidden="1">
      <c r="D626" s="30"/>
    </row>
    <row r="627" spans="4:4" s="25" customFormat="1" hidden="1">
      <c r="D627" s="30"/>
    </row>
    <row r="628" spans="4:4" s="25" customFormat="1" hidden="1">
      <c r="D628" s="30"/>
    </row>
    <row r="629" spans="4:4" s="25" customFormat="1" hidden="1">
      <c r="D629" s="30"/>
    </row>
    <row r="630" spans="4:4" s="25" customFormat="1" hidden="1">
      <c r="D630" s="30"/>
    </row>
    <row r="631" spans="4:4" s="25" customFormat="1" hidden="1">
      <c r="D631" s="30"/>
    </row>
    <row r="632" spans="4:4" s="25" customFormat="1" hidden="1">
      <c r="D632" s="30"/>
    </row>
    <row r="633" spans="4:4" s="25" customFormat="1" hidden="1">
      <c r="D633" s="30"/>
    </row>
    <row r="634" spans="4:4" s="25" customFormat="1" hidden="1">
      <c r="D634" s="30"/>
    </row>
    <row r="635" spans="4:4" s="25" customFormat="1" hidden="1">
      <c r="D635" s="30"/>
    </row>
    <row r="636" spans="4:4" s="25" customFormat="1" hidden="1">
      <c r="D636" s="30"/>
    </row>
    <row r="637" spans="4:4" s="25" customFormat="1" hidden="1">
      <c r="D637" s="30"/>
    </row>
    <row r="638" spans="4:4" s="25" customFormat="1" hidden="1">
      <c r="D638" s="30"/>
    </row>
    <row r="639" spans="4:4" s="25" customFormat="1" hidden="1">
      <c r="D639" s="30"/>
    </row>
    <row r="640" spans="4:4" s="25" customFormat="1" hidden="1">
      <c r="D640" s="30"/>
    </row>
    <row r="641" spans="4:4" s="25" customFormat="1" hidden="1">
      <c r="D641" s="30"/>
    </row>
    <row r="642" spans="4:4" s="25" customFormat="1" hidden="1">
      <c r="D642" s="30"/>
    </row>
    <row r="643" spans="4:4" s="25" customFormat="1" hidden="1">
      <c r="D643" s="30"/>
    </row>
    <row r="644" spans="4:4" s="25" customFormat="1" hidden="1">
      <c r="D644" s="30"/>
    </row>
    <row r="645" spans="4:4" s="25" customFormat="1" hidden="1">
      <c r="D645" s="30"/>
    </row>
    <row r="646" spans="4:4" s="25" customFormat="1" hidden="1">
      <c r="D646" s="30"/>
    </row>
    <row r="647" spans="4:4" s="25" customFormat="1" hidden="1">
      <c r="D647" s="30"/>
    </row>
    <row r="648" spans="4:4" s="25" customFormat="1" hidden="1">
      <c r="D648" s="30"/>
    </row>
  </sheetData>
  <sheetProtection algorithmName="SHA-512" hashValue="oUTF+t1fiFV1PgCWtf+hTQewCvNEeGsaoroetsZZlTh9DrTe+Lco8z1CekTDzhveSKTYQ1u6AwcH4BnPDoD0pQ==" saltValue="LJyo13Q+6UxPRC3Wd3fRHw==" spinCount="100000" sheet="1" objects="1" scenarios="1" selectLockedCells="1" selectUnlockedCells="1"/>
  <mergeCells count="1">
    <mergeCell ref="A2:A408"/>
  </mergeCells>
  <printOptions horizontalCentered="1" gridLines="1"/>
  <pageMargins left="0.5" right="0.5" top="0.5" bottom="0.5" header="0.25" footer="0.25"/>
  <pageSetup scale="78" fitToHeight="0" orientation="landscape" r:id="rId1"/>
  <headerFooter alignWithMargins="0">
    <oddHeader>&amp;C&amp;F</oddHeader>
    <oddFooter>&amp;L&amp;A&amp;C&amp;P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pageSetUpPr fitToPage="1"/>
  </sheetPr>
  <dimension ref="A1:F558"/>
  <sheetViews>
    <sheetView zoomScaleNormal="100" workbookViewId="0">
      <pane xSplit="1" ySplit="1" topLeftCell="B2" activePane="bottomRight" state="frozen"/>
      <selection activeCell="A3" sqref="A3"/>
      <selection pane="topRight" activeCell="A3" sqref="A3"/>
      <selection pane="bottomLeft" activeCell="A3" sqref="A3"/>
      <selection pane="bottomRight" activeCell="E1" sqref="E1"/>
    </sheetView>
  </sheetViews>
  <sheetFormatPr defaultColWidth="0" defaultRowHeight="12.5" zeroHeight="1"/>
  <cols>
    <col min="1" max="1" width="6.7265625" customWidth="1"/>
    <col min="2" max="2" width="31.81640625" bestFit="1" customWidth="1"/>
    <col min="3" max="3" width="143.7265625" bestFit="1" customWidth="1"/>
    <col min="4" max="4" width="11.7265625" style="31" customWidth="1"/>
    <col min="5" max="5" width="4.26953125" customWidth="1"/>
    <col min="6" max="6" width="11.26953125" hidden="1" customWidth="1"/>
    <col min="7" max="16384" width="9" hidden="1"/>
  </cols>
  <sheetData>
    <row r="1" spans="1:5" ht="28.5" thickBot="1">
      <c r="A1" s="57" t="str">
        <f>CONCATENATE("Version ",+'Change History'!$A$27)</f>
        <v>Version 4.0</v>
      </c>
      <c r="B1" s="194" t="s">
        <v>157</v>
      </c>
      <c r="C1" s="193" t="s">
        <v>132</v>
      </c>
      <c r="D1" s="192" t="s">
        <v>62</v>
      </c>
      <c r="E1" s="16"/>
    </row>
    <row r="2" spans="1:5" s="25" customFormat="1" ht="20.149999999999999" customHeight="1">
      <c r="A2" s="661" t="s">
        <v>2580</v>
      </c>
      <c r="B2" s="643" t="str">
        <f>Data!P5</f>
        <v>Access Switches and Modules</v>
      </c>
      <c r="C2" s="644"/>
      <c r="D2" s="645"/>
      <c r="E2" s="28"/>
    </row>
    <row r="3" spans="1:5" s="25" customFormat="1">
      <c r="A3" s="662"/>
      <c r="B3" s="391" t="str">
        <f>Data!Q6</f>
        <v>ICX7450-24P-E2</v>
      </c>
      <c r="C3" s="171" t="str">
        <f>Data!P6</f>
        <v>SWITCH, BROCADE ICX 7450, 24-PORT 1 GBE PoE+ BUNDLE, 4x10G SFP+ UPLINKS, 2x40G QSFP+ UPLINKS/STACKING, DUAL 1000W AC PS, ICX7450-24P-E2, MRN238007</v>
      </c>
      <c r="D3" s="174">
        <f>Data!R6</f>
        <v>3534.5499999999997</v>
      </c>
      <c r="E3" s="28"/>
    </row>
    <row r="4" spans="1:5" s="25" customFormat="1">
      <c r="A4" s="662"/>
      <c r="B4" s="391" t="str">
        <f>Data!Q7</f>
        <v>ICX7450-48P-E2</v>
      </c>
      <c r="C4" s="171" t="str">
        <f>Data!P7</f>
        <v>SWITCH, BROCADE ICX 7450, 48-PORT 1 GBE PoE+ BUNDLE, 4x10G SFP+ UPLINKS, 2x40G QSFP+ UPLINKS/STACKING, DUAL 1000W AC PS, ICX7450-48P-E2, MRN238011</v>
      </c>
      <c r="D4" s="174">
        <f>Data!R7</f>
        <v>5066.7599999999993</v>
      </c>
      <c r="E4" s="28"/>
    </row>
    <row r="5" spans="1:5" s="25" customFormat="1">
      <c r="A5" s="662"/>
      <c r="B5" s="391" t="str">
        <f>Data!Q8</f>
        <v>ICX7450-48F-E2</v>
      </c>
      <c r="C5" s="171" t="str">
        <f>Data!P8</f>
        <v>SWITCH, BROCADE ICX 7450, 48-PORT 1 GBE SFP BUNDLE, 4x10G SFP+ UPLINKS, 2x40G QSFP+ UPLINKS/STACKING, DUAL 250W AC PS , ICX7450-48F-E2, MRN238009</v>
      </c>
      <c r="D5" s="174">
        <f>Data!R8</f>
        <v>5742.7299999999987</v>
      </c>
      <c r="E5" s="28"/>
    </row>
    <row r="6" spans="1:5" s="25" customFormat="1">
      <c r="A6" s="662"/>
      <c r="B6" s="391" t="str">
        <f>Data!Q9</f>
        <v>40G-QSFP-C-00501-AO</v>
      </c>
      <c r="C6" s="171" t="str">
        <f>Data!P9</f>
        <v>STACKING CABLE, ADDON, BROCADE-COMPATIBLE, 40 GbE, PASSIVE CABLE, 0.5M, 40G-QSFP-C-00501-AO, MRN241089</v>
      </c>
      <c r="D6" s="174">
        <f>Data!R9</f>
        <v>71.8</v>
      </c>
      <c r="E6" s="28"/>
    </row>
    <row r="7" spans="1:5" s="25" customFormat="1">
      <c r="A7" s="662"/>
      <c r="B7" s="391" t="str">
        <f>Data!Q10</f>
        <v>40G-QSFP-C-0101-AO</v>
      </c>
      <c r="C7" s="171" t="str">
        <f>Data!P10</f>
        <v>STACKING CABLE, ADDON, BROCADE-COMPATIBLE, 40 GbE, PASSIVE CABLE, 1M, 40G-QSFP-C-0101-AO, MRN241275</v>
      </c>
      <c r="D7" s="174">
        <f>Data!R10</f>
        <v>76.3</v>
      </c>
      <c r="E7" s="28"/>
    </row>
    <row r="8" spans="1:5" s="25" customFormat="1">
      <c r="A8" s="662"/>
      <c r="B8" s="391" t="str">
        <f>Data!Q11</f>
        <v>40G-QSFP-QSFP-C-0101-AO</v>
      </c>
      <c r="C8" s="171" t="str">
        <f>Data!P11</f>
        <v>STACKING CABLE, ADDON, BROCADE-COMPATIBLE, 40 GbE, ACTIVE CABLE, 1M, 40G-QSFP-QSFP-C-0101-AO</v>
      </c>
      <c r="D8" s="174">
        <f>Data!R11</f>
        <v>233.8</v>
      </c>
      <c r="E8" s="28"/>
    </row>
    <row r="9" spans="1:5" s="25" customFormat="1">
      <c r="A9" s="662"/>
      <c r="B9" s="391" t="str">
        <f>Data!Q12</f>
        <v>40G-QSFP-QSFP-C-0301-AO</v>
      </c>
      <c r="C9" s="171" t="str">
        <f>Data!P12</f>
        <v>STACKING CABLE, ADDON, BROCADE-COMPATIBLE, 40 GbE, ACTIVE CABLE, 3M, 40G-QSFP-QSFP-C-0301-AO</v>
      </c>
      <c r="D9" s="174">
        <f>Data!R12</f>
        <v>269.8</v>
      </c>
      <c r="E9" s="28"/>
    </row>
    <row r="10" spans="1:5" s="25" customFormat="1">
      <c r="A10" s="662"/>
      <c r="B10" s="391" t="str">
        <f>Data!Q13</f>
        <v>40G-QSFP-QSFP-C-0501-AO</v>
      </c>
      <c r="C10" s="171" t="str">
        <f>Data!P13</f>
        <v>STACKING CABLE, ADDON, BROCADE-COMPATIBLE, 40 GbE, ACTIVE CABLE, 5M, 40G-QSFP-QSFP-C-0501-AO</v>
      </c>
      <c r="D10" s="174">
        <f>Data!R13</f>
        <v>305.8</v>
      </c>
      <c r="E10" s="28"/>
    </row>
    <row r="11" spans="1:5" s="25" customFormat="1">
      <c r="A11" s="662"/>
      <c r="B11" s="391" t="str">
        <f>Data!Q14</f>
        <v>10GE-SFPP-AOC-0701-AO</v>
      </c>
      <c r="C11" s="171" t="str">
        <f>Data!P14</f>
        <v>CABLE, ADDON, BROCADE-COMPATIBLE, 10 GB, DIRECT-ATTACHED, SFP+ TO SFP+,  ACTIVE OPTICAL CABLE, 7M, 10GE-SFPP-AOC-0701-AO</v>
      </c>
      <c r="D11" s="174">
        <f>Data!R14</f>
        <v>94.299999999999983</v>
      </c>
      <c r="E11" s="28"/>
    </row>
    <row r="12" spans="1:5" s="25" customFormat="1">
      <c r="A12" s="662"/>
      <c r="B12" s="391" t="str">
        <f>Data!Q15</f>
        <v>10GE-SFPP-AOC-1001-AO</v>
      </c>
      <c r="C12" s="171" t="str">
        <f>Data!P15</f>
        <v>CABLE, ADDON, BROCADE-COMPATIBLE, 10 GB, DIRECT-ATTACHED, SFP+ TO SFP+,  ACTIVE OPTICAL CABLE, 10M, 10GE-SFPP-AOC-1001-AO</v>
      </c>
      <c r="D12" s="174">
        <f>Data!R15</f>
        <v>98.799999999999983</v>
      </c>
      <c r="E12" s="28"/>
    </row>
    <row r="13" spans="1:5" s="25" customFormat="1">
      <c r="A13" s="662"/>
      <c r="B13" s="391" t="str">
        <f>Data!Q16</f>
        <v>WS-C2960S-24TD-L</v>
      </c>
      <c r="C13" s="171" t="str">
        <f>Data!P16</f>
        <v>SWITCH, CISCO CATALYST 2960S, 24 GE PORTS,  DUAL 10G SFP+ PORTS, LAN BASE, WS-C2960S-24TD-L, MRN223262</v>
      </c>
      <c r="D13" s="174">
        <f>Data!R16</f>
        <v>1883.66</v>
      </c>
      <c r="E13" s="28"/>
    </row>
    <row r="14" spans="1:5" s="25" customFormat="1">
      <c r="A14" s="662"/>
      <c r="B14" s="397" t="str">
        <f>Data!P17</f>
        <v>3650 Switch, 1GE SFP Network Module, IP Base, 250W PS</v>
      </c>
      <c r="C14" s="171"/>
      <c r="D14" s="174"/>
      <c r="E14" s="28"/>
    </row>
    <row r="15" spans="1:5" s="25" customFormat="1">
      <c r="A15" s="662"/>
      <c r="B15" s="391" t="str">
        <f>Data!Q18</f>
        <v>MRN237264</v>
      </c>
      <c r="C15" s="171" t="str">
        <f>Data!P18</f>
        <v>SWITCH, CISCO CATALYST 3650, 24 10/100/1000 PORTS, 4 1GE SFP PORTS, IP BASE, DUAL C2-250WAC PS, 50CM STACK CABLE, WS-C3650-24TS-S, MRN237264</v>
      </c>
      <c r="D15" s="174">
        <f>Data!R18</f>
        <v>2980.43</v>
      </c>
      <c r="E15" s="28"/>
    </row>
    <row r="16" spans="1:5" s="25" customFormat="1">
      <c r="A16" s="662"/>
      <c r="B16" s="391" t="str">
        <f>Data!Q19</f>
        <v>MRN237348</v>
      </c>
      <c r="C16" s="171" t="str">
        <f>Data!P19</f>
        <v>SWITCH, CISCO CATALYST 3650, 48 10/100/1000 PORTS, 4 1GE SFP PORTS, IP BASE, DUAL C2-250WAC PS, 50CM STACK CABLE, WS-C3650-48TS-S, MRN237348</v>
      </c>
      <c r="D16" s="174">
        <f>Data!R19</f>
        <v>4549.78</v>
      </c>
      <c r="E16" s="28"/>
    </row>
    <row r="17" spans="1:5" s="25" customFormat="1">
      <c r="A17" s="662"/>
      <c r="B17" s="397" t="str">
        <f>Data!P20</f>
        <v>3850 Switch, LAN Base, 350W PS</v>
      </c>
      <c r="C17" s="171"/>
      <c r="D17" s="174"/>
      <c r="E17" s="28"/>
    </row>
    <row r="18" spans="1:5" s="25" customFormat="1">
      <c r="A18" s="662"/>
      <c r="B18" s="391" t="str">
        <f>Data!Q21</f>
        <v>MRN237305</v>
      </c>
      <c r="C18" s="171" t="str">
        <f>Data!P21</f>
        <v>SWITCH, CISCO CATALYST 3850, 24 10/100/1000 PORTS, LAN BASE, DUAL C1-350WAC PS, 50CM STACK CABLE, WS-C3850-24T-L, MRN237305</v>
      </c>
      <c r="D18" s="174">
        <f>Data!R21</f>
        <v>2644</v>
      </c>
      <c r="E18" s="28"/>
    </row>
    <row r="19" spans="1:5" s="25" customFormat="1">
      <c r="A19" s="662"/>
      <c r="B19" s="391" t="str">
        <f>Data!Q22</f>
        <v>MRN237306</v>
      </c>
      <c r="C19" s="171" t="str">
        <f>Data!P22</f>
        <v>SWITCH, CISCO CATALYST 3850, 48 10/100/1000 PORTS, LAN BASE, DUAL C1-350WAC PS, 50CM STACK CABLE, WS-C3850-48T-L, MRN237306</v>
      </c>
      <c r="D19" s="174">
        <f>Data!R22</f>
        <v>4307.5999999999995</v>
      </c>
      <c r="E19" s="28"/>
    </row>
    <row r="20" spans="1:5" s="25" customFormat="1">
      <c r="A20" s="662"/>
      <c r="B20" s="397" t="str">
        <f>Data!P23</f>
        <v>3850 Switch, IP Base, 350W PS</v>
      </c>
      <c r="C20" s="171"/>
      <c r="D20" s="174"/>
      <c r="E20" s="28"/>
    </row>
    <row r="21" spans="1:5" s="25" customFormat="1">
      <c r="A21" s="662"/>
      <c r="B21" s="391" t="str">
        <f>Data!Q24</f>
        <v>MRN237307</v>
      </c>
      <c r="C21" s="171" t="str">
        <f>Data!P24</f>
        <v>SWITCH, CISCO CATALYST 3850, 24 10/100/1000 PORTS, IP BASE, DUAL C1-350WAC PS, 50CM STACK CABLE, WS-C3850-24T-S, MRN237307</v>
      </c>
      <c r="D21" s="174">
        <f>Data!R24</f>
        <v>3228.56</v>
      </c>
      <c r="E21" s="28"/>
    </row>
    <row r="22" spans="1:5" s="25" customFormat="1">
      <c r="A22" s="662"/>
      <c r="B22" s="391" t="str">
        <f>Data!Q25</f>
        <v>MRN237308</v>
      </c>
      <c r="C22" s="171" t="str">
        <f>Data!P25</f>
        <v>SWITCH, CISCO CATALYST 3850, 48 10/100/1000 PORTS, IP BASE, DUAL C1-350WAC PS, 50CM STACK CABLE, WS-C3850-48T-S, MRN237308</v>
      </c>
      <c r="D22" s="174">
        <f>Data!R25</f>
        <v>5477.6</v>
      </c>
      <c r="E22" s="28"/>
    </row>
    <row r="23" spans="1:5" s="25" customFormat="1">
      <c r="A23" s="662"/>
      <c r="B23" s="397" t="str">
        <f>Data!P26</f>
        <v>3850 Switch, IP Services, 350W PS</v>
      </c>
      <c r="C23" s="171"/>
      <c r="D23" s="174"/>
      <c r="E23" s="28"/>
    </row>
    <row r="24" spans="1:5" s="25" customFormat="1">
      <c r="A24" s="662"/>
      <c r="B24" s="391" t="str">
        <f>Data!Q27</f>
        <v>MRN237315</v>
      </c>
      <c r="C24" s="171" t="str">
        <f>Data!P27</f>
        <v>SWITCH, CISCO CATALYST 3850, 24 10/100/1000 PORTS, IP SERVICES, DUAL C1-350WAC PS, 50CM STACK CABLE, WS-C3850-24T-E, MRN237315</v>
      </c>
      <c r="D24" s="174">
        <f>Data!R27</f>
        <v>5026.62</v>
      </c>
      <c r="E24" s="28"/>
    </row>
    <row r="25" spans="1:5" s="25" customFormat="1">
      <c r="A25" s="662"/>
      <c r="B25" s="397" t="str">
        <f>Data!P28</f>
        <v>3850 Switch, POE, LAN Base, 715W PS</v>
      </c>
      <c r="C25" s="171"/>
      <c r="D25" s="174"/>
      <c r="E25" s="28"/>
    </row>
    <row r="26" spans="1:5" s="25" customFormat="1">
      <c r="A26" s="662"/>
      <c r="B26" s="391" t="str">
        <f>Data!Q29</f>
        <v>MRN237313</v>
      </c>
      <c r="C26" s="171" t="str">
        <f>Data!P29</f>
        <v>SWITCH, CISCO CATALYST 3850, 24 10/100/1000 POE PORTS, LAN BASE, DUAL C1-715WAC PS, 50CM STACK CABLE, WS-C3850-24P-L, MRN237313</v>
      </c>
      <c r="D26" s="174">
        <f>Data!R29</f>
        <v>3270.4299999999994</v>
      </c>
      <c r="E26" s="28"/>
    </row>
    <row r="27" spans="1:5" s="25" customFormat="1">
      <c r="A27" s="662"/>
      <c r="B27" s="397" t="str">
        <f>Data!P30</f>
        <v>3850 Switch, POE, IP Base, 715W PS</v>
      </c>
      <c r="C27" s="171"/>
      <c r="D27" s="174"/>
      <c r="E27" s="28"/>
    </row>
    <row r="28" spans="1:5" s="25" customFormat="1">
      <c r="A28" s="662"/>
      <c r="B28" s="391" t="str">
        <f>Data!Q31</f>
        <v>MRN237309</v>
      </c>
      <c r="C28" s="171" t="str">
        <f>Data!P31</f>
        <v>SWITCH, CISCO CATALYST 3850, 24 10/100/1000 POE PORTS, IP BASE, DUAL C1-715WAC PS, 50CM STACK CABLE, WS-C3850-24P-S, MRN237309</v>
      </c>
      <c r="D28" s="174">
        <f>Data!R31</f>
        <v>3858.79</v>
      </c>
      <c r="E28" s="28"/>
    </row>
    <row r="29" spans="1:5" s="25" customFormat="1">
      <c r="A29" s="662"/>
      <c r="B29" s="391" t="str">
        <f>Data!Q32</f>
        <v>MRN237316</v>
      </c>
      <c r="C29" s="171" t="str">
        <f>Data!P32</f>
        <v>SWITCH, CISCO CATALYST 3850, 48 10/100/1000 POE PORTS, IP BASE, DUAL C1-715WAC PS, 50CM STACK CABLE, WS-C3850-48P-S, MRN237316</v>
      </c>
      <c r="D29" s="174">
        <f>Data!R32</f>
        <v>6424</v>
      </c>
      <c r="E29" s="28"/>
    </row>
    <row r="30" spans="1:5" s="25" customFormat="1">
      <c r="A30" s="662"/>
      <c r="B30" s="397" t="str">
        <f>Data!P33</f>
        <v>3850 Switch, POE, IP Base, 1100W PS</v>
      </c>
      <c r="C30" s="171"/>
      <c r="D30" s="174"/>
      <c r="E30" s="28"/>
    </row>
    <row r="31" spans="1:5" s="25" customFormat="1">
      <c r="A31" s="662"/>
      <c r="B31" s="391" t="str">
        <f>Data!Q34</f>
        <v>MRN237310</v>
      </c>
      <c r="C31" s="171" t="str">
        <f>Data!P34</f>
        <v>SWITCH, CISCO CATALYST 3850, 48 10/100/1000 POE PORTS, IP BASE, DUAL C1-1100WAC PS, 50CM STACK CABLE, WS-C3850-48F-S, MRN237310</v>
      </c>
      <c r="D31" s="174">
        <f>Data!R34</f>
        <v>7166.5</v>
      </c>
      <c r="E31" s="28"/>
    </row>
    <row r="32" spans="1:5" s="25" customFormat="1">
      <c r="A32" s="662"/>
      <c r="B32" s="397" t="str">
        <f>Data!P35</f>
        <v>3850 Switch, POE, IP Services, 715W PS</v>
      </c>
      <c r="C32" s="171"/>
      <c r="D32" s="174"/>
      <c r="E32" s="28"/>
    </row>
    <row r="33" spans="1:5" s="25" customFormat="1">
      <c r="A33" s="662"/>
      <c r="B33" s="391" t="str">
        <f>Data!Q36</f>
        <v>MRN237314</v>
      </c>
      <c r="C33" s="171" t="str">
        <f>Data!P36</f>
        <v>SWITCH, CISCO CATALYST 3850, 24 10/100/1000 POE PORTS, IP SERVICES, DUAL C1-715WAC PS, 50CM STACK CABLE, WS-C3850-24P-E, MRN237314</v>
      </c>
      <c r="D33" s="174">
        <f>Data!R36</f>
        <v>5659</v>
      </c>
      <c r="E33" s="28"/>
    </row>
    <row r="34" spans="1:5" s="25" customFormat="1">
      <c r="A34" s="662"/>
      <c r="B34" s="397" t="str">
        <f>Data!P37</f>
        <v>3850 Switch, 1GE SFP Network Module, LAN Base, 350W PS</v>
      </c>
      <c r="C34" s="171"/>
      <c r="D34" s="174"/>
      <c r="E34" s="28"/>
    </row>
    <row r="35" spans="1:5" s="25" customFormat="1">
      <c r="A35" s="662"/>
      <c r="B35" s="391" t="str">
        <f>Data!Q38</f>
        <v>MRN237267</v>
      </c>
      <c r="C35" s="171" t="str">
        <f>Data!P38</f>
        <v>SWITCH, CISCO CATALYST 3850, 24 10/100/1000 PORTS, 4 1GE SFP PORTS, LAN BASE, DUAL C1-350WAC PS, 50CM STACK CABLE, WS-C3850-24T-L, MRN237267</v>
      </c>
      <c r="D35" s="174">
        <f>Data!R38</f>
        <v>2869</v>
      </c>
      <c r="E35" s="28"/>
    </row>
    <row r="36" spans="1:5" s="25" customFormat="1">
      <c r="A36" s="662"/>
      <c r="B36" s="391" t="str">
        <f>Data!Q39</f>
        <v>MRN237270</v>
      </c>
      <c r="C36" s="171" t="str">
        <f>Data!P39</f>
        <v>SWITCH, CISCO CATALYST 3850, 48 10/100/1000 PORTS, 4 1GE SFP PORTS, LAN BASE, DUAL C1-350WAC PS, 50CM STACK CABLE, WS-C3850-48T-L, MRN237270</v>
      </c>
      <c r="D36" s="174">
        <f>Data!R39</f>
        <v>4532.5999999999995</v>
      </c>
      <c r="E36" s="28"/>
    </row>
    <row r="37" spans="1:5" s="25" customFormat="1">
      <c r="A37" s="662"/>
      <c r="B37" s="397" t="str">
        <f>Data!P40</f>
        <v>3850 Switch, 1GE SFP Network Module, IP Base, 350W PS</v>
      </c>
      <c r="C37" s="171"/>
      <c r="D37" s="174"/>
      <c r="E37" s="28"/>
    </row>
    <row r="38" spans="1:5" s="25" customFormat="1">
      <c r="A38" s="662"/>
      <c r="B38" s="391" t="str">
        <f>Data!Q41</f>
        <v>MRN237276</v>
      </c>
      <c r="C38" s="171" t="str">
        <f>Data!P41</f>
        <v>SWITCH, CISCO CATALYST 3850, 24 10/100/1000 PORTS, 4 1GE SFP PORTS, IP BASE, DUAL C1-350WAC PS, 50CM STACK CABLE, WS-C3850-24T-S, MRN237276</v>
      </c>
      <c r="D38" s="174">
        <f>Data!R41</f>
        <v>3453.56</v>
      </c>
      <c r="E38" s="28"/>
    </row>
    <row r="39" spans="1:5" s="25" customFormat="1">
      <c r="A39" s="662"/>
      <c r="B39" s="391" t="str">
        <f>Data!Q42</f>
        <v>MRN237279</v>
      </c>
      <c r="C39" s="171" t="str">
        <f>Data!P42</f>
        <v>SWITCH, CISCO CATALYST 3850, 48 10/100/1000 PORTS, 4 1GE SFP PORTS, IP BASE, DUAL C1-350WAC PS, 50CM STACK CABLE, WS-C3850-48T-S, MRN237279</v>
      </c>
      <c r="D39" s="174">
        <f>Data!R42</f>
        <v>5702.6</v>
      </c>
      <c r="E39" s="28"/>
    </row>
    <row r="40" spans="1:5" s="25" customFormat="1">
      <c r="A40" s="662"/>
      <c r="B40" s="397" t="str">
        <f>Data!P43</f>
        <v>3850 Switch, 1GE SFP Network Module, IP Services, 350W PS</v>
      </c>
      <c r="C40" s="171"/>
      <c r="D40" s="174"/>
      <c r="E40" s="28"/>
    </row>
    <row r="41" spans="1:5" s="25" customFormat="1">
      <c r="A41" s="662"/>
      <c r="B41" s="391" t="str">
        <f>Data!Q44</f>
        <v>MRN237300</v>
      </c>
      <c r="C41" s="171" t="str">
        <f>Data!P44</f>
        <v>SWITCH, CISCO CATALYST 3850, 24 10/100/1000 PORTS, 4 1GE SFP PORTS, IP SERVICES, DUAL C1-350WAC PS, 50CM STACK CABLE, WS-C3850-24T-E, MRN237300</v>
      </c>
      <c r="D41" s="174">
        <f>Data!R44</f>
        <v>5251.62</v>
      </c>
      <c r="E41" s="28"/>
    </row>
    <row r="42" spans="1:5" s="25" customFormat="1">
      <c r="A42" s="662"/>
      <c r="B42" s="397" t="str">
        <f>Data!P45</f>
        <v>3850 Switch, 10GE SFP Network Module, LAN Base, 350W PS</v>
      </c>
      <c r="C42" s="171"/>
      <c r="D42" s="174"/>
      <c r="E42" s="28"/>
    </row>
    <row r="43" spans="1:5" s="25" customFormat="1">
      <c r="A43" s="662"/>
      <c r="B43" s="391" t="str">
        <f>Data!Q46</f>
        <v>MRN237269</v>
      </c>
      <c r="C43" s="171" t="str">
        <f>Data!P46</f>
        <v>SWITCH, CISCO CATALYST 3850, 24 10/100/1000 PORTS, 2 10GE SFP PORTS, LAN BASE, DUAL C1-350WAC PS, 50CM STACK CABLE, WS-C3850-24T-L, MRN237269</v>
      </c>
      <c r="D43" s="174">
        <f>Data!R46</f>
        <v>3769</v>
      </c>
      <c r="E43" s="28"/>
    </row>
    <row r="44" spans="1:5" s="25" customFormat="1">
      <c r="A44" s="662"/>
      <c r="B44" s="391" t="str">
        <f>Data!Q47</f>
        <v>MRN237275</v>
      </c>
      <c r="C44" s="171" t="str">
        <f>Data!P47</f>
        <v>SWITCH, CISCO CATALYST 3850, 48 10/100/1000 PORTS, 2 10GE SFP PORTS, LAN BASE, DUAL C1-350WAC PS, 50CM STACK CABLE, WS-C3850-48T-L, MRN237275</v>
      </c>
      <c r="D44" s="174">
        <f>Data!R47</f>
        <v>5432.5999999999995</v>
      </c>
      <c r="E44" s="28"/>
    </row>
    <row r="45" spans="1:5" s="25" customFormat="1">
      <c r="A45" s="662"/>
      <c r="B45" s="397" t="str">
        <f>Data!P48</f>
        <v>3850 Switch, 10GE SFP Network Module, IP Base, 350W PS</v>
      </c>
      <c r="C45" s="171"/>
      <c r="D45" s="174"/>
      <c r="E45" s="28"/>
    </row>
    <row r="46" spans="1:5" s="25" customFormat="1">
      <c r="A46" s="662"/>
      <c r="B46" s="391" t="str">
        <f>Data!Q49</f>
        <v>MRN237277</v>
      </c>
      <c r="C46" s="171" t="str">
        <f>Data!P49</f>
        <v>SWITCH, CISCO CATALYST 3850, 24 10/100/1000 PORTS, 2 10GE SFP PORTS, IP BASE, DUAL C1-350WAC PS, 50CM STACK CABLE, WS-C3850-24T-S, MRN237277</v>
      </c>
      <c r="D46" s="174">
        <f>Data!R49</f>
        <v>4353.5599999999995</v>
      </c>
      <c r="E46" s="28"/>
    </row>
    <row r="47" spans="1:5" s="25" customFormat="1">
      <c r="A47" s="662"/>
      <c r="B47" s="391" t="str">
        <f>Data!Q50</f>
        <v>MRN237280</v>
      </c>
      <c r="C47" s="171" t="str">
        <f>Data!P50</f>
        <v>SWITCH, CISCO CATALYST 3850, 48 10/100/1000 PORTS, 2 10GE SFP PORTS, IP BASE, DUAL C1-350WAC PS, 50CM STACK CABLE, WS-C3850-48T-S, MRN237280</v>
      </c>
      <c r="D47" s="174">
        <f>Data!R50</f>
        <v>6602.6</v>
      </c>
      <c r="E47" s="28"/>
    </row>
    <row r="48" spans="1:5" s="25" customFormat="1">
      <c r="A48" s="662"/>
      <c r="B48" s="397" t="str">
        <f>Data!P51</f>
        <v>3850 Switch, 10GE SFP Network Module, IP Services, 350W PS</v>
      </c>
      <c r="C48" s="171"/>
      <c r="D48" s="174"/>
      <c r="E48" s="28"/>
    </row>
    <row r="49" spans="1:5" s="25" customFormat="1">
      <c r="A49" s="662"/>
      <c r="B49" s="391" t="str">
        <f>Data!Q52</f>
        <v>MRN237301</v>
      </c>
      <c r="C49" s="171" t="str">
        <f>Data!P52</f>
        <v>SWITCH, CISCO CATALYST 3850, 24 10/100/1000 PORTS, 2 10GE SFP PORTS, IP SERVICES, DUAL C1-350WAC PS, 50CM STACK CABLE, WS-C3850-24T-E, MRN237301</v>
      </c>
      <c r="D49" s="174">
        <f>Data!R52</f>
        <v>6151.62</v>
      </c>
      <c r="E49" s="28"/>
    </row>
    <row r="50" spans="1:5" s="25" customFormat="1">
      <c r="A50" s="662"/>
      <c r="B50" s="397" t="str">
        <f>Data!P53</f>
        <v>3850 Switch, POE, 1GE SFP Network Module, LAN Base, 715W PS</v>
      </c>
      <c r="C50" s="171"/>
      <c r="D50" s="174"/>
      <c r="E50" s="28"/>
    </row>
    <row r="51" spans="1:5" s="25" customFormat="1">
      <c r="A51" s="662"/>
      <c r="B51" s="391" t="str">
        <f>Data!Q54</f>
        <v>MRN237295</v>
      </c>
      <c r="C51" s="171" t="str">
        <f>Data!P54</f>
        <v>SWITCH, CISCO CATALYST 3850, 24 10/100/1000 POE PORTS, 4 1GE SFP PORTS, LAN BASE, DUAL C1-715WAC PS, 50CM STACK CABLE, WS-C3850-24P-L, MRN237295</v>
      </c>
      <c r="D51" s="174">
        <f>Data!R54</f>
        <v>3495.4299999999994</v>
      </c>
      <c r="E51" s="28"/>
    </row>
    <row r="52" spans="1:5" s="25" customFormat="1">
      <c r="A52" s="662"/>
      <c r="B52" s="397" t="str">
        <f>Data!P55</f>
        <v>3850 Switch, POE, 1GE SFP Network Module, IP Base, 715W PS</v>
      </c>
      <c r="C52" s="171"/>
      <c r="D52" s="174"/>
      <c r="E52" s="28"/>
    </row>
    <row r="53" spans="1:5" s="25" customFormat="1">
      <c r="A53" s="662"/>
      <c r="B53" s="391" t="str">
        <f>Data!Q56</f>
        <v>MRN237282</v>
      </c>
      <c r="C53" s="171" t="str">
        <f>Data!P56</f>
        <v>SWITCH, CISCO CATALYST 3850, 24 10/100/1000 POE PORTS, 4 1GE SFP PORTS, IP BASE, DUAL C1-715WAC PS, 50CM STACK CABLE, WS-C3850-24P-S, MRN237282</v>
      </c>
      <c r="D53" s="174">
        <f>Data!R56</f>
        <v>4646.29</v>
      </c>
      <c r="E53" s="28"/>
    </row>
    <row r="54" spans="1:5" s="25" customFormat="1">
      <c r="A54" s="662"/>
      <c r="B54" s="391" t="str">
        <f>Data!Q57</f>
        <v>MRN237303</v>
      </c>
      <c r="C54" s="171" t="str">
        <f>Data!P57</f>
        <v>SWITCH, CISCO CATALYST 3850, 48 10/100/1000 POE PORTS, 4 1GE SFP PORTS, IP BASE, DUAL C1-715WAC PS, 50CM STACK CABLE, WS-C3850-48P-S, MRN237303</v>
      </c>
      <c r="D54" s="174">
        <f>Data!R57</f>
        <v>6649</v>
      </c>
      <c r="E54" s="28"/>
    </row>
    <row r="55" spans="1:5" s="25" customFormat="1">
      <c r="A55" s="662"/>
      <c r="B55" s="397" t="str">
        <f>Data!P58</f>
        <v>3850 Switch, POE, 1GE SFP Network Module, IP Base, 1100W PS</v>
      </c>
      <c r="C55" s="171"/>
      <c r="D55" s="174"/>
      <c r="E55" s="28"/>
    </row>
    <row r="56" spans="1:5" s="25" customFormat="1">
      <c r="A56" s="662"/>
      <c r="B56" s="391" t="str">
        <f>Data!Q59</f>
        <v>MRN237285</v>
      </c>
      <c r="C56" s="171" t="str">
        <f>Data!P59</f>
        <v>SWITCH, CISCO CATALYST 3850, 48 10/100/1000 POE PORTS, 4 1GE SFP PORTS, IP BASE, DUAL C1-1100WAC PS, 50CM STACK CABLE, WS-C3850-48F-S, MRN237285</v>
      </c>
      <c r="D56" s="174">
        <f>Data!R59</f>
        <v>7391.5</v>
      </c>
      <c r="E56" s="28"/>
    </row>
    <row r="57" spans="1:5" s="25" customFormat="1">
      <c r="A57" s="662"/>
      <c r="B57" s="397" t="str">
        <f>Data!P60</f>
        <v>3850 Switch, POE, 1GE SFP Network Module, IP Services, 715W PS</v>
      </c>
      <c r="C57" s="171"/>
      <c r="D57" s="174"/>
      <c r="E57" s="28"/>
    </row>
    <row r="58" spans="1:5" s="25" customFormat="1">
      <c r="A58" s="662"/>
      <c r="B58" s="391" t="str">
        <f>Data!Q61</f>
        <v>MRN237297</v>
      </c>
      <c r="C58" s="171" t="str">
        <f>Data!P61</f>
        <v>SWITCH, CISCO CATALYST 3850, 24 10/100/1000 POE PORTS, 4 1GE SFP PORTS, IP SERVICES, DUAL C1-715WAC PS, 50CM STACK CABLE, WS-C3850-24P-E, MRN237297</v>
      </c>
      <c r="D58" s="174">
        <f>Data!R61</f>
        <v>5884</v>
      </c>
      <c r="E58" s="28"/>
    </row>
    <row r="59" spans="1:5" s="25" customFormat="1">
      <c r="A59" s="662"/>
      <c r="B59" s="397" t="str">
        <f>Data!P62</f>
        <v>3850 Switch, POE, 10GE SFP Network Module, LAN Base, 715W PS</v>
      </c>
      <c r="C59" s="171"/>
      <c r="D59" s="174"/>
      <c r="E59" s="28"/>
    </row>
    <row r="60" spans="1:5" s="25" customFormat="1">
      <c r="A60" s="662"/>
      <c r="B60" s="391" t="str">
        <f>Data!Q63</f>
        <v>MRN237296</v>
      </c>
      <c r="C60" s="171" t="str">
        <f>Data!P63</f>
        <v>SWITCH, CISCO CATALYST 3850, 24 10/100/1000 POE PORTS, 2 10GE SFP PORTS, LAN BASE, DUAL C1-715WAC PS, 50CM STACK CABLE, WS-C3850-24P-L, MRN237296</v>
      </c>
      <c r="D60" s="174">
        <f>Data!R63</f>
        <v>4395.4299999999994</v>
      </c>
      <c r="E60" s="28"/>
    </row>
    <row r="61" spans="1:5" s="25" customFormat="1">
      <c r="A61" s="662"/>
      <c r="B61" s="397" t="str">
        <f>Data!P64</f>
        <v>3850 Switch, POE, 10GE SFP Network Module, IP Base, 715W PS</v>
      </c>
      <c r="C61" s="171"/>
      <c r="D61" s="174"/>
      <c r="E61" s="28"/>
    </row>
    <row r="62" spans="1:5" s="25" customFormat="1">
      <c r="A62" s="662"/>
      <c r="B62" s="391" t="str">
        <f>Data!Q65</f>
        <v>MRN237283</v>
      </c>
      <c r="C62" s="171" t="str">
        <f>Data!P65</f>
        <v>SWITCH, CISCO CATALYST 3850, 24 10/100/1000 POE PORTS, 2 10GE SFP PORTS, IP BASE, DUAL C1-715WAC PS, 50CM STACK CABLE, WS-C3850-24P-S, MRN237283</v>
      </c>
      <c r="D62" s="174">
        <f>Data!R65</f>
        <v>4983.79</v>
      </c>
      <c r="E62" s="28"/>
    </row>
    <row r="63" spans="1:5" s="25" customFormat="1">
      <c r="A63" s="662"/>
      <c r="B63" s="391" t="str">
        <f>Data!Q66</f>
        <v>MRN237304</v>
      </c>
      <c r="C63" s="171" t="str">
        <f>Data!P66</f>
        <v>SWITCH, CISCO CATALYST 3850, 48 10/100/1000 POE PORTS, 2 10GE SFP PORTS, IP BASE, DUAL C1-715WAC PS, 50CM STACK CABLE, WS-C3850-48P-S, MRN237304</v>
      </c>
      <c r="D63" s="174">
        <f>Data!R66</f>
        <v>7549</v>
      </c>
      <c r="E63" s="28"/>
    </row>
    <row r="64" spans="1:5" s="25" customFormat="1">
      <c r="A64" s="662"/>
      <c r="B64" s="397" t="str">
        <f>Data!P67</f>
        <v>3850 Switch, POE, 10GE SFP Network Module, IP Base, 1100W PS</v>
      </c>
      <c r="C64" s="171"/>
      <c r="D64" s="174"/>
      <c r="E64" s="28"/>
    </row>
    <row r="65" spans="1:5" s="25" customFormat="1">
      <c r="A65" s="662"/>
      <c r="B65" s="391" t="str">
        <f>Data!Q68</f>
        <v>MRN237286</v>
      </c>
      <c r="C65" s="171" t="str">
        <f>Data!P68</f>
        <v>SWITCH, CISCO CATALYST 3850, 48 10/100/1000 POE PORTS, 2 10GE SFP PORTS, IP BASE, DUAL C1-1100WAC PS, 50CM STACK CABLE, WS-C3850-48F-S, MRN237286</v>
      </c>
      <c r="D65" s="174">
        <f>Data!R68</f>
        <v>8291.5</v>
      </c>
      <c r="E65" s="28"/>
    </row>
    <row r="66" spans="1:5" s="25" customFormat="1">
      <c r="A66" s="662"/>
      <c r="B66" s="397" t="str">
        <f>Data!P69</f>
        <v>3850 Switch, POE, 10GE SFP Network Module, IP Services, 715W PS</v>
      </c>
      <c r="C66" s="171"/>
      <c r="D66" s="174"/>
      <c r="E66" s="28"/>
    </row>
    <row r="67" spans="1:5" s="25" customFormat="1">
      <c r="A67" s="662"/>
      <c r="B67" s="391" t="str">
        <f>Data!Q70</f>
        <v>MRN237298</v>
      </c>
      <c r="C67" s="171" t="str">
        <f>Data!P70</f>
        <v>SWITCH, CISCO CATALYST 3850, 24 10/100/1000 POE PORTS, 2 10GE SFP PORTS, IP SERVICES, DUAL C1-715WAC PS, 50CM STACK CABLE, WS-C3850-24P-E, MRN237298</v>
      </c>
      <c r="D67" s="174">
        <f>Data!R70</f>
        <v>6784</v>
      </c>
      <c r="E67" s="28"/>
    </row>
    <row r="68" spans="1:5" s="25" customFormat="1">
      <c r="A68" s="662"/>
      <c r="B68" s="397" t="str">
        <f>Data!P71</f>
        <v>3850 Fiber Switch, IP Base, 350W PS</v>
      </c>
      <c r="C68" s="171"/>
      <c r="D68" s="174"/>
      <c r="E68" s="28"/>
    </row>
    <row r="69" spans="1:5" s="25" customFormat="1">
      <c r="A69" s="662"/>
      <c r="B69" s="391" t="str">
        <f>Data!Q72</f>
        <v>MRN237311</v>
      </c>
      <c r="C69" s="171" t="str">
        <f>Data!P72</f>
        <v>SWITCH, CISCO CATALYST 3850, 12 1GE SFP PORTS, IP BASE, DUAL C1-350WAC PS, 50CM STACK CABLE, WS-C3850-12S-S, MRN237311</v>
      </c>
      <c r="D69" s="174">
        <f>Data!R72</f>
        <v>4802.12</v>
      </c>
      <c r="E69" s="28"/>
    </row>
    <row r="70" spans="1:5" s="25" customFormat="1">
      <c r="A70" s="662"/>
      <c r="B70" s="397" t="str">
        <f>Data!P73</f>
        <v>3850 Fiber Switch, IP Services, 350W PS</v>
      </c>
      <c r="C70" s="171"/>
      <c r="D70" s="174"/>
      <c r="E70" s="28"/>
    </row>
    <row r="71" spans="1:5" s="25" customFormat="1">
      <c r="A71" s="662"/>
      <c r="B71" s="391" t="str">
        <f>Data!Q74</f>
        <v>MRN237312</v>
      </c>
      <c r="C71" s="171" t="str">
        <f>Data!P74</f>
        <v>SWITCH, CISCO CATALYST 3850, 12 1GE SFP PORTS, IP SERVICES, DUAL C1-350WAC PS, 50CM STACK CABLE, WS-C3850-12S-E, MRN237312</v>
      </c>
      <c r="D71" s="174">
        <f>Data!R74</f>
        <v>5704</v>
      </c>
      <c r="E71" s="28"/>
    </row>
    <row r="72" spans="1:5" s="25" customFormat="1">
      <c r="A72" s="662"/>
      <c r="B72" s="397" t="str">
        <f>Data!P75</f>
        <v>3850 Fiber Switch, 1GE SFP Network Module, IP Base, 350W PS</v>
      </c>
      <c r="C72" s="171"/>
      <c r="D72" s="174"/>
      <c r="E72" s="28"/>
    </row>
    <row r="73" spans="1:5" s="25" customFormat="1">
      <c r="A73" s="662"/>
      <c r="B73" s="391" t="str">
        <f>Data!Q76</f>
        <v>MRN237289</v>
      </c>
      <c r="C73" s="171" t="str">
        <f>Data!P76</f>
        <v>SWITCH, CISCO CATALYST 3850, 12 + 4 1GE SFP PORTS, IP BASE, DUAL C1-350WAC PS, 50CM STACK CABLE, WS-C3850-12S-S, MRN237289</v>
      </c>
      <c r="D73" s="174">
        <f>Data!R76</f>
        <v>5027.12</v>
      </c>
      <c r="E73" s="28"/>
    </row>
    <row r="74" spans="1:5" s="25" customFormat="1">
      <c r="A74" s="662"/>
      <c r="B74" s="397" t="str">
        <f>Data!P77</f>
        <v>3850 Fiber Switch, 1GE SFP Network Module, IP Services, 350W PS</v>
      </c>
      <c r="C74" s="171"/>
      <c r="D74" s="174"/>
      <c r="E74" s="28"/>
    </row>
    <row r="75" spans="1:5" s="25" customFormat="1">
      <c r="A75" s="662"/>
      <c r="B75" s="391" t="str">
        <f>Data!Q78</f>
        <v>MRN237292</v>
      </c>
      <c r="C75" s="171" t="str">
        <f>Data!P78</f>
        <v>SWITCH, CISCO CATALYST 3850, 12 + 4 1GE SFP PORTS, IP SERVICES, DUAL C1-350WAC PS, 50CM STACK CABLE, WS-C3850-12S-E, MRN237292</v>
      </c>
      <c r="D75" s="174">
        <f>Data!R78</f>
        <v>5929</v>
      </c>
      <c r="E75" s="28"/>
    </row>
    <row r="76" spans="1:5" s="25" customFormat="1">
      <c r="A76" s="662"/>
      <c r="B76" s="397" t="str">
        <f>Data!P79</f>
        <v>3850 Fiber Switch, 10GE SFP Network Module, IP Base, 350W PS</v>
      </c>
      <c r="C76" s="171"/>
      <c r="D76" s="174"/>
      <c r="E76" s="28"/>
    </row>
    <row r="77" spans="1:5" s="25" customFormat="1">
      <c r="A77" s="662"/>
      <c r="B77" s="391" t="str">
        <f>Data!Q80</f>
        <v>MRN237290</v>
      </c>
      <c r="C77" s="171" t="str">
        <f>Data!P80</f>
        <v>SWITCH, CISCO CATALYST 3850, 12 1GE SFP PORTS, 2 10GE SFP PORTS, IP BASE, DUAL C1-350WAC PS, 50CM STACK CABLE, WS-C3850-12S-S, MRN237290</v>
      </c>
      <c r="D77" s="174">
        <f>Data!R80</f>
        <v>5927.12</v>
      </c>
      <c r="E77" s="28"/>
    </row>
    <row r="78" spans="1:5" s="25" customFormat="1">
      <c r="A78" s="662"/>
      <c r="B78" s="397" t="str">
        <f>Data!P81</f>
        <v>3850 Fiber Switch, 10GE SFP Network Module, IP Services, 350W PS</v>
      </c>
      <c r="C78" s="171"/>
      <c r="D78" s="174"/>
      <c r="E78" s="28"/>
    </row>
    <row r="79" spans="1:5" s="25" customFormat="1">
      <c r="A79" s="662"/>
      <c r="B79" s="391" t="str">
        <f>Data!Q82</f>
        <v>MRN237293</v>
      </c>
      <c r="C79" s="171" t="str">
        <f>Data!P82</f>
        <v>SWITCH, CISCO CATALYST 3850, 12 1GE SFP PORTS, 2 10GE SFP PORTS, IP SERVICES, DUAL C1-350WAC PS, 50CM STACK CABLE, WS-C3850-12S-E, MRN237293</v>
      </c>
      <c r="D79" s="174">
        <f>Data!R82</f>
        <v>6829</v>
      </c>
      <c r="E79" s="28"/>
    </row>
    <row r="80" spans="1:5" s="25" customFormat="1">
      <c r="A80" s="662"/>
      <c r="B80" s="391" t="str">
        <f>Data!Q83</f>
        <v>MRN222254</v>
      </c>
      <c r="C80" s="171" t="str">
        <f>Data!P83</f>
        <v>SWITCH, CISCO CATALYST 4500-X, 16 10GE PORTS, IP BASE, DUAL C4KX-PWR-750AC, WS-C4500X-16SFP+, MRN222254</v>
      </c>
      <c r="D80" s="174">
        <f>Data!R83</f>
        <v>9000</v>
      </c>
      <c r="E80" s="28"/>
    </row>
    <row r="81" spans="1:5" s="25" customFormat="1">
      <c r="A81" s="662"/>
      <c r="B81" s="391" t="str">
        <f>Data!Q84</f>
        <v>MRN223228</v>
      </c>
      <c r="C81" s="171" t="str">
        <f>Data!P84</f>
        <v>SWITCH, CISCO CATALYST 4500 E BUNDLE, 3-SLOT CHASSIS, DUAL 1300W PS, SUP 7L-E, WS-C4503-E-SUP7LE-1300W, MRN223228</v>
      </c>
      <c r="D81" s="174">
        <f>Data!R84</f>
        <v>6741</v>
      </c>
      <c r="E81" s="28"/>
    </row>
    <row r="82" spans="1:5" s="25" customFormat="1">
      <c r="A82" s="662"/>
      <c r="B82" s="391" t="str">
        <f>Data!Q85</f>
        <v>MRN229332</v>
      </c>
      <c r="C82" s="171" t="str">
        <f>Data!P85</f>
        <v>SWITCH, CISCO CATALYST 4500 E BUNDLE, 3-SLOT CHASSIS, DUAL 1300W PS, SUP 7-E, WS-C4503-E-SUP7E-1300W, MRN229332</v>
      </c>
      <c r="D82" s="174">
        <f>Data!R85</f>
        <v>10030.709999999999</v>
      </c>
      <c r="E82" s="28"/>
    </row>
    <row r="83" spans="1:5" s="25" customFormat="1">
      <c r="A83" s="662"/>
      <c r="B83" s="391" t="str">
        <f>Data!Q86</f>
        <v>MRN229333</v>
      </c>
      <c r="C83" s="171" t="str">
        <f>Data!P86</f>
        <v>SWITCH, CISCO CATALYST 4500 E BUNDLE, 6-SLOT CHASSIS, DUAL 1300W PS, SUP 7L-E, WS-C4506-E-SUP7LE-1300W, MRN229333</v>
      </c>
      <c r="D83" s="174">
        <f>Data!R86</f>
        <v>8541</v>
      </c>
      <c r="E83" s="28"/>
    </row>
    <row r="84" spans="1:5" s="25" customFormat="1">
      <c r="A84" s="662"/>
      <c r="B84" s="391" t="str">
        <f>Data!Q87</f>
        <v>MRN223231</v>
      </c>
      <c r="C84" s="171" t="str">
        <f>Data!P87</f>
        <v>SWITCH, CISCO CATALYST 4500 E BUNDLE, 6-SLOT CHASSIS, DUAL 1300W PS, SUP 7-E, WS-C4506-E-SUP7E-1300W, MRN223231</v>
      </c>
      <c r="D84" s="174">
        <f>Data!R87</f>
        <v>11830.71</v>
      </c>
      <c r="E84" s="28"/>
    </row>
    <row r="85" spans="1:5" s="25" customFormat="1">
      <c r="A85" s="662"/>
      <c r="B85" s="391" t="str">
        <f>Data!Q88</f>
        <v>MRN223232</v>
      </c>
      <c r="C85" s="171" t="str">
        <f>Data!P88</f>
        <v>SWITCH, CISCO CATALYST 4500 E BUNDLE, 6-SLOT CHASSIS, DUAL 2800W PS, SUP 7L-E, WS-C4506-E-SUP7LE-2800W, MRN223232</v>
      </c>
      <c r="D85" s="174">
        <f>Data!R88</f>
        <v>9441</v>
      </c>
      <c r="E85" s="28"/>
    </row>
    <row r="86" spans="1:5" s="25" customFormat="1" ht="12.75" customHeight="1">
      <c r="A86" s="662"/>
      <c r="B86" s="391" t="str">
        <f>Data!Q89</f>
        <v>MRN223235</v>
      </c>
      <c r="C86" s="171" t="str">
        <f>Data!P89</f>
        <v>SWITCH, CISCO CATALYST 4500 E BUNDLE, 6-SLOT CHASSIS, DUAL 2800W PS, SUP 7-E, WS-C4506-E-SUP7E-2800W, MRN223235</v>
      </c>
      <c r="D86" s="174">
        <f>Data!R89</f>
        <v>12730.71</v>
      </c>
      <c r="E86" s="28"/>
    </row>
    <row r="87" spans="1:5" s="25" customFormat="1" ht="12.75" customHeight="1">
      <c r="A87" s="662"/>
      <c r="B87" s="391" t="str">
        <f>Data!Q90</f>
        <v>MRN223236</v>
      </c>
      <c r="C87" s="171" t="str">
        <f>Data!P90</f>
        <v>SWITCH, CISCO CATALYST 4500 E BUNDLE, 6-SLOT CHASSIS, DUAL 4200W PS, SUP 7L-E, WS-C4506-E-SUP7LE-4200W, MRN223236</v>
      </c>
      <c r="D87" s="174">
        <f>Data!R90</f>
        <v>10341</v>
      </c>
      <c r="E87" s="28"/>
    </row>
    <row r="88" spans="1:5" s="25" customFormat="1">
      <c r="A88" s="662"/>
      <c r="B88" s="391" t="str">
        <f>Data!Q91</f>
        <v>MRN223240</v>
      </c>
      <c r="C88" s="171" t="str">
        <f>Data!P91</f>
        <v>SWITCH, CISCO CATALYST 4500 E BUNDLE, 6-SLOT CHASSIS, DUAL 4200W PS, SUP 7-E, WS-C4506-E-SUP7E-4200W, MRN223240</v>
      </c>
      <c r="D88" s="174">
        <f>Data!R91</f>
        <v>13630.71</v>
      </c>
      <c r="E88" s="28"/>
    </row>
    <row r="89" spans="1:5" s="25" customFormat="1">
      <c r="A89" s="662"/>
      <c r="B89" s="391" t="str">
        <f>Data!Q92</f>
        <v>MRN222277</v>
      </c>
      <c r="C89" s="171" t="str">
        <f>Data!P92</f>
        <v>SWITCH, CISCO CATALYST 4500 R+E BUNDLE, 7-SLOT CHASSIS, DUAL 1300W PS, SUP 7L-E, WS-C4507-R+E-SUP7LE-1300W, MRN222277</v>
      </c>
      <c r="D89" s="174">
        <f>Data!R92</f>
        <v>9441</v>
      </c>
      <c r="E89" s="28"/>
    </row>
    <row r="90" spans="1:5" s="25" customFormat="1">
      <c r="A90" s="662"/>
      <c r="B90" s="391" t="str">
        <f>Data!Q93</f>
        <v>MRN222275</v>
      </c>
      <c r="C90" s="171" t="str">
        <f>Data!P93</f>
        <v>SWITCH, CISCO CATALYST 4500 R+E BUNDLE, 7-SLOT CHASSIS, DUAL 1300W PS, SUP 7-E, WS-C4507-R+E-SUP7E-1300W, MRN222275</v>
      </c>
      <c r="D90" s="174">
        <f>Data!R93</f>
        <v>12730.71</v>
      </c>
      <c r="E90" s="28"/>
    </row>
    <row r="91" spans="1:5" s="25" customFormat="1" ht="12.75" customHeight="1">
      <c r="A91" s="662"/>
      <c r="B91" s="391" t="str">
        <f>Data!Q94</f>
        <v>MRN223242</v>
      </c>
      <c r="C91" s="171" t="str">
        <f>Data!P94</f>
        <v>SWITCH, CISCO CATALYST 4500 R+E BUNDLE, 7-SLOT CHASSIS, DUAL 2800W PS, SUP 7L-E, WS-C4507-R+E-SUP7LE-2800W, MRN223242</v>
      </c>
      <c r="D91" s="174">
        <f>Data!R94</f>
        <v>10341</v>
      </c>
      <c r="E91" s="28"/>
    </row>
    <row r="92" spans="1:5" s="25" customFormat="1">
      <c r="A92" s="662"/>
      <c r="B92" s="391" t="str">
        <f>Data!Q95</f>
        <v>MRN223243</v>
      </c>
      <c r="C92" s="171" t="str">
        <f>Data!P95</f>
        <v>SWITCH, CISCO CATALYST 4500 R+E BUNDLE, 7-SLOT CHASSIS, DUAL 2800W PS, SUP 7-E, WS-C4507-R+E-SUP7E-2800W, MRN223243</v>
      </c>
      <c r="D92" s="174">
        <f>Data!R95</f>
        <v>13630.71</v>
      </c>
      <c r="E92" s="28"/>
    </row>
    <row r="93" spans="1:5" s="25" customFormat="1">
      <c r="A93" s="662"/>
      <c r="B93" s="391" t="str">
        <f>Data!Q96</f>
        <v>MRN223244</v>
      </c>
      <c r="C93" s="171" t="str">
        <f>Data!P96</f>
        <v>SWITCH, CISCO CATALYST 4500 R+E BUNDLE, 7-SLOT CHASSIS, DUAL 4200W PS, SUP 7L-E, WS-C4507-R+E-SUP7LE-4200W, MRN223244</v>
      </c>
      <c r="D93" s="174">
        <f>Data!R96</f>
        <v>11241</v>
      </c>
      <c r="E93" s="28"/>
    </row>
    <row r="94" spans="1:5" s="25" customFormat="1">
      <c r="A94" s="662"/>
      <c r="B94" s="391" t="str">
        <f>Data!Q97</f>
        <v>MRN223245</v>
      </c>
      <c r="C94" s="171" t="str">
        <f>Data!P97</f>
        <v>SWITCH, CISCO CATALYST 4500 R+E BUNDLE, 7-SLOT CHASSIS, DUAL 4200W PS, SUP 7-E, WS-C4507-R+E-SUP7E-4200W, MRN223245</v>
      </c>
      <c r="D94" s="174">
        <f>Data!R97</f>
        <v>14530.71</v>
      </c>
      <c r="E94" s="28"/>
    </row>
    <row r="95" spans="1:5" s="25" customFormat="1">
      <c r="A95" s="662"/>
      <c r="B95" s="391" t="str">
        <f>Data!Q98</f>
        <v>WS-X4748-RJ45-E++=</v>
      </c>
      <c r="C95" s="171" t="str">
        <f>Data!P98</f>
        <v>SWITCH MODULE, CISCO CATALYST 4500 NETWORK MODULE, 48 10/100/1000 RJ-45 PORTS, WS-X4748-RJ45-E++=, MRN221210</v>
      </c>
      <c r="D95" s="174">
        <f>Data!R98</f>
        <v>3152.45</v>
      </c>
      <c r="E95" s="28"/>
    </row>
    <row r="96" spans="1:5" s="25" customFormat="1">
      <c r="A96" s="662"/>
      <c r="B96" s="391" t="str">
        <f>Data!Q99</f>
        <v>WS-X4748-UPOE+E++=</v>
      </c>
      <c r="C96" s="171" t="str">
        <f>Data!P99</f>
        <v>SWITCH MODULE, CISCO CATALYST 4500 NETWORK MODULE, 48 10/100/1000 RJ-45 POE PORTS, WS-X4748-UPOE+E++=, MRN222257</v>
      </c>
      <c r="D96" s="174">
        <f>Data!R99</f>
        <v>4052.66</v>
      </c>
      <c r="E96" s="28"/>
    </row>
    <row r="97" spans="1:5" s="25" customFormat="1">
      <c r="A97" s="662"/>
      <c r="B97" s="391" t="str">
        <f>Data!Q100</f>
        <v>WS-X4712-SFP+E++=</v>
      </c>
      <c r="C97" s="171" t="str">
        <f>Data!P100</f>
        <v>SWITCH MODULE, CISCO CATALYST 4500 NETWORK MODULE, 12 SFP+ PORTS, WS-X4712-SFP+E++=, MRN229130</v>
      </c>
      <c r="D97" s="174">
        <f>Data!R100</f>
        <v>12152.45</v>
      </c>
      <c r="E97" s="28"/>
    </row>
    <row r="98" spans="1:5" s="25" customFormat="1">
      <c r="A98" s="662"/>
      <c r="B98" s="391" t="str">
        <f>Data!Q101</f>
        <v>END-OF-SALE</v>
      </c>
      <c r="C98" s="171" t="str">
        <f>Data!P101</f>
        <v>SWITCH MODULE, CISCO CATALYST 4500 NETWORK MODULE, 48 100FX MMF PORTS, WS-X4148-FX-MT++=, MRN229070</v>
      </c>
      <c r="D98" s="174">
        <f>Data!R101</f>
        <v>0</v>
      </c>
      <c r="E98" s="28"/>
    </row>
    <row r="99" spans="1:5" s="25" customFormat="1">
      <c r="A99" s="662"/>
      <c r="B99" s="391" t="str">
        <f>Data!Q102</f>
        <v>END-OF-SALE</v>
      </c>
      <c r="C99" s="171" t="str">
        <f>Data!P102</f>
        <v>SWITCH MODULE, CISCO CATALYST 4500 NETWORK MODULE, 6 10GB X2 or 12 1GB SFP PORTS, WS-X4606-X2-E++=, MRN234273</v>
      </c>
      <c r="D99" s="174">
        <f>Data!R102</f>
        <v>0</v>
      </c>
      <c r="E99" s="28"/>
    </row>
    <row r="100" spans="1:5" s="25" customFormat="1">
      <c r="A100" s="662"/>
      <c r="B100" s="391" t="str">
        <f>Data!Q103</f>
        <v>WS-X4640-CSFP-E++=</v>
      </c>
      <c r="C100" s="171" t="str">
        <f>Data!P103</f>
        <v>SWITCH MODULE, CISCO CATALYST 4500 NETWORK MODULE, 40 SFP or 80 C-SFP PORTS, WS-X4640-CSFP-E++=, MRN234271</v>
      </c>
      <c r="D100" s="174">
        <f>Data!R103</f>
        <v>8982.2800000000007</v>
      </c>
      <c r="E100" s="28"/>
    </row>
    <row r="101" spans="1:5" s="25" customFormat="1">
      <c r="A101" s="662"/>
      <c r="B101" s="391" t="str">
        <f>Data!Q104</f>
        <v>MRN223249</v>
      </c>
      <c r="C101" s="171" t="str">
        <f>Data!P104</f>
        <v>SWITCH, CISCO CATALYST 6500 E BUNDLE, 3-SLOT CHASSIS, DUAL 1400W PS, SUP VS-S2T-10G, WS-C6503-E-1400W, MRN223249</v>
      </c>
      <c r="D101" s="174">
        <f>Data!R104</f>
        <v>14805.690000000002</v>
      </c>
      <c r="E101" s="28"/>
    </row>
    <row r="102" spans="1:5" s="25" customFormat="1">
      <c r="A102" s="662"/>
      <c r="B102" s="391" t="str">
        <f>Data!Q105</f>
        <v>MRN223255</v>
      </c>
      <c r="C102" s="171" t="str">
        <f>Data!P105</f>
        <v>SWITCH, CISCO CATALYST 6500 E BUNDLE, 6-SLOT CHASSIS, DUAL 3000W PS, SUP VS-S2T-10G, WS-C6506-E-3000W, MRN223255</v>
      </c>
      <c r="D102" s="174">
        <f>Data!R105</f>
        <v>17235.800000000003</v>
      </c>
      <c r="E102" s="28"/>
    </row>
    <row r="103" spans="1:5" s="25" customFormat="1">
      <c r="A103" s="662"/>
      <c r="B103" s="391" t="str">
        <f>Data!Q106</f>
        <v>MRN227798</v>
      </c>
      <c r="C103" s="171" t="str">
        <f>Data!P106</f>
        <v>SWITCH, CISCO CATALYST 6500 E BUNDLE, 6-SLOT CHASSIS, DUAL 4000W PS, SUP VS-S2T-10G, WS-C6506-E-4000W, MRN227798</v>
      </c>
      <c r="D103" s="174">
        <f>Data!R106</f>
        <v>19787.420000000002</v>
      </c>
      <c r="E103" s="28"/>
    </row>
    <row r="104" spans="1:5" s="25" customFormat="1">
      <c r="A104" s="662"/>
      <c r="B104" s="391" t="str">
        <f>Data!Q107</f>
        <v>MRN223256</v>
      </c>
      <c r="C104" s="171" t="str">
        <f>Data!P107</f>
        <v>SWITCH, CISCO CATALYST 6500 E BUNDLE, 9-SLOT CHASSIS, DUAL 3000W PS, SUP VS-S2T-10G, WS-C6509-E-3000W, MRN223256</v>
      </c>
      <c r="D104" s="174">
        <f>Data!R107</f>
        <v>19034.050000000003</v>
      </c>
      <c r="E104" s="28"/>
    </row>
    <row r="105" spans="1:5" s="25" customFormat="1">
      <c r="A105" s="662"/>
      <c r="B105" s="391" t="str">
        <f>Data!Q108</f>
        <v>MRN224735</v>
      </c>
      <c r="C105" s="171" t="str">
        <f>Data!P108</f>
        <v>SWITCH, CISCO CATALYST 6500 E BUNDLE, 9-SLOT CHASSIS, DUAL 4000W PS, SUP VS-S2T-10G, WS-C6509-E-4000W, MRN224735</v>
      </c>
      <c r="D105" s="174">
        <f>Data!R108</f>
        <v>21585.670000000002</v>
      </c>
      <c r="E105" s="28"/>
    </row>
    <row r="106" spans="1:5" s="25" customFormat="1">
      <c r="A106" s="662"/>
      <c r="B106" s="391" t="str">
        <f>Data!Q109</f>
        <v>VS-S2T-10G=</v>
      </c>
      <c r="C106" s="171" t="str">
        <f>Data!P109</f>
        <v>SWITCH MODULE, CISCO CATALYST 6500 SUPERVISOR ENGINE, 2 10GB X2 PORTS,  3 SFP+ PORTS, ADV IP SERVICES, VS-S2T-10G=, MRN226425</v>
      </c>
      <c r="D106" s="174">
        <f>Data!R109</f>
        <v>19350</v>
      </c>
      <c r="E106" s="28"/>
    </row>
    <row r="107" spans="1:5" s="25" customFormat="1">
      <c r="A107" s="662"/>
      <c r="B107" s="391" t="str">
        <f>Data!Q110</f>
        <v>WS-X6848-TX-2T++=</v>
      </c>
      <c r="C107" s="171" t="str">
        <f>Data!P110</f>
        <v>SWITCH MODULE, CISCO CATALYST 6500 NETWORK MODULE, 48 10/100/1000 RJ-45 PORTS, DFC4 S, WS-X6848-TX-2T++=, MRN223389</v>
      </c>
      <c r="D107" s="174">
        <f>Data!R110</f>
        <v>6754.78</v>
      </c>
      <c r="E107" s="28"/>
    </row>
    <row r="108" spans="1:5" s="25" customFormat="1">
      <c r="A108" s="662"/>
      <c r="B108" s="391" t="str">
        <f>Data!Q111</f>
        <v>WS-X6824-SFP-2T++=</v>
      </c>
      <c r="C108" s="171" t="str">
        <f>Data!P111</f>
        <v>SWITCH MODULE, CISCO CATALYST 6500 NETWORK MODULE, 24 SFP PORTS, DFC4 S, WS-X6824-SFP-2T++=, MRN223386</v>
      </c>
      <c r="D108" s="174">
        <f>Data!R111</f>
        <v>6755.75</v>
      </c>
      <c r="E108" s="28"/>
    </row>
    <row r="109" spans="1:5" s="25" customFormat="1">
      <c r="A109" s="662"/>
      <c r="B109" s="391" t="str">
        <f>Data!Q112</f>
        <v>WS-X6848-SFP-2T++=</v>
      </c>
      <c r="C109" s="171" t="str">
        <f>Data!P112</f>
        <v>SWITCH MODULE, CISCO CATALYST 6500 NETWORK MODULE, 48 SFP PORTS, WS-F6K-DFC4-A, WS-X6848-SFP-2T++=, MRN224742</v>
      </c>
      <c r="D109" s="174">
        <f>Data!R112</f>
        <v>11250</v>
      </c>
      <c r="E109" s="28"/>
    </row>
    <row r="110" spans="1:5" s="25" customFormat="1" ht="13" thickBot="1">
      <c r="A110" s="662"/>
      <c r="B110" s="391" t="str">
        <f>Data!Q113</f>
        <v>END-OF-SALE</v>
      </c>
      <c r="C110" s="171" t="str">
        <f>Data!P113</f>
        <v>SWITCH MODULE, CISCO CATALYST 6500 NETWORK MODULE, 16 10GE PORTS, WS-F6K-DFC4-E, WS-X6816-10G-2T++=, MRN220784</v>
      </c>
      <c r="D110" s="174">
        <f>Data!R113</f>
        <v>0</v>
      </c>
      <c r="E110" s="28"/>
    </row>
    <row r="111" spans="1:5" s="25" customFormat="1" ht="20.149999999999999" customHeight="1">
      <c r="A111" s="663" t="s">
        <v>257</v>
      </c>
      <c r="B111" s="652" t="str">
        <f>Data!P114</f>
        <v>Transceivers</v>
      </c>
      <c r="C111" s="653"/>
      <c r="D111" s="654"/>
      <c r="E111" s="28"/>
    </row>
    <row r="112" spans="1:5" s="25" customFormat="1">
      <c r="A112" s="664"/>
      <c r="B112" s="395" t="str">
        <f>Data!Q115</f>
        <v>AO-10G-SFPP-LR</v>
      </c>
      <c r="C112" s="249" t="str">
        <f>Data!P115</f>
        <v>TRANSCEIVER, ADVANTAGE OPTICS SFP, AOPROVANTAGE 10GE LR, LC CONNECTOR, AO-10G-SFPP-LR, MRN229023</v>
      </c>
      <c r="D112" s="250">
        <f>Data!R115</f>
        <v>1431.7</v>
      </c>
      <c r="E112" s="28"/>
    </row>
    <row r="113" spans="1:5" s="25" customFormat="1">
      <c r="A113" s="664"/>
      <c r="B113" s="395" t="str">
        <f>Data!Q116</f>
        <v>AO-E1MG-LX-OM</v>
      </c>
      <c r="C113" s="249" t="str">
        <f>Data!P116</f>
        <v>TRANSCEIVER, ADVANTAGE OPTICS SFP, 1000BASE-LX, LC CONNECTOR, AO-E1MG-LX-OM, MRN234291</v>
      </c>
      <c r="D113" s="250">
        <f>Data!R116</f>
        <v>576.29999999999995</v>
      </c>
      <c r="E113" s="28"/>
    </row>
    <row r="114" spans="1:5" s="25" customFormat="1">
      <c r="A114" s="664"/>
      <c r="B114" s="395" t="str">
        <f>Data!Q117</f>
        <v>10G-SFPP-LR-SA</v>
      </c>
      <c r="C114" s="249" t="str">
        <f>Data!P117</f>
        <v>TRANSCEIVER, BROCADE SFP+, 10GBASE-LR, SMF, LC CONNECTOR, 10G-SFPP-LR-SA, MRN238521</v>
      </c>
      <c r="D114" s="250">
        <f>Data!R117</f>
        <v>1431.7</v>
      </c>
      <c r="E114" s="28"/>
    </row>
    <row r="115" spans="1:5" s="25" customFormat="1">
      <c r="A115" s="664"/>
      <c r="B115" s="395" t="str">
        <f>Data!Q118</f>
        <v>10G-SFPP-SR-SA</v>
      </c>
      <c r="C115" s="249" t="str">
        <f>Data!P118</f>
        <v>TRANSCEIVER, BROCADE SFP+, 10GBASE-SR, MMF, LC CONNECTOR, 10G-SFPP-SR-SA, MRN239982</v>
      </c>
      <c r="D115" s="250">
        <f>Data!R118</f>
        <v>498.3</v>
      </c>
      <c r="E115" s="28"/>
    </row>
    <row r="116" spans="1:5" s="25" customFormat="1">
      <c r="A116" s="664"/>
      <c r="B116" s="395" t="str">
        <f>Data!Q119</f>
        <v>E1MG-100FX-A</v>
      </c>
      <c r="C116" s="249" t="str">
        <f>Data!P119</f>
        <v>TRANSCEIVER, BROCADE SFP, 100BASE-FX, MMF, LC CONNECTOR, E1MG-100FX-A, MRN238523</v>
      </c>
      <c r="D116" s="250">
        <f>Data!R119</f>
        <v>105.7</v>
      </c>
      <c r="E116" s="28"/>
    </row>
    <row r="117" spans="1:5" s="25" customFormat="1">
      <c r="A117" s="664"/>
      <c r="B117" s="395" t="str">
        <f>Data!Q120</f>
        <v>E1MG-LX-A</v>
      </c>
      <c r="C117" s="249" t="str">
        <f>Data!P120</f>
        <v>TRANSCEIVER, BROCADE SFP, 1000BASE-LX, SMF, LC CONNECTOR, E1MG-LX-A, MRN238522</v>
      </c>
      <c r="D117" s="250">
        <f>Data!R120</f>
        <v>576.29999999999995</v>
      </c>
      <c r="E117" s="28"/>
    </row>
    <row r="118" spans="1:5" s="25" customFormat="1">
      <c r="A118" s="664"/>
      <c r="B118" s="395" t="str">
        <f>Data!Q121</f>
        <v>E1MG-SX-A</v>
      </c>
      <c r="C118" s="249" t="str">
        <f>Data!P121</f>
        <v>TRANSCEIVER, BROCADE SFP, 1000BASE-SX, MMF, LC CONNECTOR, E1MG-SX-A, MRN221842</v>
      </c>
      <c r="D118" s="250">
        <f>Data!R121</f>
        <v>277.3</v>
      </c>
      <c r="E118" s="28"/>
    </row>
    <row r="119" spans="1:5" s="25" customFormat="1">
      <c r="A119" s="664"/>
      <c r="B119" s="395" t="str">
        <f>Data!Q122</f>
        <v>E1MG-TX-A</v>
      </c>
      <c r="C119" s="249" t="str">
        <f>Data!P122</f>
        <v>TRANSCEIVER, BROCADE SFP, 1000BASE-TX, Copper, RJ-45 Connector, E1MG-TX-A, MRN230277</v>
      </c>
      <c r="D119" s="250">
        <f>Data!R122</f>
        <v>191.50000000000003</v>
      </c>
      <c r="E119" s="28"/>
    </row>
    <row r="120" spans="1:5" s="25" customFormat="1">
      <c r="A120" s="664"/>
      <c r="B120" s="395" t="str">
        <f>Data!Q123</f>
        <v>CVR-X2-SFP=</v>
      </c>
      <c r="C120" s="249" t="str">
        <f>Data!P123</f>
        <v>TRANSCEIVER CONVERTER, CISCO TWINGIG CONVERTER MODULE, CVR-X2-SFP=, MRN221182</v>
      </c>
      <c r="D120" s="250">
        <f>Data!R123</f>
        <v>114.15</v>
      </c>
      <c r="E120" s="28"/>
    </row>
    <row r="121" spans="1:5" s="25" customFormat="1">
      <c r="A121" s="664"/>
      <c r="B121" s="395" t="str">
        <f>Data!Q124</f>
        <v>GLC-LH-SMD++=</v>
      </c>
      <c r="C121" s="249" t="str">
        <f>Data!P124</f>
        <v>TRANSCEIVER, CISCO SFP, 1000BASE-LX/LH, SMF, LC CONNECTOR, GLC-LH-SMD++=, MRN220968</v>
      </c>
      <c r="D121" s="250">
        <f>Data!R124</f>
        <v>510.15</v>
      </c>
      <c r="E121" s="28"/>
    </row>
    <row r="122" spans="1:5" s="25" customFormat="1">
      <c r="A122" s="664"/>
      <c r="B122" s="391" t="str">
        <f>Data!Q125</f>
        <v>GLC-SX-MMD++=</v>
      </c>
      <c r="C122" s="171" t="str">
        <f>Data!P125</f>
        <v>TRANSCEIVER, CISCO SFP, 1000BASE-SX MMF, LC CONNECTOR, GLC-SX-MMD++=, MRN226864</v>
      </c>
      <c r="D122" s="174">
        <f>Data!R125</f>
        <v>264.3</v>
      </c>
      <c r="E122" s="28"/>
    </row>
    <row r="123" spans="1:5" s="25" customFormat="1">
      <c r="A123" s="664"/>
      <c r="B123" s="391" t="str">
        <f>Data!Q126</f>
        <v>GLC-T++=</v>
      </c>
      <c r="C123" s="171" t="str">
        <f>Data!P126</f>
        <v>TRANSCEIVER, CISCO SFP, 1000BASE-T, RJ-45 CONNECTOR, GLC-T++=, MRN220969</v>
      </c>
      <c r="D123" s="174">
        <f>Data!R126</f>
        <v>209.7</v>
      </c>
      <c r="E123" s="28"/>
    </row>
    <row r="124" spans="1:5" s="25" customFormat="1">
      <c r="A124" s="664"/>
      <c r="B124" s="391" t="str">
        <f>Data!Q127</f>
        <v>SFP-10G-LR++=</v>
      </c>
      <c r="C124" s="171" t="str">
        <f>Data!P127</f>
        <v>TRANSCEIVER, CISCO SFP, 10GBASE-LR, SMF, LC CONNECTOR, SFP-10G-LR++=, MRN220205</v>
      </c>
      <c r="D124" s="174">
        <f>Data!R127</f>
        <v>2081.6999999999998</v>
      </c>
      <c r="E124" s="28"/>
    </row>
    <row r="125" spans="1:5" s="25" customFormat="1">
      <c r="A125" s="664"/>
      <c r="B125" s="391" t="str">
        <f>Data!Q128</f>
        <v>SFP-10G-SR++=</v>
      </c>
      <c r="C125" s="171" t="str">
        <f>Data!P128</f>
        <v>TRANSCEIVER, CISCO SFP, 10GBASE-SR, MMF, LC CONNECTOR, SFP-10G-SR++=, MRN220206</v>
      </c>
      <c r="D125" s="174">
        <f>Data!R128</f>
        <v>521.70000000000005</v>
      </c>
      <c r="E125" s="28"/>
    </row>
    <row r="126" spans="1:5" s="25" customFormat="1">
      <c r="A126" s="664"/>
      <c r="B126" s="391" t="str">
        <f>Data!Q129</f>
        <v>X2-10GB-LR++=</v>
      </c>
      <c r="C126" s="171" t="str">
        <f>Data!P129</f>
        <v>TRANSCEIVER, CISCO X2, 10GBASE-LR, SMF, SC CONNECTOR, X2-10GB-LR++=, MRN221237</v>
      </c>
      <c r="D126" s="174">
        <f>Data!R129</f>
        <v>2084.3000000000002</v>
      </c>
      <c r="E126" s="28"/>
    </row>
    <row r="127" spans="1:5" s="25" customFormat="1">
      <c r="A127" s="664"/>
      <c r="B127" s="391" t="str">
        <f>Data!Q130</f>
        <v>X2-10GB-SR++=</v>
      </c>
      <c r="C127" s="171" t="str">
        <f>Data!P130</f>
        <v>TRANSCEIVER, CISCO X2, 10GBASE-SR, MMF, SC CONNECTOR, X2-10GB-SR++=, MRN220207</v>
      </c>
      <c r="D127" s="174">
        <f>Data!R130</f>
        <v>1042.83</v>
      </c>
      <c r="E127" s="28"/>
    </row>
    <row r="128" spans="1:5" s="25" customFormat="1">
      <c r="A128" s="664"/>
      <c r="B128" s="395" t="str">
        <f>Data!Q131</f>
        <v>XFP-10G-MM-SR=</v>
      </c>
      <c r="C128" s="249" t="str">
        <f>Data!P131</f>
        <v>TRANSCEIVER, CISCO XFP, 10GBASE-SR , MMF, LC CONNECTOR, XFP-10G-MM-SR=, MRN227350</v>
      </c>
      <c r="D128" s="250">
        <f>Data!R131</f>
        <v>1041.7</v>
      </c>
      <c r="E128" s="28"/>
    </row>
    <row r="129" spans="1:5" s="25" customFormat="1" ht="13" thickBot="1">
      <c r="A129" s="665"/>
      <c r="B129" s="395" t="str">
        <f>Data!Q132</f>
        <v>SRX-SFP-1GE-SX</v>
      </c>
      <c r="C129" s="249" t="str">
        <f>Data!P132</f>
        <v>TRANSCEIVER, JUNIPER SRX SFP, 1000BASE-SX, MMF, LC CONNECTOR, SRX-SFP-1GE-SX, MRN226171</v>
      </c>
      <c r="D129" s="250">
        <f>Data!R132</f>
        <v>297.29000000000002</v>
      </c>
      <c r="E129" s="28"/>
    </row>
    <row r="130" spans="1:5" s="25" customFormat="1" ht="20.149999999999999" customHeight="1">
      <c r="A130" s="666" t="s">
        <v>255</v>
      </c>
      <c r="B130" s="655" t="str">
        <f>Data!P133</f>
        <v>Routers and Other Active Gear</v>
      </c>
      <c r="C130" s="656"/>
      <c r="D130" s="657"/>
      <c r="E130" s="28"/>
    </row>
    <row r="131" spans="1:5" s="25" customFormat="1" ht="12.75" customHeight="1">
      <c r="A131" s="667"/>
      <c r="B131" s="302" t="str">
        <f>Data!Q134</f>
        <v>MRN223135</v>
      </c>
      <c r="C131" s="173" t="str">
        <f>Data!P134</f>
        <v>ROUTER, CISCO 2911/K9 BUNDLE, 3 GE, 4 EHWIC, 2 DSP, 1 SM, 512MB CF, 1GB DRAM, MRN223135</v>
      </c>
      <c r="D131" s="176">
        <f>Data!R134</f>
        <v>1545.18</v>
      </c>
      <c r="E131" s="28"/>
    </row>
    <row r="132" spans="1:5" s="25" customFormat="1">
      <c r="A132" s="667"/>
      <c r="B132" s="302" t="str">
        <f>Data!Q135</f>
        <v>MRN226431</v>
      </c>
      <c r="C132" s="173" t="str">
        <f>Data!P135</f>
        <v>ROUTER, CISCO 2911/K9 BUNDLE, 3 GE, 4 EHWIC, 2 DSP, 1 SM, 512MB CF, 1.5GB DRAM, APPX LICENSE, MRN226431</v>
      </c>
      <c r="D132" s="176">
        <f>Data!R135</f>
        <v>2175.75</v>
      </c>
      <c r="E132" s="28"/>
    </row>
    <row r="133" spans="1:5" s="25" customFormat="1">
      <c r="A133" s="667"/>
      <c r="B133" s="302" t="str">
        <f>Data!Q136</f>
        <v>MRN223137</v>
      </c>
      <c r="C133" s="173" t="str">
        <f>Data!P136</f>
        <v>ROUTER, CISCO 2921/K9 BUNDLE, 3 GE, 4 EHWIC, 3 DSP, 1 SM, 512MB CF, 1.5GB DRAM, CISCO2921/K9, MRN223137</v>
      </c>
      <c r="D133" s="176">
        <f>Data!R136</f>
        <v>1747.59</v>
      </c>
      <c r="E133" s="28"/>
    </row>
    <row r="134" spans="1:5" s="25" customFormat="1">
      <c r="A134" s="667"/>
      <c r="B134" s="302" t="str">
        <f>Data!Q137</f>
        <v>MRN226430</v>
      </c>
      <c r="C134" s="173" t="str">
        <f>Data!P137</f>
        <v>ROUTER, CISCO 2921/K9 BUNDLE, 3 GE, 4 EHWIC, 3 DSP, 1 SM, 512MB CF, 1.5GB DRAM, APPX LICENSE, MRN226430</v>
      </c>
      <c r="D134" s="176">
        <f>Data!R137</f>
        <v>2387.59</v>
      </c>
      <c r="E134" s="28"/>
    </row>
    <row r="135" spans="1:5" s="25" customFormat="1">
      <c r="A135" s="667"/>
      <c r="B135" s="302" t="str">
        <f>Data!Q138</f>
        <v>MRN237955</v>
      </c>
      <c r="C135" s="173" t="str">
        <f>Data!P138</f>
        <v>ROUTER, CISCO 2921/K9 BUNDLE, 3 GE, 4 EHWIC, 3 DSP, 1 SM, 512MB CF, 1.5GB DRAM, APPX LICENSE, SM-ES2-24, MRN237955</v>
      </c>
      <c r="D135" s="176">
        <f>Data!R138</f>
        <v>3277.87</v>
      </c>
      <c r="E135" s="28"/>
    </row>
    <row r="136" spans="1:5" s="25" customFormat="1">
      <c r="A136" s="667"/>
      <c r="B136" s="302" t="str">
        <f>Data!Q139</f>
        <v>MRN221769</v>
      </c>
      <c r="C136" s="173" t="str">
        <f>Data!P139</f>
        <v>ROUTER, CISCO 2921/K9 BUNDLE, 3 GE, 4 EHWIC, 3 DSP, 1 SM, 1GB CF, 1GB DRAM, GLC-FE-100FX, RPS-ADPRT, 2 VWIC3-1MFT-T1/E1, EHWIC-1GE-SFP-CU,  MRN221769</v>
      </c>
      <c r="D136" s="176">
        <f>Data!R139</f>
        <v>3562.2799999999997</v>
      </c>
      <c r="E136" s="28"/>
    </row>
    <row r="137" spans="1:5" s="25" customFormat="1">
      <c r="A137" s="667"/>
      <c r="B137" s="302" t="str">
        <f>Data!Q140</f>
        <v>MRN226868</v>
      </c>
      <c r="C137" s="173" t="str">
        <f>Data!P140</f>
        <v>ROUTER, CISCO 2921-SEC BUNDLE, 3 GE, 4 EHWIC, 3 DSP, 1 SM, 1GB CF, 1GB DRAM, CISCO2921-SEC/K9, MRN226868</v>
      </c>
      <c r="D137" s="176">
        <f>Data!R140</f>
        <v>2511.25</v>
      </c>
      <c r="E137" s="28"/>
    </row>
    <row r="138" spans="1:5" s="25" customFormat="1">
      <c r="A138" s="667"/>
      <c r="B138" s="302" t="str">
        <f>Data!Q141</f>
        <v>Cisco3925/K9</v>
      </c>
      <c r="C138" s="173" t="str">
        <f>Data!P141</f>
        <v>ROUTER, CISCO 3925 BUNDLE, 3 GE, 4 EHWIC, 4 DSP, 2 SM, 512MB CF, 2GB DRAM, DUAL PS, CISCO3925/K9, MRN222258</v>
      </c>
      <c r="D138" s="176">
        <f>Data!R141</f>
        <v>5053.25</v>
      </c>
      <c r="E138" s="28"/>
    </row>
    <row r="139" spans="1:5" s="25" customFormat="1">
      <c r="A139" s="667"/>
      <c r="B139" s="302" t="str">
        <f>Data!Q142</f>
        <v>Cisco3925/K9</v>
      </c>
      <c r="C139" s="173" t="str">
        <f>Data!P142</f>
        <v>ROUTER, CISCO 3925 BUNDLE, 3 GE, 4 EHWIC, 4 DSP, 2 SM, 512MB CF, 2GB DRAM, DUAL PS, APPX LICENSE, CISCO3925/K9, MRN224244</v>
      </c>
      <c r="D139" s="176">
        <f>Data!R142</f>
        <v>6333.25</v>
      </c>
      <c r="E139" s="28"/>
    </row>
    <row r="140" spans="1:5" s="25" customFormat="1">
      <c r="A140" s="667"/>
      <c r="B140" s="302" t="str">
        <f>Data!Q143</f>
        <v>MRN224767</v>
      </c>
      <c r="C140" s="173" t="str">
        <f>Data!P143</f>
        <v>ROUTER, CISCO 3945 BUNDLE, 3 GE, 4 EHWIC, 4 DSP, 2 SM, 512MB CF, 2GB DRAM, DUAL PS, CISCO3945/K9, MRN224767</v>
      </c>
      <c r="D140" s="176">
        <f>Data!R143</f>
        <v>5053.25</v>
      </c>
      <c r="E140" s="28"/>
    </row>
    <row r="141" spans="1:5" s="25" customFormat="1">
      <c r="A141" s="667"/>
      <c r="B141" s="302" t="str">
        <f>Data!Q144</f>
        <v>MRN226217</v>
      </c>
      <c r="C141" s="173" t="str">
        <f>Data!P144</f>
        <v>ROUTER, CISCO 3945 BUNDLE, 3 GE, 4 EHWIC, 4 DSP, 2 SM, 512MB CF, 2GB DRAM, DUAL PS, APPX LICENSE, CISCO3945/K9, MRN226217</v>
      </c>
      <c r="D141" s="176">
        <f>Data!R144</f>
        <v>6333.25</v>
      </c>
      <c r="E141" s="28"/>
    </row>
    <row r="142" spans="1:5" s="25" customFormat="1">
      <c r="A142" s="667"/>
      <c r="B142" s="302" t="str">
        <f>Data!Q145</f>
        <v>MRN226419</v>
      </c>
      <c r="C142" s="173" t="str">
        <f>Data!P145</f>
        <v>ROUTER, CISCO ASR1001-X BUNDLE, 6 GE, 8GB DRAM, DUAL P/S, ADV IP SERVICES LICENSE, ASR1001-X, MRN226419</v>
      </c>
      <c r="D142" s="176">
        <f>Data!R145</f>
        <v>13381.060000000001</v>
      </c>
      <c r="E142" s="28"/>
    </row>
    <row r="143" spans="1:5" s="25" customFormat="1">
      <c r="A143" s="667"/>
      <c r="B143" s="302" t="str">
        <f>Data!Q146</f>
        <v>MRN223179</v>
      </c>
      <c r="C143" s="173" t="str">
        <f>Data!P146</f>
        <v>ROUTER, CISCO ASR1002-X BUNDLE, 6 GE, 4GB DRAM, DUAL P/S, ADV IP SERVICES LICENSE, ASR1002-X, MRN223179</v>
      </c>
      <c r="D143" s="176">
        <f>Data!R146</f>
        <v>19930</v>
      </c>
      <c r="E143" s="28"/>
    </row>
    <row r="144" spans="1:5" s="25" customFormat="1">
      <c r="A144" s="667"/>
      <c r="B144" s="302" t="str">
        <f>Data!Q147</f>
        <v>EHWIC-D-8ESG=</v>
      </c>
      <c r="C144" s="173" t="str">
        <f>Data!P147</f>
        <v>ROUTER MODULE, CISCO NETWORK INTERFACE CARD, 8-PORT, 10/100/1000 ETHERNET SWITCH, EHWIC-D-8ESG=, MRN229177</v>
      </c>
      <c r="D144" s="176">
        <f>Data!R147</f>
        <v>373.3</v>
      </c>
      <c r="E144" s="28"/>
    </row>
    <row r="145" spans="1:5" s="25" customFormat="1">
      <c r="A145" s="667"/>
      <c r="B145" s="302" t="str">
        <f>Data!Q148</f>
        <v>VWIC3-2MFT-T1/E1=</v>
      </c>
      <c r="C145" s="173" t="str">
        <f>Data!P148</f>
        <v>ROUTER MODULE, CISCO VOICE/WAN MODULE, 2-PORT, 3RD GEN, MULTIFLEX TRUNK MODULE, VWIC3-2MFT-T1/E1=, MRN221891</v>
      </c>
      <c r="D145" s="176">
        <f>Data!R148</f>
        <v>1042.21</v>
      </c>
      <c r="E145" s="28"/>
    </row>
    <row r="146" spans="1:5" s="25" customFormat="1" ht="12.75" customHeight="1">
      <c r="A146" s="667"/>
      <c r="B146" s="302" t="str">
        <f>Data!Q149</f>
        <v>HWIC-1DSU-T1=</v>
      </c>
      <c r="C146" s="173" t="str">
        <f>Data!P149</f>
        <v>ROUTER MODULE, CISCO WAN INTERFACE CARD, 1-PORT, T1/FRACTIONAL T1 DSU/CSU, HWIC-1DSU-T1=, MRN224920</v>
      </c>
      <c r="D146" s="176">
        <f>Data!R149</f>
        <v>476.12</v>
      </c>
      <c r="E146" s="28"/>
    </row>
    <row r="147" spans="1:5" s="25" customFormat="1">
      <c r="A147" s="667"/>
      <c r="B147" s="302" t="str">
        <f>Data!Q150</f>
        <v>SM-X-1T3/E3++=</v>
      </c>
      <c r="C147" s="173" t="str">
        <f>Data!P150</f>
        <v>ROUTER MODULE, CISCO WAN MODULE, 1-PORT T3/E3 SERVICE MODULE, SM-X-1T3/E3++=, MRN223270</v>
      </c>
      <c r="D147" s="176">
        <f>Data!R150</f>
        <v>4411.8</v>
      </c>
      <c r="E147" s="28"/>
    </row>
    <row r="148" spans="1:5" s="25" customFormat="1">
      <c r="A148" s="667"/>
      <c r="B148" s="302" t="str">
        <f>Data!Q151</f>
        <v>PWR-RPS2300=</v>
      </c>
      <c r="C148" s="173" t="str">
        <f>Data!P151</f>
        <v>REDUNDANT POWER SYSTEM, CISCO RPS2300, RPS 2300 CHASSIS, BLOWER, PS BLANK, PWR-RPS2300=, MRN218423</v>
      </c>
      <c r="D148" s="176">
        <f>Data!R151</f>
        <v>744</v>
      </c>
      <c r="E148" s="28"/>
    </row>
    <row r="149" spans="1:5" s="25" customFormat="1">
      <c r="A149" s="667"/>
      <c r="B149" s="302" t="str">
        <f>Data!Q152</f>
        <v>MRN224745</v>
      </c>
      <c r="C149" s="173" t="str">
        <f>Data!P152</f>
        <v>REDUNDANT POWER SYSTEM, CISCO RPS2300 BUNDLE, RPS 2300 CHASSIS, BLOWER, DUAL C3K-PWR-750WAC, CAB-RPS2300-E, PWR-RPS2300, MRN224745</v>
      </c>
      <c r="D149" s="176">
        <f>Data!R152</f>
        <v>1703.7599999999998</v>
      </c>
      <c r="E149" s="28"/>
    </row>
    <row r="150" spans="1:5" s="25" customFormat="1" ht="12.75" customHeight="1">
      <c r="A150" s="667"/>
      <c r="B150" s="302" t="str">
        <f>Data!Q153</f>
        <v>MRN226432</v>
      </c>
      <c r="C150" s="173" t="str">
        <f>Data!P153</f>
        <v>REDUNDANT POWER SYSTEM, CISCO RPS2300 BUNDLE, RPS 2300 CHASSIS, BLOWER, DUAL C3K-PWR-1150WAC, CAB-RPS2300-E, PWR-RPS2300, MRN226432</v>
      </c>
      <c r="D150" s="176">
        <f>Data!R153</f>
        <v>2376.14</v>
      </c>
      <c r="E150" s="28"/>
    </row>
    <row r="151" spans="1:5" s="25" customFormat="1" ht="12.75" customHeight="1">
      <c r="A151" s="667"/>
      <c r="B151" s="302" t="str">
        <f>Data!Q154</f>
        <v>SRX210HE2-TAA</v>
      </c>
      <c r="C151" s="173" t="str">
        <f>Data!P154</f>
        <v>SERVICES GATEWAY, JUNIPER SRX210, 2 GE PORTS, 6 FE PORTS, PIM SLOT,  2GB DRAM, 2GB FLASH, SRX210HE2-TAA, MRN227756</v>
      </c>
      <c r="D151" s="176">
        <f>Data!R154</f>
        <v>1057.8900000000001</v>
      </c>
      <c r="E151" s="28"/>
    </row>
    <row r="152" spans="1:5" s="25" customFormat="1">
      <c r="A152" s="667"/>
      <c r="B152" s="302" t="str">
        <f>Data!Q155</f>
        <v>SRX550-645AP-TAA</v>
      </c>
      <c r="C152" s="173" t="str">
        <f>Data!P155</f>
        <v>SERVICES GATEWAY, JUNIPER SRX 550 BUNDLE, 6 10/100/1000 RJ-45 PORTS, 4 SFP PORTS, 645W AC POE PS, RACK MOUNT KIT, SRX550-645AP-TAA, MRN227757</v>
      </c>
      <c r="D152" s="176">
        <f>Data!R155</f>
        <v>8328.48</v>
      </c>
      <c r="E152" s="28"/>
    </row>
    <row r="153" spans="1:5" s="25" customFormat="1">
      <c r="A153" s="667"/>
      <c r="B153" s="302" t="str">
        <f>Data!Q156</f>
        <v>SRX650B-SRE6-645AP-TAA</v>
      </c>
      <c r="C153" s="173" t="str">
        <f>Data!P156</f>
        <v>SERVICES GATEWAY, JUNIPER SRX 650 BUNDLE, 4 10/100/1000 RJ-45 PORTS, 645W AC POE PS, RACK MOUNT KIT, SRX650B-SRE6-645AP-TAA, MRN227651</v>
      </c>
      <c r="D153" s="176">
        <f>Data!R156</f>
        <v>12410.83</v>
      </c>
      <c r="E153" s="28"/>
    </row>
    <row r="154" spans="1:5" s="25" customFormat="1">
      <c r="A154" s="667"/>
      <c r="B154" s="302" t="str">
        <f>Data!Q157</f>
        <v>SRX3600BASE-AC</v>
      </c>
      <c r="C154" s="173" t="str">
        <f>Data!P157</f>
        <v>SERVICES GATEWAY, JUNIPER SRX 3600 CHASSIS, FAN,  ROUTING ENGINE,  SFB-12GE, SRX3600BASE-AC, MRN227758</v>
      </c>
      <c r="D154" s="176">
        <f>Data!R157</f>
        <v>17377.5</v>
      </c>
      <c r="E154" s="28"/>
    </row>
    <row r="155" spans="1:5" s="25" customFormat="1">
      <c r="A155" s="667"/>
      <c r="B155" s="302" t="str">
        <f>Data!Q158</f>
        <v>SRX1K3K-NP-2XGE-SFPP</v>
      </c>
      <c r="C155" s="173" t="str">
        <f>Data!P158</f>
        <v>CONTROL PROCESSOR, JUNIPER, 2 10GE SFP+ PORTS, INTEGRATED NPC AND IOC, SRX1K3K-NP-2XGE-SFPP, MRN226155</v>
      </c>
      <c r="D155" s="176">
        <f>Data!R158</f>
        <v>14884.41</v>
      </c>
      <c r="E155" s="28"/>
    </row>
    <row r="156" spans="1:5" s="25" customFormat="1">
      <c r="A156" s="667"/>
      <c r="B156" s="302" t="str">
        <f>Data!Q159</f>
        <v>SRX3K-CRM</v>
      </c>
      <c r="C156" s="173" t="str">
        <f>Data!P159</f>
        <v>GATEWAY MODULE, JUNIPER SRX 3600 CLUSTERING MODULE, SRX3K-CRM, MRN231759</v>
      </c>
      <c r="D156" s="176">
        <f>Data!R159</f>
        <v>2484.41</v>
      </c>
      <c r="E156" s="28"/>
    </row>
    <row r="157" spans="1:5" s="25" customFormat="1">
      <c r="A157" s="667"/>
      <c r="B157" s="302" t="str">
        <f>Data!Q160</f>
        <v>SRX3K-SFB-12GE</v>
      </c>
      <c r="C157" s="173" t="str">
        <f>Data!P160</f>
        <v>GATEWAY MODULE, JUNIPER SRX 3600 NETWORK MODULE, 8 10/100/1000 RJ-45 PORTS, 4 SFP PORTS, SRX3K-SFB-12GE, MRN226167</v>
      </c>
      <c r="D157" s="176">
        <f>Data!R160</f>
        <v>8239.91</v>
      </c>
      <c r="E157" s="28"/>
    </row>
    <row r="158" spans="1:5" s="25" customFormat="1">
      <c r="A158" s="667"/>
      <c r="B158" s="302" t="str">
        <f>Data!Q161</f>
        <v>SRX3K-NPC</v>
      </c>
      <c r="C158" s="173" t="str">
        <f>Data!P161</f>
        <v>GATEWAY MODULE, JUNIPER SRX 3600 NETWORK PROCESSING CARD, SRX3K-NPC, MRN226161</v>
      </c>
      <c r="D158" s="176">
        <f>Data!R161</f>
        <v>6592.41</v>
      </c>
      <c r="E158" s="28"/>
    </row>
    <row r="159" spans="1:5" s="25" customFormat="1">
      <c r="A159" s="667"/>
      <c r="B159" s="302" t="str">
        <f>Data!Q162</f>
        <v>SRX3K-PWR-AC</v>
      </c>
      <c r="C159" s="173" t="str">
        <f>Data!P162</f>
        <v>GATEWAY MODULE, JUNIPER SRX 3600 POWER ENTRY MODULE, SRX3K-PWR-AC, MRN226163</v>
      </c>
      <c r="D159" s="176">
        <f>Data!R162</f>
        <v>1864.3</v>
      </c>
      <c r="E159" s="28"/>
    </row>
    <row r="160" spans="1:5" s="25" customFormat="1" ht="12.75" customHeight="1">
      <c r="A160" s="667"/>
      <c r="B160" s="302" t="str">
        <f>Data!Q163</f>
        <v>SRX3K-RE-12-10</v>
      </c>
      <c r="C160" s="173" t="str">
        <f>Data!P163</f>
        <v>GATEWAY MODULE, JUNIPER SRX 3600 ROUTING ENGINE, 1200MHZ PROCESSOR, 1GB MEMORY, SRX3K-RE-12-10, MRN226165</v>
      </c>
      <c r="D160" s="176">
        <f>Data!R163</f>
        <v>9924.41</v>
      </c>
      <c r="E160" s="28"/>
    </row>
    <row r="161" spans="1:5" s="25" customFormat="1">
      <c r="A161" s="667"/>
      <c r="B161" s="302" t="str">
        <f>Data!Q164</f>
        <v>SRX3K-SPC-1-10-40</v>
      </c>
      <c r="C161" s="173" t="str">
        <f>Data!P164</f>
        <v>GATEWAY MODULE, JUNIPER SRX 3600 SERVICES PROCESSING CARD, 1 GHz CPU,  4 GB RAM, SRX3K-SPC-1-10-40, MRN226168</v>
      </c>
      <c r="D161" s="176">
        <f>Data!R164</f>
        <v>12404.41</v>
      </c>
      <c r="E161" s="28"/>
    </row>
    <row r="162" spans="1:5" s="25" customFormat="1">
      <c r="A162" s="667"/>
      <c r="B162" s="302" t="str">
        <f>Data!Q165</f>
        <v>SRX600-PWR-645AC-POE</v>
      </c>
      <c r="C162" s="173" t="str">
        <f>Data!P165</f>
        <v>POWER SUPPLY, JUNIPER POWER SUPPLY FOR SRX550/SRX650, 645W AC, POE, SRX600-PWR-645AC-POE, MRN222899</v>
      </c>
      <c r="D162" s="176">
        <f>Data!R165</f>
        <v>562.41</v>
      </c>
      <c r="E162" s="28"/>
    </row>
    <row r="163" spans="1:5" s="25" customFormat="1">
      <c r="A163" s="667"/>
      <c r="B163" s="302" t="str">
        <f>Data!Q166</f>
        <v>END-OF-SALE</v>
      </c>
      <c r="C163" s="173" t="str">
        <f>Data!P166</f>
        <v>POWER CORD, JUNIPER AC POWER CABLE,  NEMA 5-15 TO C19 AT 70-80MM, 15A/125V, CBL-PWR-C19S-151-US15, MRN226153</v>
      </c>
      <c r="D163" s="176">
        <f>Data!R166</f>
        <v>0</v>
      </c>
      <c r="E163" s="28"/>
    </row>
    <row r="164" spans="1:5" s="25" customFormat="1">
      <c r="A164" s="667"/>
      <c r="B164" s="302" t="str">
        <f>Data!Q167</f>
        <v>SVC-ND-SRX210</v>
      </c>
      <c r="C164" s="173" t="str">
        <f>Data!P167</f>
        <v>WARRANTY SUPPORT, JUNIPER NEXT DAY SUPPORT FOR SRX210 CHASSIS, SVC-ND-SRX210, MRN228797</v>
      </c>
      <c r="D164" s="176">
        <f>Data!R167</f>
        <v>103.46</v>
      </c>
      <c r="E164" s="28"/>
    </row>
    <row r="165" spans="1:5" s="25" customFormat="1">
      <c r="A165" s="667"/>
      <c r="B165" s="302" t="str">
        <f>Data!Q168</f>
        <v>SVC-ND-SRX550</v>
      </c>
      <c r="C165" s="173" t="str">
        <f>Data!P168</f>
        <v>WARRANTY SUPPORT, JUNIPER NEXT DAY SUPPORT FOR SRX550, SVC-ND-SRX550, MRN228796</v>
      </c>
      <c r="D165" s="176">
        <f>Data!R168</f>
        <v>811.54</v>
      </c>
      <c r="E165" s="28"/>
    </row>
    <row r="166" spans="1:5" s="25" customFormat="1">
      <c r="A166" s="667"/>
      <c r="B166" s="302" t="str">
        <f>Data!Q169</f>
        <v>SVC-ND-SRX650</v>
      </c>
      <c r="C166" s="173" t="str">
        <f>Data!P169</f>
        <v>WARRANTY SUPPORT, JUNIPER NEXT DAY SUPPORT FOR JSRX650, SVC-ND-SRX650, MRN227588</v>
      </c>
      <c r="D166" s="176">
        <f>Data!R169</f>
        <v>1106.98</v>
      </c>
      <c r="E166" s="28"/>
    </row>
    <row r="167" spans="1:5" s="25" customFormat="1">
      <c r="A167" s="667"/>
      <c r="B167" s="302" t="str">
        <f>Data!Q170</f>
        <v>SVC-ND-SRX3600</v>
      </c>
      <c r="C167" s="173" t="str">
        <f>Data!P170</f>
        <v>WARRANTY SUPPORT, JUNIPER NEXT DAY SUPPORT FOR SRX3600 CHASSIS, SVC-ND-SRX3600, MRN226157</v>
      </c>
      <c r="D167" s="176">
        <f>Data!R170</f>
        <v>2069.13</v>
      </c>
      <c r="E167" s="28"/>
    </row>
    <row r="168" spans="1:5" s="25" customFormat="1">
      <c r="A168" s="667"/>
      <c r="B168" s="302" t="str">
        <f>Data!Q171</f>
        <v>SVC-ND-SRX3-IOC</v>
      </c>
      <c r="C168" s="173" t="str">
        <f>Data!P171</f>
        <v>WARRANTY SUPPORT, JUNIPER NEXT DAY SUPPORT FOR SRX3-IOC LINE CARD, SVC-ND-SRX3-IOC, MRN227580</v>
      </c>
      <c r="D168" s="176">
        <f>Data!R171</f>
        <v>743</v>
      </c>
      <c r="E168" s="28"/>
    </row>
    <row r="169" spans="1:5" s="25" customFormat="1">
      <c r="A169" s="667"/>
      <c r="B169" s="302" t="str">
        <f>Data!Q172</f>
        <v>SVC-ND-SRX3-NPC</v>
      </c>
      <c r="C169" s="173" t="str">
        <f>Data!P172</f>
        <v>WARRANTY SUPPORT, JUNIPER NEXT DAY SUPPORT FOR SRX3-NPC LINE CARD, SVC-ND-SRX3-NPC, MRN226158</v>
      </c>
      <c r="D169" s="176">
        <f>Data!R172</f>
        <v>743</v>
      </c>
      <c r="E169" s="28"/>
    </row>
    <row r="170" spans="1:5" s="25" customFormat="1">
      <c r="A170" s="667"/>
      <c r="B170" s="302" t="str">
        <f>Data!Q173</f>
        <v>SVC-ND-SRX3-SPC</v>
      </c>
      <c r="C170" s="173" t="str">
        <f>Data!P173</f>
        <v>WARRANTY SUPPORT, JUNIPER NEXT DAY SUPPORT FOR SRX3-SPC LINE CARD, SVC-ND-SRX3-SPC, MRN226159</v>
      </c>
      <c r="D170" s="176">
        <f>Data!R173</f>
        <v>1335.53</v>
      </c>
      <c r="E170" s="28"/>
    </row>
    <row r="171" spans="1:5" s="25" customFormat="1" ht="13" thickBot="1">
      <c r="A171" s="668"/>
      <c r="B171" s="302" t="str">
        <f>Data!Q174</f>
        <v>SVC-ND-SRX1K3KNP</v>
      </c>
      <c r="C171" s="173" t="str">
        <f>Data!P174</f>
        <v>WARRANTY SUPPORT, JUNIPER NEXT DAY SUPPORT FOR SRX1K3K-NP-2XGE-SFPP, SVC-ND-SRX1K3KNP, MRN226156</v>
      </c>
      <c r="D171" s="176">
        <f>Data!R174</f>
        <v>1468.17</v>
      </c>
      <c r="E171" s="28"/>
    </row>
    <row r="172" spans="1:5" s="25" customFormat="1" ht="20.149999999999999" customHeight="1">
      <c r="A172" s="669" t="s">
        <v>246</v>
      </c>
      <c r="B172" s="658" t="str">
        <f>Data!P175</f>
        <v>Media Conversion</v>
      </c>
      <c r="C172" s="659"/>
      <c r="D172" s="660"/>
      <c r="E172" s="28"/>
    </row>
    <row r="173" spans="1:5" s="25" customFormat="1">
      <c r="A173" s="670"/>
      <c r="B173" s="391" t="str">
        <f>Data!Q176</f>
        <v>850-14550</v>
      </c>
      <c r="C173" s="171" t="str">
        <f>Data!P176</f>
        <v>MEDIA CONVERTER, B+B SMARTWORX, IMCV-S2MM/155, SM1310/LONG-SC, MM1300-SC, 80KM, 850-14550, MRN226546</v>
      </c>
      <c r="D173" s="174">
        <f>Data!R176</f>
        <v>185.25</v>
      </c>
      <c r="E173" s="28"/>
    </row>
    <row r="174" spans="1:5" s="25" customFormat="1">
      <c r="A174" s="670"/>
      <c r="B174" s="391" t="str">
        <f>Data!Q177</f>
        <v>850-14570</v>
      </c>
      <c r="C174" s="171" t="str">
        <f>Data!P177</f>
        <v>MEDIA CONVERTER, B+B SMARTWORX, IMCV-S2MM/155, SM1310/PLUS-SC, MM850-SC, 850-14570, MRN226547</v>
      </c>
      <c r="D174" s="174">
        <f>Data!R177</f>
        <v>165.49</v>
      </c>
      <c r="E174" s="28"/>
    </row>
    <row r="175" spans="1:5" s="25" customFormat="1">
      <c r="A175" s="670"/>
      <c r="B175" s="391" t="str">
        <f>Data!Q178</f>
        <v>850-14530</v>
      </c>
      <c r="C175" s="171" t="str">
        <f>Data!P178</f>
        <v>MEDIA CONVERTER, B+B SMARTWORX, IMCV-S2MM/155, SM1310/PLUS-SC, MM1300-SC, 850-14530, MRN226545</v>
      </c>
      <c r="D175" s="174">
        <f>Data!R178</f>
        <v>161.85</v>
      </c>
      <c r="E175" s="28"/>
    </row>
    <row r="176" spans="1:5" s="25" customFormat="1">
      <c r="A176" s="670"/>
      <c r="B176" s="391" t="str">
        <f>Data!Q179</f>
        <v>855-10934</v>
      </c>
      <c r="C176" s="171" t="str">
        <f>Data!P179</f>
        <v>MEDIA CONVERTER, B+B SMARTWORX, MCBASIC, TX/FX-SM1310/LONG-SC, 855-10934, MRN226543</v>
      </c>
      <c r="D176" s="174">
        <f>Data!R179</f>
        <v>169.14</v>
      </c>
      <c r="E176" s="28"/>
    </row>
    <row r="177" spans="1:5" s="25" customFormat="1">
      <c r="A177" s="670"/>
      <c r="B177" s="391" t="str">
        <f>Data!Q180</f>
        <v>855-10932</v>
      </c>
      <c r="C177" s="171" t="str">
        <f>Data!P180</f>
        <v>MEDIA CONVERTER, B+B SMARTWORX, MCBASIC, TX/FX-SM1310/PLUS-SC, 855-10932, MRN226542</v>
      </c>
      <c r="D177" s="174">
        <f>Data!R180</f>
        <v>155.09</v>
      </c>
      <c r="E177" s="28"/>
    </row>
    <row r="178" spans="1:5" s="25" customFormat="1">
      <c r="A178" s="670"/>
      <c r="B178" s="391" t="str">
        <f>Data!Q181</f>
        <v>850-13100</v>
      </c>
      <c r="C178" s="171" t="str">
        <f>Data!P181</f>
        <v>CHASSIS, B+B SMARTWORX, MEDIACHASSIS/1, 1-SLOT, 850-13100, MRN226548</v>
      </c>
      <c r="D178" s="174">
        <f>Data!R181</f>
        <v>44.86</v>
      </c>
      <c r="E178" s="28"/>
    </row>
    <row r="179" spans="1:5" s="25" customFormat="1" ht="13" thickBot="1">
      <c r="A179" s="671"/>
      <c r="B179" s="394" t="str">
        <f>Data!Q182</f>
        <v>895-39949</v>
      </c>
      <c r="C179" s="198" t="str">
        <f>Data!P182</f>
        <v>RACKMOUNT SHELF, B+B SMARTWORX, MCBASIC/MEDIACHASSIS, 895-39949, MRN226549</v>
      </c>
      <c r="D179" s="199">
        <f>Data!R182</f>
        <v>25.2</v>
      </c>
      <c r="E179" s="28"/>
    </row>
    <row r="180" spans="1:5" s="25" customFormat="1" ht="20.149999999999999" customHeight="1">
      <c r="A180" s="640" t="s">
        <v>2215</v>
      </c>
      <c r="B180" s="649" t="str">
        <f>Data!P183</f>
        <v>Cabinets and Misc.</v>
      </c>
      <c r="C180" s="650"/>
      <c r="D180" s="651"/>
      <c r="E180" s="28"/>
    </row>
    <row r="181" spans="1:5" s="25" customFormat="1">
      <c r="A181" s="641"/>
      <c r="B181" s="391" t="str">
        <f>Data!Q184</f>
        <v>SEC-WM-PB5-H1</v>
      </c>
      <c r="C181" s="171" t="str">
        <f>Data!P184</f>
        <v>CABINET, HOLOCOM, HIGH SECURITY PULL BOX, SECURE SURFACE MOUNT ENCLOSURE, 12Hx18Wx6D, SEC-WM-PB5-H1, MRN220027</v>
      </c>
      <c r="D181" s="174">
        <f>Data!R184</f>
        <v>160.65</v>
      </c>
      <c r="E181" s="28"/>
    </row>
    <row r="182" spans="1:5" s="25" customFormat="1">
      <c r="A182" s="641"/>
      <c r="B182" s="391" t="str">
        <f>Data!Q185</f>
        <v>AGW-WM-19S-L1</v>
      </c>
      <c r="C182" s="171" t="str">
        <f>Data!P185</f>
        <v>CABINET, HOLOCOM, LOW PROFILE WALL MOUNT CABINET, 42Hx29Wx9.5D, AGW-WM-19S-L1, MRN225480</v>
      </c>
      <c r="D182" s="174">
        <f>Data!R185</f>
        <v>667.37</v>
      </c>
      <c r="E182" s="28"/>
    </row>
    <row r="183" spans="1:5" s="25" customFormat="1">
      <c r="A183" s="641"/>
      <c r="B183" s="391" t="str">
        <f>Data!Q186</f>
        <v>202637G2</v>
      </c>
      <c r="C183" s="171" t="str">
        <f>Data!P186</f>
        <v>CABINET, LIEBERT, 12RU, HINGED BODY, HK24S, WALL MOUNT, 202637G2, MRN238157</v>
      </c>
      <c r="D183" s="174">
        <f>Data!R186</f>
        <v>375.17</v>
      </c>
      <c r="E183" s="28"/>
    </row>
    <row r="184" spans="1:5" s="25" customFormat="1">
      <c r="A184" s="641"/>
      <c r="B184" s="391" t="str">
        <f>Data!Q187</f>
        <v>202637G1</v>
      </c>
      <c r="C184" s="171" t="str">
        <f>Data!P187</f>
        <v>CABINET, LIEBERT, 12RU, LOW PROFILE, HK24SJ, WALL MOUNT, 202637G1, MRN238092</v>
      </c>
      <c r="D184" s="174">
        <f>Data!R187</f>
        <v>263.83</v>
      </c>
      <c r="E184" s="28"/>
    </row>
    <row r="185" spans="1:5" s="25" customFormat="1" ht="12.75" customHeight="1">
      <c r="A185" s="641"/>
      <c r="B185" s="391" t="str">
        <f>Data!Q188</f>
        <v>DC-440-DCE</v>
      </c>
      <c r="C185" s="171" t="str">
        <f>Data!P188</f>
        <v>CABINET, LIEBERT, 24RU, 30 IN DEEP, 300CFM FAN KIT, DC-440-DCE, MRN235243</v>
      </c>
      <c r="D185" s="174">
        <f>Data!R188</f>
        <v>1538.98</v>
      </c>
      <c r="E185" s="28"/>
    </row>
    <row r="186" spans="1:5" s="25" customFormat="1">
      <c r="A186" s="641"/>
      <c r="B186" s="391" t="str">
        <f>Data!Q189</f>
        <v>DC-780-DCE</v>
      </c>
      <c r="C186" s="171" t="str">
        <f>Data!P189</f>
        <v>CABINET, LIEBERT, 42RU, 30 IN DEEP, 300CFM FAN KIT, DC-780-DCE, MRN235245</v>
      </c>
      <c r="D186" s="174">
        <f>Data!R189</f>
        <v>1661.9</v>
      </c>
      <c r="E186" s="28"/>
    </row>
    <row r="187" spans="1:5" s="25" customFormat="1">
      <c r="A187" s="641"/>
      <c r="B187" s="391" t="str">
        <f>Data!Q190</f>
        <v>DC-788-DCE</v>
      </c>
      <c r="C187" s="171" t="str">
        <f>Data!P190</f>
        <v>CABINET, LIEBERT, 42RU, 38 IN DEEP, 300CFM FAN KIT, DC-788-DCE, MRN235247</v>
      </c>
      <c r="D187" s="174">
        <f>Data!R190</f>
        <v>1693.13</v>
      </c>
      <c r="E187" s="28"/>
    </row>
    <row r="188" spans="1:5" s="25" customFormat="1">
      <c r="A188" s="641"/>
      <c r="B188" s="391" t="str">
        <f>Data!Q191</f>
        <v>TSM131V24SC</v>
      </c>
      <c r="C188" s="171" t="str">
        <f>Data!P191</f>
        <v>CABINET, TRUSTED SYSTEMS IPS CONTAINER, GSA CLASS 5, 13HX15WX24D, X09 LOCK, TSM131V24SC, MRN220001</v>
      </c>
      <c r="D188" s="174">
        <f>Data!R191</f>
        <v>4815.45</v>
      </c>
      <c r="E188" s="28"/>
    </row>
    <row r="189" spans="1:5" s="25" customFormat="1">
      <c r="A189" s="641"/>
      <c r="B189" s="391" t="str">
        <f>Data!Q192</f>
        <v>8077AD</v>
      </c>
      <c r="C189" s="171" t="str">
        <f>Data!P192</f>
        <v>LOCK, SARGENT &amp; GREENLEAF, TYPE 8077, 8077AD, MRN220266</v>
      </c>
      <c r="D189" s="174">
        <f>Data!R192</f>
        <v>160.21</v>
      </c>
      <c r="E189" s="28"/>
    </row>
    <row r="190" spans="1:5" s="25" customFormat="1" ht="12.75" customHeight="1">
      <c r="A190" s="641"/>
      <c r="B190" s="391" t="str">
        <f>Data!Q193</f>
        <v>GVG3-1000RT-120+1YR</v>
      </c>
      <c r="C190" s="171" t="str">
        <f>Data!P193</f>
        <v>UPS, LIEBERT 1KVA UPS, PLUS 1 YR WARRANTY, GVG3-1000RT-120, MRN230610</v>
      </c>
      <c r="D190" s="174">
        <f>Data!R193</f>
        <v>641.78</v>
      </c>
      <c r="E190" s="28"/>
    </row>
    <row r="191" spans="1:5" s="25" customFormat="1">
      <c r="A191" s="641"/>
      <c r="B191" s="391" t="str">
        <f>Data!Q194</f>
        <v>GVG3-1500RT-120+1YR</v>
      </c>
      <c r="C191" s="171" t="str">
        <f>Data!P194</f>
        <v>UPS, LIEBERT 1.5KVA UPS, PLUS 1 YR WARRANTY, GVG3-1500RT-120, MRN232797</v>
      </c>
      <c r="D191" s="174">
        <f>Data!R194</f>
        <v>873.16</v>
      </c>
      <c r="E191" s="28"/>
    </row>
    <row r="192" spans="1:5" s="25" customFormat="1">
      <c r="A192" s="641"/>
      <c r="B192" s="391" t="str">
        <f>Data!Q195</f>
        <v>GVG3-2000RT-120</v>
      </c>
      <c r="C192" s="171" t="str">
        <f>Data!P195</f>
        <v>UPS, LIEBERT 2KVA UPS, PLUS 1 YR WARRANTY, GVG3-2000RT-120, MRN222113</v>
      </c>
      <c r="D192" s="174">
        <f>Data!R195</f>
        <v>1136.3599999999999</v>
      </c>
      <c r="E192" s="28"/>
    </row>
    <row r="193" spans="1:5" s="25" customFormat="1">
      <c r="A193" s="641"/>
      <c r="B193" s="391" t="str">
        <f>Data!Q196</f>
        <v>GVG3-3000RT-120</v>
      </c>
      <c r="C193" s="171" t="str">
        <f>Data!P196</f>
        <v>UPS, LIEBERT 3KVA UPS, PLUS 1 YR WARRANTY, GVG3-3000RT-120, MRN222114</v>
      </c>
      <c r="D193" s="174">
        <f>Data!R196</f>
        <v>1847.56</v>
      </c>
      <c r="E193" s="28"/>
    </row>
    <row r="194" spans="1:5" s="25" customFormat="1">
      <c r="A194" s="641"/>
      <c r="B194" s="391" t="str">
        <f>Data!Q197</f>
        <v>GXT4-6000RTL630</v>
      </c>
      <c r="C194" s="171" t="str">
        <f>Data!P197</f>
        <v>UPS, LIEBERT 6KVA UPS, PD2-L630, L6-30P, 36 MONTH WARR, GXT4-6000RTL630, MRN225469</v>
      </c>
      <c r="D194" s="174">
        <f>Data!R197</f>
        <v>3213.79</v>
      </c>
      <c r="E194" s="28"/>
    </row>
    <row r="195" spans="1:5" s="25" customFormat="1">
      <c r="A195" s="641"/>
      <c r="B195" s="391" t="str">
        <f>Data!Q198</f>
        <v>GVG3-48VBATT</v>
      </c>
      <c r="C195" s="171" t="str">
        <f>Data!P198</f>
        <v>UPS BATTERY, LIEBERT 48V BATTERY, 2U, PLUS 1 YR WARRANTY, GVG3-48BKATT, MRN222120</v>
      </c>
      <c r="D195" s="174">
        <f>Data!R198</f>
        <v>356.89</v>
      </c>
      <c r="E195" s="28"/>
    </row>
    <row r="196" spans="1:5" s="25" customFormat="1">
      <c r="A196" s="641"/>
      <c r="B196" s="391" t="str">
        <f>Data!Q199</f>
        <v>GVG3-72VBATT</v>
      </c>
      <c r="C196" s="171" t="str">
        <f>Data!P199</f>
        <v>UPS BATTERY, LIEBERT 72V BATTERY, 2U, PLUS 1 YR WARRANTY, GVG3-72VBATT, MRN222109</v>
      </c>
      <c r="D196" s="174">
        <f>Data!R199</f>
        <v>447.99</v>
      </c>
      <c r="E196" s="28"/>
    </row>
    <row r="197" spans="1:5" s="25" customFormat="1">
      <c r="A197" s="641"/>
      <c r="B197" s="391" t="str">
        <f>Data!Q200</f>
        <v>PR5000LCDRTXL5UTAA</v>
      </c>
      <c r="C197" s="171" t="str">
        <f>Data!P200</f>
        <v>UPS, CYBERPOWER SYSTEMS SMART APP UPS, 5KVA, 208V, 5 OUTLETS, RACK MOUNT, PR5000LCDRTXL5UTAA, MRN227046</v>
      </c>
      <c r="D197" s="174">
        <f>Data!R200</f>
        <v>1543.73</v>
      </c>
      <c r="E197" s="28"/>
    </row>
    <row r="198" spans="1:5" s="25" customFormat="1">
      <c r="A198" s="641"/>
      <c r="B198" s="391" t="str">
        <f>Data!Q201</f>
        <v>AP7750A</v>
      </c>
      <c r="C198" s="171" t="str">
        <f>Data!P201</f>
        <v>ATS, APC RACK AUTOMATIC TRANSFER SWITCH, 100-120V, DUAL 5-15P INPUT, TEN 5-15R OUTPUT, AP7750A, MRN220551</v>
      </c>
      <c r="D198" s="174">
        <f>Data!R201</f>
        <v>441.5</v>
      </c>
      <c r="E198" s="28"/>
    </row>
    <row r="199" spans="1:5" s="25" customFormat="1">
      <c r="A199" s="641"/>
      <c r="B199" s="391">
        <f>Data!Q202</f>
        <v>35351041</v>
      </c>
      <c r="C199" s="171" t="str">
        <f>Data!P202</f>
        <v>PDU, EMERSON POWER VERTICAL RACK POWERSTRIP, 120V, 20AMP, 9 NEMA L5-20 OUTLETS, 5 WITH T-SLOT , 35351041, MRN223476</v>
      </c>
      <c r="D199" s="174">
        <f>Data!R202</f>
        <v>72.98</v>
      </c>
      <c r="E199" s="28"/>
    </row>
    <row r="200" spans="1:5" s="25" customFormat="1">
      <c r="A200" s="641"/>
      <c r="B200" s="391">
        <f>Data!Q203</f>
        <v>35351011</v>
      </c>
      <c r="C200" s="171" t="str">
        <f>Data!P203</f>
        <v>PDU, LIEBERT RACK MOUNT POWERSTRIP, 120V, 15AMP,  9 NEMA 5-15R OUTLETS, NEMA 5-15 PLUG, 35351011, MRN223475</v>
      </c>
      <c r="D200" s="174">
        <f>Data!R203</f>
        <v>48.79</v>
      </c>
      <c r="E200" s="28"/>
    </row>
    <row r="201" spans="1:5" s="25" customFormat="1">
      <c r="A201" s="641"/>
      <c r="B201" s="391">
        <f>Data!Q204</f>
        <v>35351051</v>
      </c>
      <c r="C201" s="171" t="str">
        <f>Data!P204</f>
        <v>PDU, LIEBERT VERTICAL RACK MOUNT POWERSTRIP, 120V, 20AMP,  12 NEMA 5-20 T-SLOT OUTLETS, NEMA 5-20 PLUG, 35351051, MRN223477</v>
      </c>
      <c r="D201" s="174">
        <f>Data!R204</f>
        <v>86.21</v>
      </c>
      <c r="E201" s="28"/>
    </row>
    <row r="202" spans="1:5" s="25" customFormat="1">
      <c r="A202" s="641"/>
      <c r="B202" s="391" t="str">
        <f>Data!Q205</f>
        <v xml:space="preserve">PX2-5118R-V2 </v>
      </c>
      <c r="C202" s="171" t="str">
        <f>Data!P205</f>
        <v>POWER DISTRIBUTION UNIT, 6-OUTLETS, 8.6KVA, RARITAN, PX2-5118R-V2, MRN233971</v>
      </c>
      <c r="D202" s="174">
        <f>Data!R205</f>
        <v>718.42</v>
      </c>
      <c r="E202" s="28"/>
    </row>
    <row r="203" spans="1:5" s="25" customFormat="1">
      <c r="A203" s="641"/>
      <c r="B203" s="391" t="str">
        <f>Data!Q206</f>
        <v>PX2-5339R</v>
      </c>
      <c r="C203" s="171" t="str">
        <f>Data!P206</f>
        <v>POWER DISTRIBUTION UNIT, 12-OUTLETS, 8.6KVA, RARITAN, PX2-5339R, MRN232725</v>
      </c>
      <c r="D203" s="174">
        <f>Data!R206</f>
        <v>842.42</v>
      </c>
      <c r="E203" s="28"/>
    </row>
    <row r="204" spans="1:5" s="25" customFormat="1">
      <c r="A204" s="641"/>
      <c r="B204" s="391" t="str">
        <f>Data!Q207</f>
        <v>PDUNV</v>
      </c>
      <c r="C204" s="171" t="str">
        <f>Data!P207</f>
        <v>PDU, TRIPP LITE RACK MOUNT POWERSTRIP, 120V, 20AMP,  12 C13 OUTLETS, 2 C19 OUTLETS, C20 PLUG, PDUNV, MRN222253</v>
      </c>
      <c r="D204" s="174">
        <f>Data!R207</f>
        <v>148.78</v>
      </c>
      <c r="E204" s="28"/>
    </row>
    <row r="205" spans="1:5" s="25" customFormat="1">
      <c r="A205" s="641"/>
      <c r="B205" s="391" t="str">
        <f>Data!Q208</f>
        <v>663201-B21</v>
      </c>
      <c r="C205" s="171" t="str">
        <f>Data!P208</f>
        <v>CABINET RAIL KIT, HP 1U, SMALL FORM FACTOR, BALL BEARING RAIL KIT, 663201-B21, MRN227094</v>
      </c>
      <c r="D205" s="174">
        <f>Data!R208</f>
        <v>73.930000000000007</v>
      </c>
      <c r="E205" s="28"/>
    </row>
    <row r="206" spans="1:5" s="25" customFormat="1">
      <c r="A206" s="641"/>
      <c r="B206" s="391" t="str">
        <f>Data!Q209</f>
        <v>201193G1L</v>
      </c>
      <c r="C206" s="171" t="str">
        <f>Data!P209</f>
        <v>UPS RAILS, LIEBERT FIXED RAILS, 30-INCH AND 38-INCH DEPTH RACKS, 201193G1L, MRN219911</v>
      </c>
      <c r="D206" s="174">
        <f>Data!R209</f>
        <v>49.52</v>
      </c>
      <c r="E206" s="28"/>
    </row>
    <row r="207" spans="1:5" s="25" customFormat="1">
      <c r="A207" s="641"/>
      <c r="B207" s="391" t="str">
        <f>Data!Q210</f>
        <v>RMKIT18-32</v>
      </c>
      <c r="C207" s="171" t="str">
        <f>Data!P210</f>
        <v>UPS RAILS, LIEBERT TELESCOPING RAILS, RMKIT18-32, MRN219892</v>
      </c>
      <c r="D207" s="174">
        <f>Data!R210</f>
        <v>47.75</v>
      </c>
      <c r="E207" s="28"/>
    </row>
    <row r="208" spans="1:5" s="25" customFormat="1">
      <c r="A208" s="641"/>
      <c r="B208" s="391" t="str">
        <f>Data!Q211</f>
        <v>2UTELECOMRKIT</v>
      </c>
      <c r="C208" s="171" t="str">
        <f>Data!P211</f>
        <v>UPS SHELF, LIEBERT CENTER RACKMOUNT SHELF, 19-INCH WIDTH, 2UTELECOMRKIT, MRN220029</v>
      </c>
      <c r="D208" s="174">
        <f>Data!R211</f>
        <v>39.56</v>
      </c>
      <c r="E208" s="28"/>
    </row>
    <row r="209" spans="1:5" s="25" customFormat="1">
      <c r="A209" s="641"/>
      <c r="B209" s="391" t="str">
        <f>Data!Q212</f>
        <v>153018G1L</v>
      </c>
      <c r="C209" s="171" t="str">
        <f>Data!P212</f>
        <v>UPS SHELF, LIEBERT FIXED RACKMOUNT SHELF, 153018G1L, MRN219913</v>
      </c>
      <c r="D209" s="174">
        <f>Data!R212</f>
        <v>52.99</v>
      </c>
      <c r="E209" s="28"/>
    </row>
    <row r="210" spans="1:5" s="25" customFormat="1">
      <c r="A210" s="641"/>
      <c r="B210" s="391" t="str">
        <f>Data!Q213</f>
        <v>RS500</v>
      </c>
      <c r="C210" s="171" t="str">
        <f>Data!P213</f>
        <v>UPS SHELF, LIEBERT, FLUSH-MOUNTING, 19-INCH WIDTH, RS500, MRN219915</v>
      </c>
      <c r="D210" s="174">
        <f>Data!R213</f>
        <v>60.37</v>
      </c>
      <c r="E210" s="28"/>
    </row>
    <row r="211" spans="1:5" s="25" customFormat="1">
      <c r="A211" s="641"/>
      <c r="B211" s="391" t="str">
        <f>Data!Q214</f>
        <v>RS600</v>
      </c>
      <c r="C211" s="171" t="str">
        <f>Data!P214</f>
        <v>UPS SHELF, LIEBERT, CENTER-MOUNTING, 19-INCH WIDTH, RS600, MRN222131</v>
      </c>
      <c r="D211" s="174">
        <f>Data!R214</f>
        <v>91.36</v>
      </c>
      <c r="E211" s="28"/>
    </row>
    <row r="212" spans="1:5" s="25" customFormat="1">
      <c r="A212" s="641"/>
      <c r="B212" s="391" t="str">
        <f>Data!Q215</f>
        <v>EN-M6KT-50</v>
      </c>
      <c r="C212" s="171" t="str">
        <f>Data!P215</f>
        <v>HARDWARE, ARMORED SHIELD, M6 SCREWS-WASHER-CAGENUT-50, EN-M6KT-50, MRN215437</v>
      </c>
      <c r="D212" s="174">
        <f>Data!R215</f>
        <v>32.44</v>
      </c>
      <c r="E212" s="28"/>
    </row>
    <row r="213" spans="1:5" s="25" customFormat="1">
      <c r="A213" s="641"/>
      <c r="B213" s="391" t="str">
        <f>Data!Q216</f>
        <v>201000G2</v>
      </c>
      <c r="C213" s="171" t="str">
        <f>Data!P216</f>
        <v>HARDWARE, LIEBERT CLIP NUTS AND SCREWS, M6 TREADED, 201000G2, MRN219924</v>
      </c>
      <c r="D213" s="174">
        <f>Data!R216</f>
        <v>12.5</v>
      </c>
      <c r="E213" s="28"/>
    </row>
    <row r="214" spans="1:5" s="25" customFormat="1">
      <c r="A214" s="641"/>
      <c r="B214" s="391" t="str">
        <f>Data!Q217</f>
        <v>RS-CNL</v>
      </c>
      <c r="C214" s="171" t="str">
        <f>Data!P217</f>
        <v>CABLE MANAGEMENT CHANNEL, SIEMON VERTICAL PATCHING CHANNEL, 2.1M X 152MM, RS-CNL, MRN222303</v>
      </c>
      <c r="D214" s="174">
        <f>Data!R217</f>
        <v>239.41</v>
      </c>
      <c r="E214" s="28"/>
    </row>
    <row r="215" spans="1:5" s="25" customFormat="1">
      <c r="A215" s="641"/>
      <c r="B215" s="391" t="str">
        <f>Data!Q218</f>
        <v>RS3-07-S</v>
      </c>
      <c r="C215" s="171" t="str">
        <f>Data!P218</f>
        <v>CABLE MANAGEMENT RACK, SIEMON RS3 RACK, 45RU, VERTICAL CHANNEL, HINGED COVERS, RS3-07-S, MRN222307</v>
      </c>
      <c r="D215" s="174">
        <f>Data!R218</f>
        <v>450.74</v>
      </c>
      <c r="E215" s="28"/>
    </row>
    <row r="216" spans="1:5" s="25" customFormat="1">
      <c r="A216" s="641"/>
      <c r="B216" s="391" t="str">
        <f>Data!Q219</f>
        <v>S110-RWM-01</v>
      </c>
      <c r="C216" s="171" t="str">
        <f>Data!P219</f>
        <v>CABLE MANAGER, SIEMON 1 RMS, HORZONTIAL, RACK MOUNT 1U, S110-RWM-01, MRN220260</v>
      </c>
      <c r="D216" s="174">
        <f>Data!R219</f>
        <v>19.489999999999998</v>
      </c>
      <c r="E216" s="28"/>
    </row>
    <row r="217" spans="1:5" s="25" customFormat="1">
      <c r="A217" s="641"/>
      <c r="B217" s="391" t="str">
        <f>Data!Q220</f>
        <v>RWM-1</v>
      </c>
      <c r="C217" s="171" t="str">
        <f>Data!P220</f>
        <v>CABLE MANAGER, SIEMON 1 RMS, SINGLE-SIDED, HORIZONTAL, 1U, RWM-1, MRN219959</v>
      </c>
      <c r="D217" s="174">
        <f>Data!R220</f>
        <v>35.119999999999997</v>
      </c>
      <c r="E217" s="28"/>
    </row>
    <row r="218" spans="1:5" s="25" customFormat="1">
      <c r="A218" s="641"/>
      <c r="B218" s="391" t="str">
        <f>Data!Q221</f>
        <v>END-OF-SALE</v>
      </c>
      <c r="C218" s="171" t="str">
        <f>Data!P221</f>
        <v>CABLE MANAGER, SIEMON 19 INCH, DOUBLE-SIDED, HORIZONTAL, 2U, RS3-RWM-2DS, MRN220258</v>
      </c>
      <c r="D218" s="174">
        <f>Data!R221</f>
        <v>0</v>
      </c>
      <c r="E218" s="28"/>
    </row>
    <row r="219" spans="1:5" s="25" customFormat="1">
      <c r="A219" s="641"/>
      <c r="B219" s="391" t="str">
        <f>Data!Q222</f>
        <v>S110-RWM2-01</v>
      </c>
      <c r="C219" s="171" t="str">
        <f>Data!P222</f>
        <v>CABLE MANAGER, SIEMON 2 RMS, HORZONTIAL, RACK MOUNT 2U, S110-RWM2-01, MRN220259</v>
      </c>
      <c r="D219" s="174">
        <f>Data!R222</f>
        <v>37.72</v>
      </c>
      <c r="E219" s="28"/>
    </row>
    <row r="220" spans="1:5" s="25" customFormat="1">
      <c r="A220" s="641"/>
      <c r="B220" s="391" t="str">
        <f>Data!Q223</f>
        <v>RIC3-24-01</v>
      </c>
      <c r="C220" s="171" t="str">
        <f>Data!P223</f>
        <v>FIBER ENCLOSURE, SIEMON RACK MOUNT INTERCONNECT CENTER, 24 TO 96 PORTS, RIC3-24-01, MRN219945</v>
      </c>
      <c r="D220" s="174">
        <f>Data!R223</f>
        <v>161.94999999999999</v>
      </c>
      <c r="E220" s="28"/>
    </row>
    <row r="221" spans="1:5" s="25" customFormat="1">
      <c r="A221" s="641"/>
      <c r="B221" s="391" t="str">
        <f>Data!Q224</f>
        <v>SWIC3-M-01</v>
      </c>
      <c r="C221" s="171" t="str">
        <f>Data!P224</f>
        <v>FIBER ENCLOSURE, SIEMON WALL MOUNT INTERCONNECT CENTER,  MINI ENCLOSURE, BLACK, SWIC3-M-01, MRN224884</v>
      </c>
      <c r="D221" s="174">
        <f>Data!R224</f>
        <v>45.51</v>
      </c>
      <c r="E221" s="28"/>
    </row>
    <row r="222" spans="1:5" s="25" customFormat="1">
      <c r="A222" s="641"/>
      <c r="B222" s="391" t="str">
        <f>Data!Q225</f>
        <v>95-201-41-SP</v>
      </c>
      <c r="C222" s="171" t="str">
        <f>Data!P225</f>
        <v>CONNECTOR, CORNING CABLE, SMF, SC CONNECTOR, ANAEROBIC, BLUE HOUSING, WHITE BOOT, 95-201-41-SP, MRN215518</v>
      </c>
      <c r="D222" s="174">
        <f>Data!R225</f>
        <v>8.84</v>
      </c>
      <c r="E222" s="28"/>
    </row>
    <row r="223" spans="1:5" s="25" customFormat="1">
      <c r="A223" s="641"/>
      <c r="B223" s="391" t="str">
        <f>Data!Q226</f>
        <v>M21-750-499</v>
      </c>
      <c r="C223" s="171" t="str">
        <f>Data!P226</f>
        <v>LABELS, BRADY LABEL CARTRIDGE, IDPAL, CLOTH, 0.750 IN X 16 FT, M21-750-499, MRN221624</v>
      </c>
      <c r="D223" s="174">
        <f>Data!R226</f>
        <v>21.34</v>
      </c>
      <c r="E223" s="28"/>
    </row>
    <row r="224" spans="1:5" s="25" customFormat="1">
      <c r="A224" s="641"/>
      <c r="B224" s="391" t="str">
        <f>Data!Q227</f>
        <v>XSL-19-427</v>
      </c>
      <c r="C224" s="171" t="str">
        <f>Data!P227</f>
        <v>LABELS, BRADY LABEL CARTRIDGE, IDXPERT, 1 IN X .375 IN, 250 LABELS, XSL-19-427, MRN228351</v>
      </c>
      <c r="D224" s="174">
        <f>Data!R227</f>
        <v>36.22</v>
      </c>
      <c r="E224" s="28"/>
    </row>
    <row r="225" spans="1:5" s="25" customFormat="1">
      <c r="A225" s="641"/>
      <c r="B225" s="391" t="str">
        <f>Data!Q228</f>
        <v>XSL-103-427</v>
      </c>
      <c r="C225" s="171" t="str">
        <f>Data!P228</f>
        <v>LABELS, BRADY LABEL CARTRIDGE, IDXPERT, 1 IN X .5 IN, 250 LABELS, XSL-103-427, MRN222285</v>
      </c>
      <c r="D225" s="174">
        <f>Data!R228</f>
        <v>40.869999999999997</v>
      </c>
      <c r="E225" s="28"/>
    </row>
    <row r="226" spans="1:5" s="25" customFormat="1">
      <c r="A226" s="641"/>
      <c r="B226" s="391" t="str">
        <f>Data!Q229</f>
        <v>XC-500-595-WT-BK</v>
      </c>
      <c r="C226" s="171" t="str">
        <f>Data!P229</f>
        <v>LABELS, BRADY LABEL CARTRIDGE, XPERT, OUTDOOR VINYL .5 IN X 30 FT, XC-500-595-WT-BK, MRN222288</v>
      </c>
      <c r="D226" s="174">
        <f>Data!R229</f>
        <v>32.94</v>
      </c>
      <c r="E226" s="28"/>
    </row>
    <row r="227" spans="1:5" s="25" customFormat="1">
      <c r="A227" s="641"/>
      <c r="B227" s="391">
        <f>Data!Q230</f>
        <v>43222</v>
      </c>
      <c r="C227" s="171" t="str">
        <f>Data!P230</f>
        <v>CABLE TIES, C2G CABLE TIES, 7.5 IN, BLACK, PACK OF 50, 43222, MRN226418</v>
      </c>
      <c r="D227" s="174">
        <f>Data!R230</f>
        <v>4.53</v>
      </c>
      <c r="E227" s="28"/>
    </row>
    <row r="228" spans="1:5" s="25" customFormat="1">
      <c r="A228" s="641"/>
      <c r="B228" s="391" t="str">
        <f>Data!Q231</f>
        <v>HLT2I-X0</v>
      </c>
      <c r="C228" s="171" t="str">
        <f>Data!P231</f>
        <v>CABLE TIES, PANDUIT VELCO, BLACK, 8 IN X .50 IN, PACK OF 10, HLT2I-X0, MRN227023</v>
      </c>
      <c r="D228" s="174">
        <f>Data!R231</f>
        <v>13.72</v>
      </c>
      <c r="E228" s="28"/>
    </row>
    <row r="229" spans="1:5" s="25" customFormat="1">
      <c r="A229" s="641"/>
      <c r="B229" s="391" t="str">
        <f>Data!Q232</f>
        <v>PLT3S-C</v>
      </c>
      <c r="C229" s="171" t="str">
        <f>Data!P232</f>
        <v>CABLE TIES, PANDUIT, NATURAL, 11.5 IN, PACK OF 100, PLT3S-C, MRN227024</v>
      </c>
      <c r="D229" s="174">
        <f>Data!R232</f>
        <v>28.27</v>
      </c>
      <c r="E229" s="28"/>
    </row>
    <row r="230" spans="1:5" s="25" customFormat="1">
      <c r="A230" s="641"/>
      <c r="B230" s="391" t="str">
        <f>Data!Q233</f>
        <v>HLS-75R0</v>
      </c>
      <c r="C230" s="171" t="str">
        <f>Data!P233</f>
        <v>VELCRO ROLL, PANDUIT, BLACK, .75 IN X 75 FT, HLS-75R0, MRN221599</v>
      </c>
      <c r="D230" s="174">
        <f>Data!R233</f>
        <v>53.55</v>
      </c>
      <c r="E230" s="28"/>
    </row>
    <row r="231" spans="1:5" s="25" customFormat="1" ht="13" thickBot="1">
      <c r="A231" s="642"/>
      <c r="B231" s="391" t="str">
        <f>Data!Q234</f>
        <v>HLS-75R2</v>
      </c>
      <c r="C231" s="171" t="str">
        <f>Data!P234</f>
        <v>VELCRO ROLL, PANDUIT, CRANBERRY, .75 IN X 75 FT, HLS-75R2, MRN227025</v>
      </c>
      <c r="D231" s="174">
        <f>Data!R234</f>
        <v>61.95</v>
      </c>
      <c r="E231" s="28"/>
    </row>
    <row r="232" spans="1:5" s="25" customFormat="1" ht="20.149999999999999" customHeight="1">
      <c r="A232" s="646" t="s">
        <v>2410</v>
      </c>
      <c r="B232" s="643" t="str">
        <f>Data!P235</f>
        <v>Copper Patch Cables</v>
      </c>
      <c r="C232" s="644"/>
      <c r="D232" s="645"/>
      <c r="E232" s="28"/>
    </row>
    <row r="233" spans="1:5" s="25" customFormat="1">
      <c r="A233" s="647"/>
      <c r="B233" s="391" t="str">
        <f>Data!Q236</f>
        <v>CAT6-03-BL</v>
      </c>
      <c r="C233" s="171" t="str">
        <f>Data!P236</f>
        <v>COPPER PATCH CABLE, CAT6, RJ45, 3FT, BLUE, LYNN ELEC, CAT6-03-BL, MRN226751</v>
      </c>
      <c r="D233" s="174">
        <f>Data!R236</f>
        <v>5.23</v>
      </c>
      <c r="E233" s="28"/>
    </row>
    <row r="234" spans="1:5" s="25" customFormat="1">
      <c r="A234" s="647"/>
      <c r="B234" s="391" t="str">
        <f>Data!Q237</f>
        <v>CAT6-05-BL</v>
      </c>
      <c r="C234" s="171" t="str">
        <f>Data!P237</f>
        <v>COPPER PATCH CABLE, CAT6, RJ45, 5FT, BLUE, LYNN ELEC, CAT6-05-BL, MRN226756</v>
      </c>
      <c r="D234" s="174">
        <f>Data!R237</f>
        <v>5.49</v>
      </c>
      <c r="E234" s="28"/>
    </row>
    <row r="235" spans="1:5" s="25" customFormat="1">
      <c r="A235" s="647"/>
      <c r="B235" s="391" t="str">
        <f>Data!Q238</f>
        <v>CAT6-07-BL</v>
      </c>
      <c r="C235" s="171" t="str">
        <f>Data!P238</f>
        <v>COPPER PATCH CABLE, CAT6, RJ45, 7FT, BLUE, LYNN ELEC, CAT6-07-BL, MRN226761</v>
      </c>
      <c r="D235" s="174">
        <f>Data!R238</f>
        <v>5.78</v>
      </c>
      <c r="E235" s="28"/>
    </row>
    <row r="236" spans="1:5" s="25" customFormat="1">
      <c r="A236" s="647"/>
      <c r="B236" s="391" t="str">
        <f>Data!Q239</f>
        <v>CAT6-10-BL</v>
      </c>
      <c r="C236" s="171" t="str">
        <f>Data!P239</f>
        <v>COPPER PATCH CABLE, CAT6, RJ45, 10FT, BLUE, LYNN ELEC, CAT6-10-BL, MRN226734</v>
      </c>
      <c r="D236" s="174">
        <f>Data!R239</f>
        <v>6.21</v>
      </c>
      <c r="E236" s="28"/>
    </row>
    <row r="237" spans="1:5" s="25" customFormat="1">
      <c r="A237" s="647"/>
      <c r="B237" s="391" t="str">
        <f>Data!Q240</f>
        <v>CAT6-14-BL</v>
      </c>
      <c r="C237" s="171" t="str">
        <f>Data!P240</f>
        <v>COPPER PATCH CABLE, CAT6, RJ45, 14 FT, BLUE, LYNN ELEC, CAT6-14-BL, MRN226740</v>
      </c>
      <c r="D237" s="174">
        <f>Data!R240</f>
        <v>6.8</v>
      </c>
      <c r="E237" s="28"/>
    </row>
    <row r="238" spans="1:5" s="25" customFormat="1">
      <c r="A238" s="647"/>
      <c r="B238" s="391" t="str">
        <f>Data!Q241</f>
        <v>CAT6-25-BL</v>
      </c>
      <c r="C238" s="171" t="str">
        <f>Data!P241</f>
        <v>COPPER PATCH CABLE, CAT6, RJ45, 25FT, BLUE, LYNN ELEC, CAT6-25-BL, MRN226745</v>
      </c>
      <c r="D238" s="174">
        <f>Data!R241</f>
        <v>8.02</v>
      </c>
      <c r="E238" s="28"/>
    </row>
    <row r="239" spans="1:5" s="25" customFormat="1">
      <c r="A239" s="647"/>
      <c r="B239" s="391">
        <f>Data!Q242</f>
        <v>4340481144</v>
      </c>
      <c r="C239" s="171" t="str">
        <f>Data!P242</f>
        <v>COPPER PATCH CABLE, CAT6, RJ45, 50FT, BLUE, PLENUM, LYNN ELEC, 4340481144, MRN221633</v>
      </c>
      <c r="D239" s="174">
        <f>Data!R242</f>
        <v>74.05</v>
      </c>
      <c r="E239" s="28"/>
    </row>
    <row r="240" spans="1:5" s="25" customFormat="1">
      <c r="A240" s="647"/>
      <c r="B240" s="391" t="str">
        <f>Data!Q243</f>
        <v>CAT6-03-RD</v>
      </c>
      <c r="C240" s="171" t="str">
        <f>Data!P243</f>
        <v>COPPER PATCH CABLE, CAT6, RJ45, 3FT, RED, LYNN ELEC, CAT6-03-RD, MRN226754</v>
      </c>
      <c r="D240" s="174">
        <f>Data!R243</f>
        <v>5.23</v>
      </c>
      <c r="E240" s="28"/>
    </row>
    <row r="241" spans="1:5" s="25" customFormat="1">
      <c r="A241" s="647"/>
      <c r="B241" s="391" t="str">
        <f>Data!Q244</f>
        <v>CAT6-05-RD</v>
      </c>
      <c r="C241" s="171" t="str">
        <f>Data!P244</f>
        <v>COPPER PATCH CABLE, CAT6, RJ45, 5FT, RED, LYNN ELEC, CAT6-05-RD, MRN226760</v>
      </c>
      <c r="D241" s="174">
        <f>Data!R244</f>
        <v>5.49</v>
      </c>
      <c r="E241" s="28"/>
    </row>
    <row r="242" spans="1:5" s="25" customFormat="1">
      <c r="A242" s="647"/>
      <c r="B242" s="391" t="str">
        <f>Data!Q245</f>
        <v>CAT6-07-RD</v>
      </c>
      <c r="C242" s="171" t="str">
        <f>Data!P245</f>
        <v>COPPER PATCH CABLE, CAT6, RJ45, 7FT, RED, LYNN ELEC, CAT6-07-RD, MRN226762</v>
      </c>
      <c r="D242" s="174">
        <f>Data!R245</f>
        <v>5.78</v>
      </c>
      <c r="E242" s="28"/>
    </row>
    <row r="243" spans="1:5" s="25" customFormat="1">
      <c r="A243" s="647"/>
      <c r="B243" s="391" t="str">
        <f>Data!Q246</f>
        <v>CAT6-10-RD</v>
      </c>
      <c r="C243" s="171" t="str">
        <f>Data!P246</f>
        <v>COPPER PATCH CABLE, CAT6, RJ45, 10FT, RED, LYNN ELEC, CAT6-10-RD, MRN226737</v>
      </c>
      <c r="D243" s="174">
        <f>Data!R246</f>
        <v>6.21</v>
      </c>
      <c r="E243" s="28"/>
    </row>
    <row r="244" spans="1:5" s="25" customFormat="1">
      <c r="A244" s="647"/>
      <c r="B244" s="391" t="str">
        <f>Data!Q247</f>
        <v>CAT6-14-RD</v>
      </c>
      <c r="C244" s="171" t="str">
        <f>Data!P247</f>
        <v>COPPER PATCH CABLE, CAT6, RJ45, 14FT, RED, LYNN ELEC, CAT6-14-RD, MRN226743</v>
      </c>
      <c r="D244" s="174">
        <f>Data!R247</f>
        <v>6.8</v>
      </c>
      <c r="E244" s="28"/>
    </row>
    <row r="245" spans="1:5" s="25" customFormat="1">
      <c r="A245" s="647"/>
      <c r="B245" s="391" t="str">
        <f>Data!Q248</f>
        <v>CAT6-25-RD</v>
      </c>
      <c r="C245" s="171" t="str">
        <f>Data!P248</f>
        <v>COPPER PATCH CABLE, CAT6, RJ45, 25FT, RED, LYNN ELEC, CAT6-25-RD, MRN226749</v>
      </c>
      <c r="D245" s="174">
        <f>Data!R248</f>
        <v>8.02</v>
      </c>
      <c r="E245" s="28"/>
    </row>
    <row r="246" spans="1:5" s="25" customFormat="1">
      <c r="A246" s="647"/>
      <c r="B246" s="391" t="str">
        <f>Data!Q249</f>
        <v>CAT6-03-GR</v>
      </c>
      <c r="C246" s="171" t="str">
        <f>Data!P249</f>
        <v>COPPER PATCH CABLE, CAT6, RJ45, 3FT, GREEN, LYNN ELEC, CAT6-03-GR, MRN226753</v>
      </c>
      <c r="D246" s="174">
        <f>Data!R249</f>
        <v>5.23</v>
      </c>
      <c r="E246" s="28"/>
    </row>
    <row r="247" spans="1:5" s="25" customFormat="1">
      <c r="A247" s="647"/>
      <c r="B247" s="391" t="str">
        <f>Data!Q250</f>
        <v>CAT6-05-GR</v>
      </c>
      <c r="C247" s="171" t="str">
        <f>Data!P250</f>
        <v>COPPER PATCH CABLE, CAT6, RJ45, 5FT, GREEN, LYNN ELEC, CAT6-05-GR, MRN226758</v>
      </c>
      <c r="D247" s="174">
        <f>Data!R250</f>
        <v>5.49</v>
      </c>
      <c r="E247" s="28"/>
    </row>
    <row r="248" spans="1:5" s="25" customFormat="1">
      <c r="A248" s="647"/>
      <c r="B248" s="391" t="str">
        <f>Data!Q251</f>
        <v>CAT6-07-GR</v>
      </c>
      <c r="C248" s="171" t="str">
        <f>Data!P251</f>
        <v>COPPER PATCH CABLE, CAT6, RJ45,7FT, GREEN, LYNN ELEC, CAT6-07-GR, MRN226763</v>
      </c>
      <c r="D248" s="174">
        <f>Data!R251</f>
        <v>5.78</v>
      </c>
      <c r="E248" s="28"/>
    </row>
    <row r="249" spans="1:5" s="25" customFormat="1">
      <c r="A249" s="647"/>
      <c r="B249" s="391" t="str">
        <f>Data!Q252</f>
        <v>CAT6-10-GR</v>
      </c>
      <c r="C249" s="171" t="str">
        <f>Data!P252</f>
        <v>COPPER PATCH CABLE, CAT6, RJ45, 10FT, GREEN, LYNN ELEC, CAT6-10-GR, MRN226736</v>
      </c>
      <c r="D249" s="174">
        <f>Data!R252</f>
        <v>6.21</v>
      </c>
      <c r="E249" s="28"/>
    </row>
    <row r="250" spans="1:5" s="25" customFormat="1">
      <c r="A250" s="647"/>
      <c r="B250" s="391" t="str">
        <f>Data!Q253</f>
        <v>CAT6-14-GR</v>
      </c>
      <c r="C250" s="171" t="str">
        <f>Data!P253</f>
        <v>COPPER PATCH CABLE, CAT6, RJ45, 14FT, GREEN, LYNN ELEC, CAT6-14-GR, MRN226741</v>
      </c>
      <c r="D250" s="174">
        <f>Data!R253</f>
        <v>6.8</v>
      </c>
      <c r="E250" s="28"/>
    </row>
    <row r="251" spans="1:5" s="25" customFormat="1">
      <c r="A251" s="647"/>
      <c r="B251" s="391" t="str">
        <f>Data!Q254</f>
        <v>CAT6-25-GR</v>
      </c>
      <c r="C251" s="171" t="str">
        <f>Data!P254</f>
        <v>COPPER PATCH CABLE, CAT6, RJ45, 25FT, GREEN, LYNN ELEC, CAT6-25-GR, MRN226747</v>
      </c>
      <c r="D251" s="174">
        <f>Data!R254</f>
        <v>8.02</v>
      </c>
      <c r="E251" s="28"/>
    </row>
    <row r="252" spans="1:5" s="25" customFormat="1">
      <c r="A252" s="647"/>
      <c r="B252" s="391" t="str">
        <f>Data!Q255</f>
        <v>CAT5E-7-OR</v>
      </c>
      <c r="C252" s="171" t="str">
        <f>Data!P255</f>
        <v>COPPER PATCH CABLE, CAT5E, RJ45, 7FT, ORANGE, LYNN ELEC, CAT5E-7-OR, MRN226725</v>
      </c>
      <c r="D252" s="174">
        <f>Data!R255</f>
        <v>5.78</v>
      </c>
      <c r="E252" s="28"/>
    </row>
    <row r="253" spans="1:5" s="25" customFormat="1">
      <c r="A253" s="647"/>
      <c r="B253" s="391" t="str">
        <f>Data!Q256</f>
        <v>CAT6US-03-BL</v>
      </c>
      <c r="C253" s="171" t="str">
        <f>Data!P256</f>
        <v>COPPER PATCH CABLE, CAT6, RJ45, 3FT, BLUE, UNSHIELDED, LYNN ELEC, CAT6US-03-BL, MRN227084</v>
      </c>
      <c r="D253" s="174">
        <f>Data!R256</f>
        <v>6.95</v>
      </c>
      <c r="E253" s="28"/>
    </row>
    <row r="254" spans="1:5" s="25" customFormat="1">
      <c r="A254" s="647"/>
      <c r="B254" s="391" t="str">
        <f>Data!Q257</f>
        <v>CAT6US-07-OR</v>
      </c>
      <c r="C254" s="171" t="str">
        <f>Data!P257</f>
        <v>COPPER PATCH CABLE, CAT6, RJ45, 7FT, ORANGE, UNSHIELDED, PVC, NO BOOTS, LYNN ELEC, CAT6US-07-OR, MRN227344</v>
      </c>
      <c r="D254" s="174">
        <f>Data!R257</f>
        <v>3.15</v>
      </c>
      <c r="E254" s="28"/>
    </row>
    <row r="255" spans="1:5" s="25" customFormat="1">
      <c r="A255" s="647"/>
      <c r="B255" s="391" t="str">
        <f>Data!Q258</f>
        <v>CAT6US-10-BL</v>
      </c>
      <c r="C255" s="171" t="str">
        <f>Data!P258</f>
        <v>COPPER PATCH CABLE, CAT6, RJ45, 10FT, BLUE, UNSHIELDED, LYNN ELEC, CAT6US-10-BL, MRN227085</v>
      </c>
      <c r="D255" s="174">
        <f>Data!R258</f>
        <v>8.1999999999999993</v>
      </c>
      <c r="E255" s="28"/>
    </row>
    <row r="256" spans="1:5" s="25" customFormat="1" ht="13" thickBot="1">
      <c r="A256" s="647"/>
      <c r="B256" s="391" t="str">
        <f>Data!Q259</f>
        <v>CAT6PL-25-GR</v>
      </c>
      <c r="C256" s="171" t="str">
        <f>Data!P259</f>
        <v>COPPER PATCH CABLE, CAT6, RJ45, 25FT, GREEN, PLENUM, LYNN ELEC, CAT6PL-25-GR, MRN226730</v>
      </c>
      <c r="D256" s="174">
        <f>Data!R259</f>
        <v>26.91</v>
      </c>
      <c r="E256" s="28"/>
    </row>
    <row r="257" spans="1:5" s="25" customFormat="1" ht="20.149999999999999" customHeight="1">
      <c r="A257" s="647"/>
      <c r="B257" s="643" t="str">
        <f>Data!P260</f>
        <v>MMF Patch Cables</v>
      </c>
      <c r="C257" s="644"/>
      <c r="D257" s="645"/>
      <c r="E257" s="28"/>
    </row>
    <row r="258" spans="1:5" s="25" customFormat="1">
      <c r="A258" s="647"/>
      <c r="B258" s="392">
        <f>Data!Q261</f>
        <v>4340481003</v>
      </c>
      <c r="C258" s="380" t="str">
        <f>Data!P261</f>
        <v>FIBER PATCH CABLE, MMF, LC-LC, 1Meter, DUPLEX, 50 MICRON, ORANGE, LYNN ELEC, 4340481003, MRN222264</v>
      </c>
      <c r="D258" s="390">
        <f>Data!R261</f>
        <v>14.62</v>
      </c>
      <c r="E258" s="28"/>
    </row>
    <row r="259" spans="1:5" s="25" customFormat="1">
      <c r="A259" s="647"/>
      <c r="B259" s="392" t="str">
        <f>Data!Q262</f>
        <v>LCLCDUPMM50-3M</v>
      </c>
      <c r="C259" s="380" t="str">
        <f>Data!P262</f>
        <v>FIBER PATCH CABLE, MMF, LC-LC, 3Meter, DUPLEX, 50 MICRON, LYNN ELEC, LCLCDUPMM50-3M, MRN226779</v>
      </c>
      <c r="D259" s="390">
        <f>Data!R262</f>
        <v>9.7200000000000006</v>
      </c>
      <c r="E259" s="28"/>
    </row>
    <row r="260" spans="1:5" s="25" customFormat="1">
      <c r="A260" s="647"/>
      <c r="B260" s="392" t="str">
        <f>Data!Q263</f>
        <v>LCLCDUPMM50-10M</v>
      </c>
      <c r="C260" s="380" t="str">
        <f>Data!P263</f>
        <v>FIBER PATCH CABLE, MMF, LC-LC, 10Meter, DUPLEX, 50 MICRON, LYNN ELEC, LCLCDUPMM50-10M, MRN226764</v>
      </c>
      <c r="D260" s="390">
        <f>Data!R263</f>
        <v>12.3</v>
      </c>
      <c r="E260" s="28"/>
    </row>
    <row r="261" spans="1:5" s="25" customFormat="1">
      <c r="A261" s="647"/>
      <c r="B261" s="392" t="str">
        <f>Data!Q264</f>
        <v>60897-3</v>
      </c>
      <c r="C261" s="380" t="str">
        <f>Data!P264</f>
        <v>FIBER PATCH CABLE, MMF, MTRJ-LC, 3Meter, DUPLEX, 50 MICRON, ORANGE, CONTROL CABLE, 60897-3, MRN225316</v>
      </c>
      <c r="D261" s="390">
        <f>Data!R264</f>
        <v>9.5500000000000007</v>
      </c>
      <c r="E261" s="28"/>
    </row>
    <row r="262" spans="1:5" s="25" customFormat="1">
      <c r="A262" s="647"/>
      <c r="B262" s="392" t="str">
        <f>Data!Q265</f>
        <v>LCLCDUPMM-3M</v>
      </c>
      <c r="C262" s="380" t="str">
        <f>Data!P265</f>
        <v>FIBER PATCH CABLE, MMF, LC-LC, 3Meter, DUPLEX, 62.5 MICRON, ORANGE, LYNN ELEC, LCLCDUPMM-3M, MRN226781</v>
      </c>
      <c r="D262" s="390">
        <f>Data!R265</f>
        <v>11.08</v>
      </c>
      <c r="E262" s="28"/>
    </row>
    <row r="263" spans="1:5" s="25" customFormat="1">
      <c r="A263" s="647"/>
      <c r="B263" s="392">
        <f>Data!Q266</f>
        <v>4340481007</v>
      </c>
      <c r="C263" s="380" t="str">
        <f>Data!P266</f>
        <v>FIBER PATCH CABLE, MMF, LC-LC, 5Meter, DUPLEX, 62.5 MICRON, ORANGE, LYNN ELEC, 4340481007, MRN224628</v>
      </c>
      <c r="D263" s="390">
        <f>Data!R266</f>
        <v>14.5</v>
      </c>
      <c r="E263" s="28"/>
    </row>
    <row r="264" spans="1:5" s="25" customFormat="1">
      <c r="A264" s="647"/>
      <c r="B264" s="392">
        <f>Data!Q267</f>
        <v>4340481008</v>
      </c>
      <c r="C264" s="380" t="str">
        <f>Data!P267</f>
        <v>FIBER PATCH CABLE, MMF, LC-LC, 8Meter, DUPLEX, 62.5 MICRON, ORANGE, LYNN ELEC, 4340481008, MRN224630</v>
      </c>
      <c r="D264" s="390">
        <f>Data!R267</f>
        <v>27.060000000000002</v>
      </c>
      <c r="E264" s="28"/>
    </row>
    <row r="265" spans="1:5" s="25" customFormat="1">
      <c r="A265" s="647"/>
      <c r="B265" s="392" t="str">
        <f>Data!Q268</f>
        <v>LCLCDUPMM-10M</v>
      </c>
      <c r="C265" s="380" t="str">
        <f>Data!P268</f>
        <v>FIBER PATCH CABLE, MMF, LC-LC, 10Meter, DUPLEX, 62.5 MICRON, ORANGE, LYNN ELEC, LCLCDUPMM-10M, MRN220238</v>
      </c>
      <c r="D265" s="390">
        <f>Data!R268</f>
        <v>12.3</v>
      </c>
      <c r="E265" s="28"/>
    </row>
    <row r="266" spans="1:5" s="25" customFormat="1">
      <c r="A266" s="647"/>
      <c r="B266" s="392">
        <f>Data!Q269</f>
        <v>4340481161</v>
      </c>
      <c r="C266" s="380" t="str">
        <f>Data!P269</f>
        <v>FIBER PATCH CABLE, MMF, LC-SC, 1Meter, DUPLEX, 62.5 MICRON, ORANGE, LYNN ELEC, 4340481161, MRN224641</v>
      </c>
      <c r="D266" s="390">
        <f>Data!R269</f>
        <v>11.59</v>
      </c>
      <c r="E266" s="28"/>
    </row>
    <row r="267" spans="1:5" s="25" customFormat="1">
      <c r="A267" s="647"/>
      <c r="B267" s="392" t="str">
        <f>Data!Q270</f>
        <v>LCSCDUPMM-2M</v>
      </c>
      <c r="C267" s="380" t="str">
        <f>Data!P270</f>
        <v>FIBER PATCH CABLE, MMF, LC-SC, 2Meter, DUPLEX, 62.5 MICRON, ORANGE, LYNN ELEC, LCSCDUPMM-2M, MRN226778</v>
      </c>
      <c r="D267" s="390">
        <f>Data!R270</f>
        <v>11.99</v>
      </c>
      <c r="E267" s="28"/>
    </row>
    <row r="268" spans="1:5" s="25" customFormat="1">
      <c r="A268" s="647"/>
      <c r="B268" s="392">
        <f>Data!Q271</f>
        <v>4340481094</v>
      </c>
      <c r="C268" s="380" t="str">
        <f>Data!P271</f>
        <v>FIBER PATCH CABLE, MMF, LC-SC, 3Meter, DUPLEX, 62.5 MICRON, ORANGE, LYNN ELEC, 4340481094, MRN236204</v>
      </c>
      <c r="D268" s="390">
        <f>Data!R271</f>
        <v>9.5500000000000007</v>
      </c>
      <c r="E268" s="28"/>
    </row>
    <row r="269" spans="1:5" s="25" customFormat="1">
      <c r="A269" s="647"/>
      <c r="B269" s="392">
        <f>Data!Q272</f>
        <v>4340481163</v>
      </c>
      <c r="C269" s="380" t="str">
        <f>Data!P272</f>
        <v>FIBER PATCH CABLE, MMF, LC-SC, 4Meter, DUPLEX, 62.5 MICRON, ORANGE, LYNN ELEC, 4340481163, MRN226783</v>
      </c>
      <c r="D269" s="390">
        <f>Data!R272</f>
        <v>13.68</v>
      </c>
      <c r="E269" s="28"/>
    </row>
    <row r="270" spans="1:5" s="25" customFormat="1">
      <c r="A270" s="647"/>
      <c r="B270" s="392" t="str">
        <f>Data!Q273</f>
        <v>LCSCDUPMM-5M</v>
      </c>
      <c r="C270" s="380" t="str">
        <f>Data!P273</f>
        <v>FIBER PATCH CABLE, MMF, LC-SC, 5Meter, DUPLEX, 62.5 MICRON, ORANGE, LYNN ELEC, LCSCDUPMM-5M, MRN226804</v>
      </c>
      <c r="D270" s="390">
        <f>Data!R273</f>
        <v>10.3</v>
      </c>
      <c r="E270" s="28"/>
    </row>
    <row r="271" spans="1:5" s="25" customFormat="1">
      <c r="A271" s="647"/>
      <c r="B271" s="392" t="str">
        <f>Data!Q274</f>
        <v>LCSCDUPMM-10M-O</v>
      </c>
      <c r="C271" s="380" t="str">
        <f>Data!P274</f>
        <v>FIBER PATCH CABLE, MMF, LC-SC, 10Meter, DUPLEX, 62.5 MICRON, ORANGE, LYNN ELEC, LCSCDUPMM-10M, MRN226768</v>
      </c>
      <c r="D271" s="390">
        <f>Data!R274</f>
        <v>15.17</v>
      </c>
      <c r="E271" s="28"/>
    </row>
    <row r="272" spans="1:5" s="25" customFormat="1">
      <c r="A272" s="647"/>
      <c r="B272" s="392" t="str">
        <f>Data!Q275</f>
        <v>LCSCDUPMM-15M</v>
      </c>
      <c r="C272" s="380" t="str">
        <f>Data!P275</f>
        <v>FIBER PATCH CABLE, MMF, LC-SC, 15Meter, DUPLEX, 62.5 MICRON, ORANGE, LYNN ELEC, LCSCDUPMM-15M, MRN226770</v>
      </c>
      <c r="D272" s="390">
        <f>Data!R275</f>
        <v>13.47</v>
      </c>
      <c r="E272" s="28"/>
    </row>
    <row r="273" spans="1:5" s="25" customFormat="1">
      <c r="A273" s="647"/>
      <c r="B273" s="392" t="str">
        <f>Data!Q276</f>
        <v>LCSCDUPMM-20M</v>
      </c>
      <c r="C273" s="380" t="str">
        <f>Data!P276</f>
        <v>FIBER PATCH CABLE, MMF, LC-SC, 20Meter, DUPLEX, 62.5 MICRON, ORANGE, LYNN ELEC, LCSCDUPMM-20M, MRN226776</v>
      </c>
      <c r="D273" s="390">
        <f>Data!R276</f>
        <v>17.41</v>
      </c>
      <c r="E273" s="28"/>
    </row>
    <row r="274" spans="1:5" s="25" customFormat="1">
      <c r="A274" s="647"/>
      <c r="B274" s="392">
        <f>Data!Q277</f>
        <v>4340481010</v>
      </c>
      <c r="C274" s="380" t="str">
        <f>Data!P277</f>
        <v>FIBER PATCH CABLE, MMF, LC-ST, 1Meter, DUPLEX, 62.5 MICRON, ORANGE, LYNN ELEC, 4340481010, MRN220694</v>
      </c>
      <c r="D274" s="390">
        <f>Data!R277</f>
        <v>22.11</v>
      </c>
      <c r="E274" s="28"/>
    </row>
    <row r="275" spans="1:5" s="25" customFormat="1">
      <c r="A275" s="647"/>
      <c r="B275" s="392" t="str">
        <f>Data!Q278</f>
        <v>60914-2</v>
      </c>
      <c r="C275" s="380" t="str">
        <f>Data!P278</f>
        <v>FIBER PATCH CABLE, MMF, MTRJ-SC, 2Meter, DUPLEX, 62.5 MICRON, ORANGE, CONTROL CABLE, 60914-2, MRN225324</v>
      </c>
      <c r="D275" s="390">
        <f>Data!R278</f>
        <v>8.35</v>
      </c>
      <c r="E275" s="28"/>
    </row>
    <row r="276" spans="1:5" s="25" customFormat="1">
      <c r="A276" s="647"/>
      <c r="B276" s="392" t="str">
        <f>Data!Q279</f>
        <v>60914-3</v>
      </c>
      <c r="C276" s="380" t="str">
        <f>Data!P279</f>
        <v>FIBER PATCH CABLE, MMF, MTRJ-SC, 3Meter, DUPLEX, 62.5 MICRON, ORANGE, CONTROL CABLE, 60914-3, MRN225318</v>
      </c>
      <c r="D276" s="390">
        <f>Data!R279</f>
        <v>8.75</v>
      </c>
      <c r="E276" s="28"/>
    </row>
    <row r="277" spans="1:5" s="25" customFormat="1">
      <c r="A277" s="647"/>
      <c r="B277" s="392" t="str">
        <f>Data!Q280</f>
        <v>60919-4</v>
      </c>
      <c r="C277" s="380" t="str">
        <f>Data!P280</f>
        <v>FIBER PATCH CABLE, MMF, MTRJ-ST, 4Meter, DUPLEX, 62.5 MICRON, ORANGE, CONTROL CABLE, 60919-4, MRN220684</v>
      </c>
      <c r="D277" s="390">
        <f>Data!R280</f>
        <v>9.17</v>
      </c>
      <c r="E277" s="28"/>
    </row>
    <row r="278" spans="1:5" s="25" customFormat="1">
      <c r="A278" s="647"/>
      <c r="B278" s="392" t="str">
        <f>Data!Q281</f>
        <v>60944-3</v>
      </c>
      <c r="C278" s="380" t="str">
        <f>Data!P281</f>
        <v>FIBER PATCH CABLE, MMF, SC-SC, 3Meter, DUPLEX, 62.5 MICRON, ORANGE, CONTROL CABLE, 60944-3, MRN220688</v>
      </c>
      <c r="D278" s="390">
        <f>Data!R281</f>
        <v>8.75</v>
      </c>
      <c r="E278" s="28"/>
    </row>
    <row r="279" spans="1:5" s="25" customFormat="1">
      <c r="A279" s="647"/>
      <c r="B279" s="392" t="str">
        <f>Data!Q282</f>
        <v>SCSCDUPMM-15M</v>
      </c>
      <c r="C279" s="380" t="str">
        <f>Data!P282</f>
        <v>FIBER PATCH CABLE, MMF, SC-SC, 15Meter, DUPLEX, 62.5 MICRON, ORANGE, LYNN ELEC, SCSCDUPMM-15M, MRN226771</v>
      </c>
      <c r="D279" s="390">
        <f>Data!R282</f>
        <v>13.74</v>
      </c>
      <c r="E279" s="28"/>
    </row>
    <row r="280" spans="1:5" s="25" customFormat="1">
      <c r="A280" s="647"/>
      <c r="B280" s="392" t="str">
        <f>Data!Q283</f>
        <v>SCSTDUPMM-15M</v>
      </c>
      <c r="C280" s="380" t="str">
        <f>Data!P283</f>
        <v>FIBER PATCH CABLE, MMF, SC-ST, 15Meter, DUPLEX, 62.5 MICRON, ORANGE, LYNN ELEC, SCSTDUPMM-15M, MRN226772</v>
      </c>
      <c r="D280" s="390">
        <f>Data!R283</f>
        <v>13.47</v>
      </c>
      <c r="E280" s="28"/>
    </row>
    <row r="281" spans="1:5" s="25" customFormat="1">
      <c r="A281" s="647"/>
      <c r="B281" s="392" t="str">
        <f>Data!Q284</f>
        <v>60921-3</v>
      </c>
      <c r="C281" s="380" t="str">
        <f>Data!P284</f>
        <v>FIBER PATCH CABLE, MMF, ST-ST, 3Meter, DUPLEX, 62.5 MICRON, ORANGE, CONTROL CABLE, 60921-3, MRN225317</v>
      </c>
      <c r="D281" s="390">
        <f>Data!R284</f>
        <v>8.77</v>
      </c>
      <c r="E281" s="28"/>
    </row>
    <row r="282" spans="1:5" s="25" customFormat="1">
      <c r="A282" s="647"/>
      <c r="B282" s="392" t="str">
        <f>Data!Q285</f>
        <v>60921-5</v>
      </c>
      <c r="C282" s="380" t="str">
        <f>Data!P285</f>
        <v>FIBER PATCH CABLE, MMF, ST-ST, 5Meter, DUPLEX, 62.5 MICRON, ORANGE, CONTROL CABLE, 60921-5, MRN225323</v>
      </c>
      <c r="D282" s="390">
        <f>Data!R285</f>
        <v>9.59</v>
      </c>
      <c r="E282" s="28"/>
    </row>
    <row r="283" spans="1:5" s="25" customFormat="1">
      <c r="A283" s="647"/>
      <c r="B283" s="392" t="str">
        <f>Data!Q286</f>
        <v>STSTDUPMM-15M</v>
      </c>
      <c r="C283" s="380" t="str">
        <f>Data!P286</f>
        <v>FIBER PATCH CABLE, MMF, ST-ST, 15Meter, DUPLEX, 62.5 MICRON, ORANGE, LYNN ELEC, STSTDUPMM-15M, MRN226773</v>
      </c>
      <c r="D283" s="390">
        <f>Data!R286</f>
        <v>13.19</v>
      </c>
      <c r="E283" s="28"/>
    </row>
    <row r="284" spans="1:5" s="25" customFormat="1">
      <c r="A284" s="647"/>
      <c r="B284" s="392" t="str">
        <f>Data!Q287</f>
        <v>LCLC-10GIG-1M</v>
      </c>
      <c r="C284" s="380" t="str">
        <f>Data!P287</f>
        <v>FIBER PATCH CABLE, MMF, LC-LC, 1Meter, OM3, 10GB, DUPLEX, 50 MICRON, LYNN ELEC, LCLC-10GIG-1M, MRN226774</v>
      </c>
      <c r="D284" s="390">
        <f>Data!R287</f>
        <v>16.260000000000002</v>
      </c>
      <c r="E284" s="28"/>
    </row>
    <row r="285" spans="1:5" s="25" customFormat="1">
      <c r="A285" s="647"/>
      <c r="B285" s="392" t="str">
        <f>Data!Q288</f>
        <v>LCLC-10GIG-2M</v>
      </c>
      <c r="C285" s="380" t="str">
        <f>Data!P288</f>
        <v>FIBER PATCH CABLE, MMF, LC-LC, 2Meter, OM3, 10GB, DUPLEX, 50 MICRON, LYNN ELEC, LCLC-10GIG-2M, MRN226777</v>
      </c>
      <c r="D285" s="390">
        <f>Data!R288</f>
        <v>16.829999999999998</v>
      </c>
      <c r="E285" s="28"/>
    </row>
    <row r="286" spans="1:5" s="25" customFormat="1">
      <c r="A286" s="647"/>
      <c r="B286" s="392" t="str">
        <f>Data!Q289</f>
        <v>LCLC-10GIG-3M</v>
      </c>
      <c r="C286" s="380" t="str">
        <f>Data!P289</f>
        <v>FIBER PATCH CABLE, MMF, LC-LC, 3Meter, OM3, 10GB, DUPLEX, 50 MICRON, LYNN ELEC, LCLC-10GIG-3M, MRN226780</v>
      </c>
      <c r="D286" s="390">
        <f>Data!R289</f>
        <v>17.89</v>
      </c>
      <c r="E286" s="28"/>
    </row>
    <row r="287" spans="1:5" s="25" customFormat="1">
      <c r="A287" s="647"/>
      <c r="B287" s="392" t="str">
        <f>Data!Q290</f>
        <v>LCLC-10GIG-4M</v>
      </c>
      <c r="C287" s="380" t="str">
        <f>Data!P290</f>
        <v>FIBER PATCH CABLE, MMF, LC-LC, 4Meter, OM3, 10GB, DUPLEX, 50 MICRON, LYNN ELEC, LCLC-10GIG-4M, MRN226782</v>
      </c>
      <c r="D287" s="390">
        <f>Data!R290</f>
        <v>14.39</v>
      </c>
      <c r="E287" s="28"/>
    </row>
    <row r="288" spans="1:5" s="25" customFormat="1">
      <c r="A288" s="647"/>
      <c r="B288" s="392" t="str">
        <f>Data!Q291</f>
        <v>LCLC-10GIG-5M</v>
      </c>
      <c r="C288" s="380" t="str">
        <f>Data!P291</f>
        <v>FIBER PATCH CABLE, MMF, LC-LC, 5Meter, OM3, 10GB, DUPLEX, 50 MICRON, LYNN ELEC, LCLC-10GIG-5M, MRN226784</v>
      </c>
      <c r="D288" s="390">
        <f>Data!R291</f>
        <v>29.54</v>
      </c>
      <c r="E288" s="28"/>
    </row>
    <row r="289" spans="1:5" s="25" customFormat="1">
      <c r="A289" s="647"/>
      <c r="B289" s="392" t="str">
        <f>Data!Q292</f>
        <v>LCLC-10GIG-8M</v>
      </c>
      <c r="C289" s="380" t="str">
        <f>Data!P292</f>
        <v>FIBER PATCH CABLE, MMF, LC-LC, 8Meter, OM3, 10GB, DUPLEX, 50 MICRON, LYNN ELEC, LCLC-10GIG-8M, MRN226785</v>
      </c>
      <c r="D289" s="390">
        <f>Data!R292</f>
        <v>17.23</v>
      </c>
      <c r="E289" s="28"/>
    </row>
    <row r="290" spans="1:5" s="25" customFormat="1">
      <c r="A290" s="647"/>
      <c r="B290" s="392" t="str">
        <f>Data!Q293</f>
        <v>LCLC-10GIG-10M</v>
      </c>
      <c r="C290" s="380" t="str">
        <f>Data!P293</f>
        <v>FIBER PATCH CABLE, MMF, LC-LC, 10Meter, OM3, 10GB, DUPLEX, 50 MICRON, LYNN ELEC, LCLC-10GIG-10M, MRN226765</v>
      </c>
      <c r="D290" s="390">
        <f>Data!R293</f>
        <v>26.2</v>
      </c>
      <c r="E290" s="28"/>
    </row>
    <row r="291" spans="1:5" s="25" customFormat="1">
      <c r="A291" s="647"/>
      <c r="B291" s="392" t="str">
        <f>Data!Q294</f>
        <v>LCLC-10GIG-15M</v>
      </c>
      <c r="C291" s="380" t="str">
        <f>Data!P294</f>
        <v>FIBER PATCH CABLE, MMF, LC-LC, 15Meter, OM3, 10GB, DUPLEX, 50 MICRON, LYNN ELEC, LCLC-10GIG-15M, MRN226769</v>
      </c>
      <c r="D291" s="390">
        <f>Data!R294</f>
        <v>22.19</v>
      </c>
      <c r="E291" s="28"/>
    </row>
    <row r="292" spans="1:5" s="25" customFormat="1">
      <c r="A292" s="647"/>
      <c r="B292" s="392" t="str">
        <f>Data!Q295</f>
        <v>LCLC-10GIG-20M</v>
      </c>
      <c r="C292" s="380" t="str">
        <f>Data!P295</f>
        <v>FIBER PATCH CABLE, MMF, LC-LC, 20Meter, OM3, 10GB, DUPLEX, 50 MICRON, LYNN ELEC, LCLC-10GIG-20M, MRN226775</v>
      </c>
      <c r="D292" s="390">
        <f>Data!R295</f>
        <v>25.74</v>
      </c>
      <c r="E292" s="28"/>
    </row>
    <row r="293" spans="1:5" s="25" customFormat="1">
      <c r="A293" s="647"/>
      <c r="B293" s="392">
        <f>Data!Q296</f>
        <v>4340481198</v>
      </c>
      <c r="C293" s="380" t="str">
        <f>Data!P296</f>
        <v>FIBER PATCH CABLE, MMF, LC-LC, 5Meter, OM3, 10GB, PLENUM, DUPLEX, 50 MICRON, LYNN ELEC, 4340481198, MRN224689</v>
      </c>
      <c r="D293" s="390">
        <f>Data!R296</f>
        <v>37.119999999999997</v>
      </c>
      <c r="E293" s="28"/>
    </row>
    <row r="294" spans="1:5" s="25" customFormat="1">
      <c r="A294" s="647"/>
      <c r="B294" s="392">
        <f>Data!Q297</f>
        <v>4340481199</v>
      </c>
      <c r="C294" s="380" t="str">
        <f>Data!P297</f>
        <v>FIBER PATCH CABLE, MMF, LC-LC, 8Meter, OM3, 10GB, PLENUM, DUPLEX, 50 MICRON, LYNN ELEC, 4340481199, MRN224691</v>
      </c>
      <c r="D294" s="390">
        <f>Data!R297</f>
        <v>34.299999999999997</v>
      </c>
      <c r="E294" s="28"/>
    </row>
    <row r="295" spans="1:5" s="25" customFormat="1">
      <c r="A295" s="647"/>
      <c r="B295" s="392" t="str">
        <f>Data!Q298</f>
        <v>LCSC-10GIG-2M</v>
      </c>
      <c r="C295" s="380" t="str">
        <f>Data!P298</f>
        <v>FIBER PATCH CABLE, MMF, LC-SC, 2Meter, OM3, 10GB, DUPLEX, 50 MICRON, LYNN ELEC, LCSC-10GIG-2M, MRN224686</v>
      </c>
      <c r="D295" s="390">
        <f>Data!R298</f>
        <v>19.07</v>
      </c>
      <c r="E295" s="28"/>
    </row>
    <row r="296" spans="1:5" s="25" customFormat="1">
      <c r="A296" s="647"/>
      <c r="B296" s="392" t="str">
        <f>Data!Q299</f>
        <v>LCSC-10GIG-3M</v>
      </c>
      <c r="C296" s="380" t="str">
        <f>Data!P299</f>
        <v>FIBER PATCH CABLE, MMF, LC-SC, 3Meter, OM3, 10GB, DUPLEX, 50 MICRON, LYNN ELEC, LCSC-10GIG-3M, MRN224683</v>
      </c>
      <c r="D296" s="390">
        <f>Data!R299</f>
        <v>12.93</v>
      </c>
      <c r="E296" s="28"/>
    </row>
    <row r="297" spans="1:5" s="25" customFormat="1">
      <c r="A297" s="647"/>
      <c r="B297" s="392" t="str">
        <f>Data!Q300</f>
        <v>LCSC-10GIG-5M</v>
      </c>
      <c r="C297" s="380" t="str">
        <f>Data!P300</f>
        <v>FIBER PATCH CABLE, MMF, LC-SC, 5Meter, OM3, 10GB, DUPLEX, 50 MICRON, LYNN ELEC, LCSC-10GIG-5M, MRN224678</v>
      </c>
      <c r="D297" s="390">
        <f>Data!R300</f>
        <v>13.6</v>
      </c>
      <c r="E297" s="28"/>
    </row>
    <row r="298" spans="1:5" s="25" customFormat="1" ht="13" thickBot="1">
      <c r="A298" s="647"/>
      <c r="B298" s="392" t="str">
        <f>Data!Q301</f>
        <v>LCSC-10GIG-10M</v>
      </c>
      <c r="C298" s="380" t="str">
        <f>Data!P301</f>
        <v>FIBER PATCH CABLE, MMF, LC-SC, 10Meter, OM3, 10GB, DUPLEX, 50 MICRON, LYNN ELEC, LCSC-10GIG-10M, MRN224671</v>
      </c>
      <c r="D298" s="390">
        <f>Data!R301</f>
        <v>16.7</v>
      </c>
      <c r="E298" s="28"/>
    </row>
    <row r="299" spans="1:5" s="25" customFormat="1" ht="20.149999999999999" customHeight="1">
      <c r="A299" s="647"/>
      <c r="B299" s="643" t="str">
        <f>Data!P302</f>
        <v>SMF Patch Cables</v>
      </c>
      <c r="C299" s="644"/>
      <c r="D299" s="645"/>
      <c r="E299" s="28"/>
    </row>
    <row r="300" spans="1:5" s="25" customFormat="1">
      <c r="A300" s="647"/>
      <c r="B300" s="392" t="str">
        <f>Data!Q303</f>
        <v>LCLCDUPSM-3M</v>
      </c>
      <c r="C300" s="380" t="str">
        <f>Data!P303</f>
        <v>FIBER PATCH CABLE, SMF, LC-LC, 3Meter, DUPLEX, 9 MICRON, YELLOW, LYNN ELEC, LCLCDUPSM-3M, MRN226797</v>
      </c>
      <c r="D300" s="390">
        <f>Data!R303</f>
        <v>11.28</v>
      </c>
      <c r="E300" s="28"/>
    </row>
    <row r="301" spans="1:5" s="25" customFormat="1">
      <c r="A301" s="647"/>
      <c r="B301" s="392" t="str">
        <f>Data!Q304</f>
        <v>LCLCDUPSM-5M</v>
      </c>
      <c r="C301" s="380" t="str">
        <f>Data!P304</f>
        <v>FIBER PATCH CABLE, SMF, LC-LC, 5Meter, DUPLEX, 9 MICRON, YELLOW, LYNN ELEC, LCLCDUPSM-5M, MRN226800</v>
      </c>
      <c r="D301" s="390">
        <f>Data!R304</f>
        <v>11.69</v>
      </c>
      <c r="E301" s="28"/>
    </row>
    <row r="302" spans="1:5" s="25" customFormat="1">
      <c r="A302" s="647"/>
      <c r="B302" s="392" t="str">
        <f>Data!Q305</f>
        <v>LCLCDUPSM-10M</v>
      </c>
      <c r="C302" s="380" t="str">
        <f>Data!P305</f>
        <v>FIBER PATCH CABLE, SMF, LC-LC, 10Meter, DUPLEX, 9 MICRON, YELLOW, LYNN ELEC, LCLCDUPSM-10M, MRN226786</v>
      </c>
      <c r="D302" s="390">
        <f>Data!R305</f>
        <v>12.63</v>
      </c>
      <c r="E302" s="28"/>
    </row>
    <row r="303" spans="1:5" s="25" customFormat="1">
      <c r="A303" s="647"/>
      <c r="B303" s="392" t="str">
        <f>Data!Q306</f>
        <v>LCSCDUPSM-2M</v>
      </c>
      <c r="C303" s="380" t="str">
        <f>Data!P306</f>
        <v>FIBER PATCH CABLE, SMF, LC-SC, 2Meter, DUPLEX, 9 MICRON, YELLOW, LYNN ELEC, LCSCDUPSM-2M, MRN226795</v>
      </c>
      <c r="D303" s="390">
        <f>Data!R306</f>
        <v>10.86</v>
      </c>
      <c r="E303" s="28"/>
    </row>
    <row r="304" spans="1:5" s="25" customFormat="1">
      <c r="A304" s="647"/>
      <c r="B304" s="392" t="str">
        <f>Data!Q307</f>
        <v>LCSCDUPSM-3M</v>
      </c>
      <c r="C304" s="380" t="str">
        <f>Data!P307</f>
        <v>FIBER PATCH CABLE, SMF, LC-SC, 3Meter, DUPLEX,  9 MICRON, YELLOW, LYNN ELEC, LCSCDUPSM-3M, MRN226798</v>
      </c>
      <c r="D304" s="390">
        <f>Data!R307</f>
        <v>11.02</v>
      </c>
      <c r="E304" s="28"/>
    </row>
    <row r="305" spans="1:5" s="25" customFormat="1">
      <c r="A305" s="647"/>
      <c r="B305" s="392" t="str">
        <f>Data!Q308</f>
        <v>LCSCDUPSM-5M</v>
      </c>
      <c r="C305" s="380" t="str">
        <f>Data!P308</f>
        <v>FIBER PATCH CABLE, SMF, LC-SC, 5Meter, DUPLEX,  9 MICRON, YELLOW, LYNN ELEC, LCSCDUPSM-5M, MRN226801</v>
      </c>
      <c r="D305" s="390">
        <f>Data!R308</f>
        <v>11.41</v>
      </c>
      <c r="E305" s="28"/>
    </row>
    <row r="306" spans="1:5" s="25" customFormat="1">
      <c r="A306" s="647"/>
      <c r="B306" s="392" t="str">
        <f>Data!Q309</f>
        <v>LCSCDUPSM-10M</v>
      </c>
      <c r="C306" s="380" t="str">
        <f>Data!P309</f>
        <v>FIBER PATCH CABLE, SMF, LC-SC, 10Meter, DUPLEX, 9 MICRON, YELLOW, LYNN ELEC, LCSCDUPSM-10M, MRN226787</v>
      </c>
      <c r="D306" s="390">
        <f>Data!R309</f>
        <v>12.36</v>
      </c>
      <c r="E306" s="28"/>
    </row>
    <row r="307" spans="1:5" s="25" customFormat="1">
      <c r="A307" s="647"/>
      <c r="B307" s="392" t="str">
        <f>Data!Q310</f>
        <v>LCSCDUPSM-15M</v>
      </c>
      <c r="C307" s="380" t="str">
        <f>Data!P310</f>
        <v>FIBER PATCH CABLE, SMF, LC-SC, 15Meter, DUPLEX,  9 MICRON, YELLOW, LYNN ELEC, LCSCDUPSM-15M, MRN226789</v>
      </c>
      <c r="D307" s="390">
        <f>Data!R310</f>
        <v>13.3</v>
      </c>
      <c r="E307" s="28"/>
    </row>
    <row r="308" spans="1:5" s="25" customFormat="1">
      <c r="A308" s="647"/>
      <c r="B308" s="392" t="str">
        <f>Data!Q311</f>
        <v>LCSCDUPSM-30M</v>
      </c>
      <c r="C308" s="380" t="str">
        <f>Data!P311</f>
        <v>FIBER PATCH CABLE, SMF, LC-SC, 30Meter, DUPLEX, 9 MICRON, YELLOW, LYNN ELEC, LCSCDUPSM-30M, MRN226796</v>
      </c>
      <c r="D308" s="390">
        <f>Data!R311</f>
        <v>16.13</v>
      </c>
      <c r="E308" s="28"/>
    </row>
    <row r="309" spans="1:5" s="25" customFormat="1">
      <c r="A309" s="647"/>
      <c r="B309" s="392" t="str">
        <f>Data!Q312</f>
        <v>LCSTDUPSM-3M</v>
      </c>
      <c r="C309" s="380" t="str">
        <f>Data!P312</f>
        <v>FIBER PATCH CABLE, SMF, LC-ST, 3Meter, DUPLEX,  9 MICRON, YELLOW, LYNN ELEC, LCSTDUPSM-3M, MRN226799</v>
      </c>
      <c r="D309" s="390">
        <f>Data!R312</f>
        <v>11.02</v>
      </c>
      <c r="E309" s="28"/>
    </row>
    <row r="310" spans="1:5" s="25" customFormat="1">
      <c r="A310" s="647"/>
      <c r="B310" s="392" t="str">
        <f>Data!Q313</f>
        <v>LCSTDUPSM-5M</v>
      </c>
      <c r="C310" s="380" t="str">
        <f>Data!P313</f>
        <v>FIBER PATCH CABLE, SMF, LC-ST, 5Meter, DUPLEX,  9 MICRON, YELLOW, LYNN ELEC, LCSTDUPSM-5M, MRN226803</v>
      </c>
      <c r="D310" s="390">
        <f>Data!R313</f>
        <v>11.41</v>
      </c>
      <c r="E310" s="28"/>
    </row>
    <row r="311" spans="1:5" s="25" customFormat="1">
      <c r="A311" s="647"/>
      <c r="B311" s="392" t="str">
        <f>Data!Q314</f>
        <v>SCSCDUPSM-3M</v>
      </c>
      <c r="C311" s="380" t="str">
        <f>Data!P314</f>
        <v>FIBER PATCH CABLE, SMF, SC-SC, 3Meter, DUPLEX, 9 MICRON, YELLOW, LYNN ELEC, SCSCDUPSM-3M, MRN222732</v>
      </c>
      <c r="D311" s="390">
        <f>Data!R314</f>
        <v>12.469999999999999</v>
      </c>
      <c r="E311" s="28"/>
    </row>
    <row r="312" spans="1:5" s="25" customFormat="1">
      <c r="A312" s="647"/>
      <c r="B312" s="392" t="str">
        <f>Data!Q315</f>
        <v>SCSCDUPSM-5M</v>
      </c>
      <c r="C312" s="380" t="str">
        <f>Data!P315</f>
        <v>FIBER PATCH CABLE, SMF, SC-SC, 5Meter, DUPLEX,  9 MICRON, YELLOW, LYNN ELEC, SCSCDUPSM-5M, MRN222735</v>
      </c>
      <c r="D312" s="390">
        <f>Data!R315</f>
        <v>11.19</v>
      </c>
      <c r="E312" s="28"/>
    </row>
    <row r="313" spans="1:5" s="25" customFormat="1">
      <c r="A313" s="647"/>
      <c r="B313" s="392" t="str">
        <f>Data!Q316</f>
        <v>SCSCDUPSM-10M</v>
      </c>
      <c r="C313" s="380" t="str">
        <f>Data!P316</f>
        <v>FIBER PATCH CABLE, SMF, SC-SC, 10Meter, DUPLEX, 9 MICRON, YELLOW, LYNN ELEC, SCSCDUPSM-10M, MRN226788</v>
      </c>
      <c r="D313" s="390">
        <f>Data!R316</f>
        <v>12.13</v>
      </c>
      <c r="E313" s="28"/>
    </row>
    <row r="314" spans="1:5" s="25" customFormat="1">
      <c r="A314" s="647"/>
      <c r="B314" s="392" t="str">
        <f>Data!Q317</f>
        <v>SCSCDUPSM-15M</v>
      </c>
      <c r="C314" s="380" t="str">
        <f>Data!P317</f>
        <v>FIBER PATCH CABLE, SMF, SC-SC, 15Meter, DUPLEX,  9 MICRON, YELLOW, LYNN ELEC, SCSCDUPSM-15M, MRN226790</v>
      </c>
      <c r="D314" s="390">
        <f>Data!R317</f>
        <v>13.08</v>
      </c>
      <c r="E314" s="28"/>
    </row>
    <row r="315" spans="1:5" s="25" customFormat="1">
      <c r="A315" s="647"/>
      <c r="B315" s="392" t="str">
        <f>Data!Q318</f>
        <v>SCSCDUPSM-25M</v>
      </c>
      <c r="C315" s="380" t="str">
        <f>Data!P318</f>
        <v>FIBER PATCH CABLE, SMF, SC-SC, 25Meter, DUPLEX, 9 MICRON, YELLOW, LYNN ELEC, SCSCDUPSM-25M, MRN226793</v>
      </c>
      <c r="D315" s="390">
        <f>Data!R318</f>
        <v>14.97</v>
      </c>
      <c r="E315" s="28"/>
    </row>
    <row r="316" spans="1:5" s="25" customFormat="1">
      <c r="A316" s="647"/>
      <c r="B316" s="392" t="str">
        <f>Data!Q319</f>
        <v>SCSTDUPSM-15M</v>
      </c>
      <c r="C316" s="380" t="str">
        <f>Data!P319</f>
        <v>FIBER PATCH CABLE, SMF, SC-ST, 15Meter, DUPLEX,  9 MICRON, YELLOW, LYNN ELEC, SCSTDUPSM-15M, MRN226791</v>
      </c>
      <c r="D316" s="390">
        <f>Data!R319</f>
        <v>13.08</v>
      </c>
      <c r="E316" s="28"/>
    </row>
    <row r="317" spans="1:5" s="25" customFormat="1">
      <c r="A317" s="647"/>
      <c r="B317" s="392" t="str">
        <f>Data!Q320</f>
        <v>STSTDUPSM-15M</v>
      </c>
      <c r="C317" s="380" t="str">
        <f>Data!P320</f>
        <v>FIBER PATCH CABLE, SMF, ST-ST, 15Meter, DUPLEX,  9 MICRON, YELLOW, LYNN ELEC, STSTDUPSM-15M, MRN226792</v>
      </c>
      <c r="D317" s="390">
        <f>Data!R320</f>
        <v>13.08</v>
      </c>
      <c r="E317" s="28"/>
    </row>
    <row r="318" spans="1:5" s="25" customFormat="1" ht="13" thickBot="1">
      <c r="A318" s="648"/>
      <c r="B318" s="393" t="str">
        <f>Data!Q321</f>
        <v>60964-3</v>
      </c>
      <c r="C318" s="172" t="str">
        <f>Data!P321</f>
        <v>FIBER PATCH CABLE, SMF, MTRJ-MTRJ, 3Meter, DUPLEX,  9 MICRON, YELLOW, CONTROL CABLE, 60964-3, MRN225319</v>
      </c>
      <c r="D318" s="175">
        <f>Data!R321</f>
        <v>9.39</v>
      </c>
      <c r="E318" s="28"/>
    </row>
    <row r="319" spans="1:5" s="25" customFormat="1" ht="20.149999999999999" customHeight="1">
      <c r="A319" s="28"/>
      <c r="B319" s="28"/>
      <c r="C319" s="28"/>
      <c r="D319" s="62"/>
      <c r="E319" s="28"/>
    </row>
    <row r="320" spans="1:5" s="25" customFormat="1" hidden="1">
      <c r="D320" s="30"/>
    </row>
    <row r="321" spans="4:4" s="25" customFormat="1" hidden="1">
      <c r="D321" s="30"/>
    </row>
    <row r="322" spans="4:4" s="25" customFormat="1" hidden="1">
      <c r="D322" s="30"/>
    </row>
    <row r="323" spans="4:4" s="25" customFormat="1" hidden="1">
      <c r="D323" s="30"/>
    </row>
    <row r="324" spans="4:4" s="25" customFormat="1" hidden="1">
      <c r="D324" s="30"/>
    </row>
    <row r="325" spans="4:4" s="25" customFormat="1" hidden="1">
      <c r="D325" s="30"/>
    </row>
    <row r="326" spans="4:4" s="25" customFormat="1" hidden="1">
      <c r="D326" s="30"/>
    </row>
    <row r="327" spans="4:4" s="25" customFormat="1" hidden="1">
      <c r="D327" s="30"/>
    </row>
    <row r="328" spans="4:4" s="25" customFormat="1" hidden="1">
      <c r="D328" s="30"/>
    </row>
    <row r="329" spans="4:4" s="25" customFormat="1" hidden="1">
      <c r="D329" s="30"/>
    </row>
    <row r="330" spans="4:4" s="25" customFormat="1" hidden="1">
      <c r="D330" s="30"/>
    </row>
    <row r="331" spans="4:4" s="25" customFormat="1" hidden="1">
      <c r="D331" s="30"/>
    </row>
    <row r="332" spans="4:4" s="25" customFormat="1" hidden="1">
      <c r="D332" s="30"/>
    </row>
    <row r="333" spans="4:4" s="25" customFormat="1" hidden="1">
      <c r="D333" s="30"/>
    </row>
    <row r="334" spans="4:4" s="25" customFormat="1" hidden="1">
      <c r="D334" s="30"/>
    </row>
    <row r="335" spans="4:4" s="25" customFormat="1" hidden="1">
      <c r="D335" s="30"/>
    </row>
    <row r="336" spans="4:4" s="25" customFormat="1" hidden="1">
      <c r="D336" s="30"/>
    </row>
    <row r="337" spans="4:4" s="25" customFormat="1" hidden="1">
      <c r="D337" s="30"/>
    </row>
    <row r="338" spans="4:4" s="25" customFormat="1" hidden="1">
      <c r="D338" s="30"/>
    </row>
    <row r="339" spans="4:4" s="25" customFormat="1" hidden="1">
      <c r="D339" s="30"/>
    </row>
    <row r="340" spans="4:4" s="25" customFormat="1" hidden="1">
      <c r="D340" s="30"/>
    </row>
    <row r="341" spans="4:4" s="25" customFormat="1" hidden="1">
      <c r="D341" s="30"/>
    </row>
    <row r="342" spans="4:4" s="25" customFormat="1" hidden="1">
      <c r="D342" s="30"/>
    </row>
    <row r="343" spans="4:4" s="25" customFormat="1" hidden="1">
      <c r="D343" s="30"/>
    </row>
    <row r="344" spans="4:4" s="25" customFormat="1" hidden="1">
      <c r="D344" s="30"/>
    </row>
    <row r="345" spans="4:4" s="25" customFormat="1" hidden="1">
      <c r="D345" s="30"/>
    </row>
    <row r="346" spans="4:4" s="25" customFormat="1" hidden="1">
      <c r="D346" s="30"/>
    </row>
    <row r="347" spans="4:4" s="25" customFormat="1" hidden="1">
      <c r="D347" s="30"/>
    </row>
    <row r="348" spans="4:4" s="25" customFormat="1" hidden="1">
      <c r="D348" s="30"/>
    </row>
    <row r="349" spans="4:4" s="25" customFormat="1" hidden="1">
      <c r="D349" s="30"/>
    </row>
    <row r="350" spans="4:4" s="25" customFormat="1" hidden="1">
      <c r="D350" s="30"/>
    </row>
    <row r="351" spans="4:4" s="25" customFormat="1" hidden="1">
      <c r="D351" s="30"/>
    </row>
    <row r="352" spans="4:4" s="25" customFormat="1" hidden="1">
      <c r="D352" s="30"/>
    </row>
    <row r="353" spans="4:4" s="25" customFormat="1" hidden="1">
      <c r="D353" s="30"/>
    </row>
    <row r="354" spans="4:4" s="25" customFormat="1" hidden="1">
      <c r="D354" s="30"/>
    </row>
    <row r="355" spans="4:4" s="25" customFormat="1" hidden="1">
      <c r="D355" s="30"/>
    </row>
    <row r="356" spans="4:4" s="25" customFormat="1" hidden="1">
      <c r="D356" s="30"/>
    </row>
    <row r="357" spans="4:4" s="25" customFormat="1" hidden="1">
      <c r="D357" s="30"/>
    </row>
    <row r="358" spans="4:4" s="25" customFormat="1" hidden="1">
      <c r="D358" s="30"/>
    </row>
    <row r="359" spans="4:4" s="25" customFormat="1" hidden="1">
      <c r="D359" s="30"/>
    </row>
    <row r="360" spans="4:4" s="25" customFormat="1" hidden="1">
      <c r="D360" s="30"/>
    </row>
    <row r="361" spans="4:4" s="25" customFormat="1" hidden="1">
      <c r="D361" s="30"/>
    </row>
    <row r="362" spans="4:4" s="25" customFormat="1" hidden="1">
      <c r="D362" s="30"/>
    </row>
    <row r="363" spans="4:4" s="25" customFormat="1" hidden="1">
      <c r="D363" s="30"/>
    </row>
    <row r="364" spans="4:4" s="25" customFormat="1" hidden="1">
      <c r="D364" s="30"/>
    </row>
    <row r="365" spans="4:4" s="25" customFormat="1" hidden="1">
      <c r="D365" s="30"/>
    </row>
    <row r="366" spans="4:4" s="25" customFormat="1" hidden="1">
      <c r="D366" s="30"/>
    </row>
    <row r="367" spans="4:4" s="25" customFormat="1" hidden="1">
      <c r="D367" s="30"/>
    </row>
    <row r="368" spans="4:4" s="25" customFormat="1" hidden="1">
      <c r="D368" s="30"/>
    </row>
    <row r="369" spans="4:4" s="25" customFormat="1" hidden="1">
      <c r="D369" s="30"/>
    </row>
    <row r="370" spans="4:4" s="25" customFormat="1" hidden="1">
      <c r="D370" s="30"/>
    </row>
    <row r="371" spans="4:4" s="25" customFormat="1" hidden="1">
      <c r="D371" s="30"/>
    </row>
    <row r="372" spans="4:4" s="25" customFormat="1" hidden="1">
      <c r="D372" s="30"/>
    </row>
    <row r="373" spans="4:4" s="25" customFormat="1" hidden="1">
      <c r="D373" s="30"/>
    </row>
    <row r="374" spans="4:4" s="25" customFormat="1" hidden="1">
      <c r="D374" s="30"/>
    </row>
    <row r="375" spans="4:4" s="25" customFormat="1" hidden="1">
      <c r="D375" s="30"/>
    </row>
    <row r="376" spans="4:4" s="25" customFormat="1" hidden="1">
      <c r="D376" s="30"/>
    </row>
    <row r="377" spans="4:4" s="25" customFormat="1" hidden="1">
      <c r="D377" s="30"/>
    </row>
    <row r="378" spans="4:4" s="25" customFormat="1" hidden="1">
      <c r="D378" s="30"/>
    </row>
    <row r="379" spans="4:4" s="25" customFormat="1" hidden="1">
      <c r="D379" s="30"/>
    </row>
    <row r="380" spans="4:4" s="25" customFormat="1" hidden="1">
      <c r="D380" s="30"/>
    </row>
    <row r="381" spans="4:4" s="25" customFormat="1" hidden="1">
      <c r="D381" s="30"/>
    </row>
    <row r="382" spans="4:4" s="25" customFormat="1" hidden="1">
      <c r="D382" s="30"/>
    </row>
    <row r="383" spans="4:4" s="25" customFormat="1" hidden="1">
      <c r="D383" s="30"/>
    </row>
    <row r="384" spans="4:4" s="25" customFormat="1" hidden="1">
      <c r="D384" s="30"/>
    </row>
    <row r="385" spans="4:4" s="25" customFormat="1" hidden="1">
      <c r="D385" s="30"/>
    </row>
    <row r="386" spans="4:4" s="25" customFormat="1" hidden="1">
      <c r="D386" s="30"/>
    </row>
    <row r="387" spans="4:4" s="25" customFormat="1" hidden="1">
      <c r="D387" s="30"/>
    </row>
    <row r="388" spans="4:4" s="25" customFormat="1" hidden="1">
      <c r="D388" s="30"/>
    </row>
    <row r="389" spans="4:4" s="25" customFormat="1" hidden="1">
      <c r="D389" s="30"/>
    </row>
    <row r="390" spans="4:4" s="25" customFormat="1" hidden="1">
      <c r="D390" s="30"/>
    </row>
    <row r="391" spans="4:4" s="25" customFormat="1" hidden="1">
      <c r="D391" s="30"/>
    </row>
    <row r="392" spans="4:4" s="25" customFormat="1" hidden="1">
      <c r="D392" s="30"/>
    </row>
    <row r="393" spans="4:4" s="25" customFormat="1" hidden="1">
      <c r="D393" s="30"/>
    </row>
    <row r="394" spans="4:4" s="25" customFormat="1" hidden="1">
      <c r="D394" s="30"/>
    </row>
    <row r="395" spans="4:4" s="25" customFormat="1" hidden="1">
      <c r="D395" s="30"/>
    </row>
    <row r="396" spans="4:4" s="25" customFormat="1" hidden="1">
      <c r="D396" s="30"/>
    </row>
    <row r="397" spans="4:4" s="25" customFormat="1" hidden="1">
      <c r="D397" s="30"/>
    </row>
    <row r="398" spans="4:4" s="25" customFormat="1" hidden="1">
      <c r="D398" s="30"/>
    </row>
    <row r="399" spans="4:4" s="25" customFormat="1" hidden="1">
      <c r="D399" s="30"/>
    </row>
    <row r="400" spans="4:4" s="25" customFormat="1" hidden="1">
      <c r="D400" s="30"/>
    </row>
    <row r="401" spans="4:4" s="25" customFormat="1" hidden="1">
      <c r="D401" s="30"/>
    </row>
    <row r="402" spans="4:4" s="25" customFormat="1" hidden="1">
      <c r="D402" s="30"/>
    </row>
    <row r="403" spans="4:4" s="25" customFormat="1" hidden="1">
      <c r="D403" s="30"/>
    </row>
    <row r="404" spans="4:4" s="25" customFormat="1" hidden="1">
      <c r="D404" s="30"/>
    </row>
    <row r="405" spans="4:4" s="25" customFormat="1" hidden="1">
      <c r="D405" s="30"/>
    </row>
    <row r="406" spans="4:4" s="25" customFormat="1" hidden="1">
      <c r="D406" s="30"/>
    </row>
    <row r="407" spans="4:4" s="25" customFormat="1" hidden="1">
      <c r="D407" s="30"/>
    </row>
    <row r="408" spans="4:4" s="25" customFormat="1" hidden="1">
      <c r="D408" s="30"/>
    </row>
    <row r="409" spans="4:4" s="25" customFormat="1" hidden="1">
      <c r="D409" s="30"/>
    </row>
    <row r="410" spans="4:4" s="25" customFormat="1" hidden="1">
      <c r="D410" s="30"/>
    </row>
    <row r="411" spans="4:4" s="25" customFormat="1" hidden="1">
      <c r="D411" s="30"/>
    </row>
    <row r="412" spans="4:4" s="25" customFormat="1" hidden="1">
      <c r="D412" s="30"/>
    </row>
    <row r="413" spans="4:4" s="25" customFormat="1" hidden="1">
      <c r="D413" s="30"/>
    </row>
    <row r="414" spans="4:4" s="25" customFormat="1" hidden="1">
      <c r="D414" s="30"/>
    </row>
    <row r="415" spans="4:4" s="25" customFormat="1" hidden="1">
      <c r="D415" s="30"/>
    </row>
    <row r="416" spans="4:4" s="25" customFormat="1" hidden="1">
      <c r="D416" s="30"/>
    </row>
    <row r="417" spans="4:4" s="25" customFormat="1" hidden="1">
      <c r="D417" s="30"/>
    </row>
    <row r="418" spans="4:4" s="25" customFormat="1" hidden="1">
      <c r="D418" s="30"/>
    </row>
    <row r="419" spans="4:4" s="25" customFormat="1" hidden="1">
      <c r="D419" s="30"/>
    </row>
    <row r="420" spans="4:4" s="25" customFormat="1" hidden="1">
      <c r="D420" s="30"/>
    </row>
    <row r="421" spans="4:4" s="25" customFormat="1" hidden="1">
      <c r="D421" s="30"/>
    </row>
    <row r="422" spans="4:4" s="25" customFormat="1" hidden="1">
      <c r="D422" s="30"/>
    </row>
    <row r="423" spans="4:4" s="25" customFormat="1" hidden="1">
      <c r="D423" s="30"/>
    </row>
    <row r="424" spans="4:4" s="25" customFormat="1" hidden="1">
      <c r="D424" s="30"/>
    </row>
    <row r="425" spans="4:4" s="25" customFormat="1" hidden="1">
      <c r="D425" s="30"/>
    </row>
    <row r="426" spans="4:4" s="25" customFormat="1" hidden="1">
      <c r="D426" s="30"/>
    </row>
    <row r="427" spans="4:4" s="25" customFormat="1" hidden="1">
      <c r="D427" s="30"/>
    </row>
    <row r="428" spans="4:4" s="25" customFormat="1" hidden="1">
      <c r="D428" s="30"/>
    </row>
    <row r="429" spans="4:4" s="25" customFormat="1" hidden="1">
      <c r="D429" s="30"/>
    </row>
    <row r="430" spans="4:4" s="25" customFormat="1" hidden="1">
      <c r="D430" s="30"/>
    </row>
    <row r="431" spans="4:4" s="25" customFormat="1" hidden="1">
      <c r="D431" s="30"/>
    </row>
    <row r="432" spans="4:4" s="25" customFormat="1" hidden="1">
      <c r="D432" s="30"/>
    </row>
    <row r="433" spans="4:4" s="25" customFormat="1" hidden="1">
      <c r="D433" s="30"/>
    </row>
    <row r="434" spans="4:4" s="25" customFormat="1" hidden="1">
      <c r="D434" s="30"/>
    </row>
    <row r="435" spans="4:4" s="25" customFormat="1" hidden="1">
      <c r="D435" s="30"/>
    </row>
    <row r="436" spans="4:4" s="25" customFormat="1" hidden="1">
      <c r="D436" s="30"/>
    </row>
    <row r="437" spans="4:4" s="25" customFormat="1" hidden="1">
      <c r="D437" s="30"/>
    </row>
    <row r="438" spans="4:4" s="25" customFormat="1" hidden="1">
      <c r="D438" s="30"/>
    </row>
    <row r="439" spans="4:4" s="25" customFormat="1" hidden="1">
      <c r="D439" s="30"/>
    </row>
    <row r="440" spans="4:4" s="25" customFormat="1" hidden="1">
      <c r="D440" s="30"/>
    </row>
    <row r="441" spans="4:4" s="25" customFormat="1" hidden="1">
      <c r="D441" s="30"/>
    </row>
    <row r="442" spans="4:4" s="25" customFormat="1" hidden="1">
      <c r="D442" s="30"/>
    </row>
    <row r="443" spans="4:4" s="25" customFormat="1" hidden="1">
      <c r="D443" s="30"/>
    </row>
    <row r="444" spans="4:4" s="25" customFormat="1" hidden="1">
      <c r="D444" s="30"/>
    </row>
    <row r="445" spans="4:4" s="25" customFormat="1" hidden="1">
      <c r="D445" s="30"/>
    </row>
    <row r="446" spans="4:4" s="25" customFormat="1" hidden="1">
      <c r="D446" s="30"/>
    </row>
    <row r="447" spans="4:4" s="25" customFormat="1" hidden="1">
      <c r="D447" s="30"/>
    </row>
    <row r="448" spans="4:4" s="25" customFormat="1" hidden="1">
      <c r="D448" s="30"/>
    </row>
    <row r="449" spans="4:4" s="25" customFormat="1" hidden="1">
      <c r="D449" s="30"/>
    </row>
    <row r="450" spans="4:4" s="25" customFormat="1" hidden="1">
      <c r="D450" s="30"/>
    </row>
    <row r="451" spans="4:4" s="25" customFormat="1" hidden="1">
      <c r="D451" s="30"/>
    </row>
    <row r="452" spans="4:4" s="25" customFormat="1" hidden="1">
      <c r="D452" s="30"/>
    </row>
    <row r="453" spans="4:4" s="25" customFormat="1" hidden="1">
      <c r="D453" s="30"/>
    </row>
    <row r="454" spans="4:4" s="25" customFormat="1" hidden="1">
      <c r="D454" s="30"/>
    </row>
    <row r="455" spans="4:4" s="25" customFormat="1" hidden="1">
      <c r="D455" s="30"/>
    </row>
    <row r="456" spans="4:4" s="25" customFormat="1" hidden="1">
      <c r="D456" s="30"/>
    </row>
    <row r="457" spans="4:4" s="25" customFormat="1" hidden="1">
      <c r="D457" s="30"/>
    </row>
    <row r="458" spans="4:4" s="25" customFormat="1" hidden="1">
      <c r="D458" s="30"/>
    </row>
    <row r="459" spans="4:4" s="25" customFormat="1" hidden="1">
      <c r="D459" s="30"/>
    </row>
    <row r="460" spans="4:4" s="25" customFormat="1" hidden="1">
      <c r="D460" s="30"/>
    </row>
    <row r="461" spans="4:4" s="25" customFormat="1" hidden="1">
      <c r="D461" s="30"/>
    </row>
    <row r="462" spans="4:4" s="25" customFormat="1" hidden="1">
      <c r="D462" s="30"/>
    </row>
    <row r="463" spans="4:4" s="25" customFormat="1" hidden="1">
      <c r="D463" s="30"/>
    </row>
    <row r="464" spans="4:4" s="25" customFormat="1" hidden="1">
      <c r="D464" s="30"/>
    </row>
    <row r="465" spans="4:4" s="25" customFormat="1" hidden="1">
      <c r="D465" s="30"/>
    </row>
    <row r="466" spans="4:4" s="25" customFormat="1" hidden="1">
      <c r="D466" s="30"/>
    </row>
    <row r="467" spans="4:4" s="25" customFormat="1" hidden="1">
      <c r="D467" s="30"/>
    </row>
    <row r="468" spans="4:4" s="25" customFormat="1" hidden="1">
      <c r="D468" s="30"/>
    </row>
    <row r="469" spans="4:4" s="25" customFormat="1" hidden="1">
      <c r="D469" s="30"/>
    </row>
    <row r="470" spans="4:4" s="25" customFormat="1" hidden="1">
      <c r="D470" s="30"/>
    </row>
    <row r="471" spans="4:4" s="25" customFormat="1" hidden="1">
      <c r="D471" s="30"/>
    </row>
    <row r="472" spans="4:4" s="25" customFormat="1" hidden="1">
      <c r="D472" s="30"/>
    </row>
    <row r="473" spans="4:4" s="25" customFormat="1" hidden="1">
      <c r="D473" s="30"/>
    </row>
    <row r="474" spans="4:4" s="25" customFormat="1" hidden="1">
      <c r="D474" s="30"/>
    </row>
    <row r="475" spans="4:4" s="25" customFormat="1" hidden="1">
      <c r="D475" s="30"/>
    </row>
    <row r="476" spans="4:4" s="25" customFormat="1" hidden="1">
      <c r="D476" s="30"/>
    </row>
    <row r="477" spans="4:4" s="25" customFormat="1" hidden="1">
      <c r="D477" s="30"/>
    </row>
    <row r="478" spans="4:4" s="25" customFormat="1" hidden="1">
      <c r="D478" s="30"/>
    </row>
    <row r="479" spans="4:4" s="25" customFormat="1" hidden="1">
      <c r="D479" s="30"/>
    </row>
    <row r="480" spans="4:4" s="25" customFormat="1" hidden="1">
      <c r="D480" s="30"/>
    </row>
    <row r="481" spans="4:4" s="25" customFormat="1" hidden="1">
      <c r="D481" s="30"/>
    </row>
    <row r="482" spans="4:4" s="25" customFormat="1" hidden="1">
      <c r="D482" s="30"/>
    </row>
    <row r="483" spans="4:4" s="25" customFormat="1" hidden="1">
      <c r="D483" s="30"/>
    </row>
    <row r="484" spans="4:4" s="25" customFormat="1" hidden="1">
      <c r="D484" s="30"/>
    </row>
    <row r="485" spans="4:4" s="25" customFormat="1" hidden="1">
      <c r="D485" s="30"/>
    </row>
    <row r="486" spans="4:4" s="25" customFormat="1" hidden="1">
      <c r="D486" s="30"/>
    </row>
    <row r="487" spans="4:4" s="25" customFormat="1" hidden="1">
      <c r="D487" s="30"/>
    </row>
    <row r="488" spans="4:4" s="25" customFormat="1" hidden="1">
      <c r="D488" s="30"/>
    </row>
    <row r="489" spans="4:4" s="25" customFormat="1" hidden="1">
      <c r="D489" s="30"/>
    </row>
    <row r="490" spans="4:4" s="25" customFormat="1" hidden="1">
      <c r="D490" s="30"/>
    </row>
    <row r="491" spans="4:4" s="25" customFormat="1" hidden="1">
      <c r="D491" s="30"/>
    </row>
    <row r="492" spans="4:4" s="25" customFormat="1" hidden="1">
      <c r="D492" s="30"/>
    </row>
    <row r="493" spans="4:4" s="25" customFormat="1" hidden="1">
      <c r="D493" s="30"/>
    </row>
    <row r="494" spans="4:4" s="25" customFormat="1" hidden="1">
      <c r="D494" s="30"/>
    </row>
    <row r="495" spans="4:4" s="25" customFormat="1" hidden="1">
      <c r="D495" s="30"/>
    </row>
    <row r="496" spans="4:4" s="25" customFormat="1" hidden="1">
      <c r="D496" s="30"/>
    </row>
    <row r="497" spans="4:4" s="25" customFormat="1" hidden="1">
      <c r="D497" s="30"/>
    </row>
    <row r="498" spans="4:4" s="25" customFormat="1" hidden="1">
      <c r="D498" s="30"/>
    </row>
    <row r="499" spans="4:4" s="25" customFormat="1" hidden="1">
      <c r="D499" s="30"/>
    </row>
    <row r="500" spans="4:4" s="25" customFormat="1" hidden="1">
      <c r="D500" s="30"/>
    </row>
    <row r="501" spans="4:4" s="25" customFormat="1" hidden="1">
      <c r="D501" s="30"/>
    </row>
    <row r="502" spans="4:4" s="25" customFormat="1" hidden="1">
      <c r="D502" s="30"/>
    </row>
    <row r="503" spans="4:4" s="25" customFormat="1" hidden="1">
      <c r="D503" s="30"/>
    </row>
    <row r="504" spans="4:4" s="25" customFormat="1" hidden="1">
      <c r="D504" s="30"/>
    </row>
    <row r="505" spans="4:4" s="25" customFormat="1" hidden="1">
      <c r="D505" s="30"/>
    </row>
    <row r="506" spans="4:4" s="25" customFormat="1" hidden="1">
      <c r="D506" s="30"/>
    </row>
    <row r="507" spans="4:4" s="25" customFormat="1" hidden="1">
      <c r="D507" s="30"/>
    </row>
    <row r="508" spans="4:4" s="25" customFormat="1" hidden="1">
      <c r="D508" s="30"/>
    </row>
    <row r="509" spans="4:4" s="25" customFormat="1" hidden="1">
      <c r="D509" s="30"/>
    </row>
    <row r="510" spans="4:4" s="25" customFormat="1" hidden="1">
      <c r="D510" s="30"/>
    </row>
    <row r="511" spans="4:4" s="25" customFormat="1" hidden="1">
      <c r="D511" s="30"/>
    </row>
    <row r="512" spans="4:4" s="25" customFormat="1" hidden="1">
      <c r="D512" s="30"/>
    </row>
    <row r="513" spans="4:4" s="25" customFormat="1" hidden="1">
      <c r="D513" s="30"/>
    </row>
    <row r="514" spans="4:4" s="25" customFormat="1" hidden="1">
      <c r="D514" s="30"/>
    </row>
    <row r="515" spans="4:4" s="25" customFormat="1" hidden="1">
      <c r="D515" s="30"/>
    </row>
    <row r="516" spans="4:4" s="25" customFormat="1" hidden="1">
      <c r="D516" s="30"/>
    </row>
    <row r="517" spans="4:4" s="25" customFormat="1" hidden="1">
      <c r="D517" s="30"/>
    </row>
    <row r="518" spans="4:4" s="25" customFormat="1" hidden="1">
      <c r="D518" s="30"/>
    </row>
    <row r="519" spans="4:4" s="25" customFormat="1" hidden="1">
      <c r="D519" s="30"/>
    </row>
    <row r="520" spans="4:4" s="25" customFormat="1" hidden="1">
      <c r="D520" s="30"/>
    </row>
    <row r="521" spans="4:4" s="25" customFormat="1" hidden="1">
      <c r="D521" s="30"/>
    </row>
    <row r="522" spans="4:4" s="25" customFormat="1" hidden="1">
      <c r="D522" s="30"/>
    </row>
    <row r="523" spans="4:4" s="25" customFormat="1" hidden="1">
      <c r="D523" s="30"/>
    </row>
    <row r="524" spans="4:4" s="25" customFormat="1" hidden="1">
      <c r="D524" s="30"/>
    </row>
    <row r="525" spans="4:4" s="25" customFormat="1" hidden="1">
      <c r="D525" s="30"/>
    </row>
    <row r="526" spans="4:4" s="25" customFormat="1" hidden="1">
      <c r="D526" s="30"/>
    </row>
    <row r="527" spans="4:4" s="25" customFormat="1" hidden="1">
      <c r="D527" s="30"/>
    </row>
    <row r="528" spans="4:4" s="25" customFormat="1" hidden="1">
      <c r="D528" s="30"/>
    </row>
    <row r="529" spans="4:4" s="25" customFormat="1" hidden="1">
      <c r="D529" s="30"/>
    </row>
    <row r="530" spans="4:4" s="25" customFormat="1" hidden="1">
      <c r="D530" s="30"/>
    </row>
    <row r="531" spans="4:4" s="25" customFormat="1" hidden="1">
      <c r="D531" s="30"/>
    </row>
    <row r="532" spans="4:4" s="25" customFormat="1" hidden="1">
      <c r="D532" s="30"/>
    </row>
    <row r="533" spans="4:4" s="25" customFormat="1" hidden="1">
      <c r="D533" s="30"/>
    </row>
    <row r="534" spans="4:4" s="25" customFormat="1" hidden="1">
      <c r="D534" s="30"/>
    </row>
    <row r="535" spans="4:4" s="25" customFormat="1" hidden="1">
      <c r="D535" s="30"/>
    </row>
    <row r="536" spans="4:4" s="25" customFormat="1" hidden="1">
      <c r="D536" s="30"/>
    </row>
    <row r="537" spans="4:4" s="25" customFormat="1" hidden="1">
      <c r="D537" s="30"/>
    </row>
    <row r="538" spans="4:4" s="25" customFormat="1" hidden="1">
      <c r="D538" s="30"/>
    </row>
    <row r="539" spans="4:4" s="25" customFormat="1" hidden="1">
      <c r="D539" s="30"/>
    </row>
    <row r="540" spans="4:4" s="25" customFormat="1" hidden="1">
      <c r="D540" s="30"/>
    </row>
    <row r="541" spans="4:4" s="25" customFormat="1" hidden="1">
      <c r="D541" s="30"/>
    </row>
    <row r="542" spans="4:4" s="25" customFormat="1" hidden="1">
      <c r="D542" s="30"/>
    </row>
    <row r="543" spans="4:4" s="25" customFormat="1" hidden="1">
      <c r="D543" s="30"/>
    </row>
    <row r="544" spans="4:4" s="25" customFormat="1" hidden="1">
      <c r="D544" s="30"/>
    </row>
    <row r="545" spans="4:4" s="25" customFormat="1" hidden="1">
      <c r="D545" s="30"/>
    </row>
    <row r="546" spans="4:4" s="25" customFormat="1" hidden="1">
      <c r="D546" s="30"/>
    </row>
    <row r="547" spans="4:4" s="25" customFormat="1" hidden="1">
      <c r="D547" s="30"/>
    </row>
    <row r="548" spans="4:4" s="25" customFormat="1" hidden="1">
      <c r="D548" s="30"/>
    </row>
    <row r="549" spans="4:4" s="25" customFormat="1" hidden="1">
      <c r="D549" s="30"/>
    </row>
    <row r="550" spans="4:4" s="25" customFormat="1" hidden="1">
      <c r="D550" s="30"/>
    </row>
    <row r="551" spans="4:4" s="25" customFormat="1" hidden="1">
      <c r="D551" s="30"/>
    </row>
    <row r="552" spans="4:4" s="25" customFormat="1" hidden="1">
      <c r="D552" s="30"/>
    </row>
    <row r="553" spans="4:4" s="25" customFormat="1" hidden="1">
      <c r="D553" s="30"/>
    </row>
    <row r="554" spans="4:4" s="25" customFormat="1" hidden="1">
      <c r="D554" s="30"/>
    </row>
    <row r="555" spans="4:4" s="25" customFormat="1" hidden="1">
      <c r="D555" s="30"/>
    </row>
    <row r="556" spans="4:4" s="25" customFormat="1" hidden="1">
      <c r="D556" s="30"/>
    </row>
    <row r="557" spans="4:4" s="25" customFormat="1" hidden="1">
      <c r="D557" s="30"/>
    </row>
    <row r="558" spans="4:4" s="25" customFormat="1" hidden="1">
      <c r="D558" s="30"/>
    </row>
  </sheetData>
  <sheetProtection algorithmName="SHA-512" hashValue="p9X1plU8f73j5rdCjw4jtsDWhlVNQPd0PQ8/Q3Gmq+QOFCqzjJsyadQVe59XakMb4cmLkEyjt4zVnOSnl5FCCw==" saltValue="BI6bY1F9JB9TI/tDJjAWEw==" spinCount="100000" sheet="1" objects="1" scenarios="1" selectLockedCells="1" selectUnlockedCells="1"/>
  <mergeCells count="14">
    <mergeCell ref="B2:D2"/>
    <mergeCell ref="B111:D111"/>
    <mergeCell ref="B130:D130"/>
    <mergeCell ref="B172:D172"/>
    <mergeCell ref="A2:A110"/>
    <mergeCell ref="A111:A129"/>
    <mergeCell ref="A130:A171"/>
    <mergeCell ref="A172:A179"/>
    <mergeCell ref="A180:A231"/>
    <mergeCell ref="B232:D232"/>
    <mergeCell ref="B257:D257"/>
    <mergeCell ref="B299:D299"/>
    <mergeCell ref="A232:A318"/>
    <mergeCell ref="B180:D180"/>
  </mergeCells>
  <phoneticPr fontId="6" type="noConversion"/>
  <conditionalFormatting sqref="B3:D318">
    <cfRule type="expression" dxfId="4" priority="1">
      <formula>IF($B3="NOT TAA COMPLIANT",1,0)</formula>
    </cfRule>
    <cfRule type="expression" dxfId="3" priority="2">
      <formula>IF($B3="END-OF-SALE",1,0)</formula>
    </cfRule>
  </conditionalFormatting>
  <printOptions horizontalCentered="1" gridLines="1"/>
  <pageMargins left="0.5" right="0.5" top="0.5" bottom="0.5" header="0.25" footer="0.25"/>
  <pageSetup scale="78" fitToHeight="0" orientation="landscape" r:id="rId1"/>
  <headerFooter alignWithMargins="0">
    <oddHeader>&amp;C&amp;F</oddHeader>
    <oddFooter>&amp;L&amp;A&amp;C&amp;P of &amp;N</oddFooter>
  </headerFooter>
  <rowBreaks count="2" manualBreakCount="2">
    <brk id="90" max="16383" man="1"/>
    <brk id="184" max="16383"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pageSetUpPr fitToPage="1"/>
  </sheetPr>
  <dimension ref="A1:I699"/>
  <sheetViews>
    <sheetView showZeros="0" zoomScaleNormal="100" workbookViewId="0">
      <pane xSplit="1" ySplit="1" topLeftCell="B2" activePane="bottomRight" state="frozen"/>
      <selection activeCell="A3" sqref="A3"/>
      <selection pane="topRight" activeCell="A3" sqref="A3"/>
      <selection pane="bottomLeft" activeCell="A3" sqref="A3"/>
      <selection pane="bottomRight" activeCell="E1" sqref="E1"/>
    </sheetView>
  </sheetViews>
  <sheetFormatPr defaultColWidth="0" defaultRowHeight="12.5" zeroHeight="1"/>
  <cols>
    <col min="1" max="1" width="6.26953125" customWidth="1"/>
    <col min="2" max="2" width="31.81640625" bestFit="1" customWidth="1"/>
    <col min="3" max="3" width="144.7265625" bestFit="1" customWidth="1"/>
    <col min="4" max="4" width="15.26953125" style="31" bestFit="1" customWidth="1"/>
    <col min="5" max="5" width="4.26953125" customWidth="1"/>
    <col min="6" max="6" width="11.26953125" hidden="1" customWidth="1"/>
    <col min="7" max="9" width="0" hidden="1" customWidth="1"/>
    <col min="10" max="16384" width="9" hidden="1"/>
  </cols>
  <sheetData>
    <row r="1" spans="1:5" ht="42.5" thickBot="1">
      <c r="A1" s="57" t="str">
        <f>CONCATENATE("Version ",+'Change History'!$A$27)</f>
        <v>Version 4.0</v>
      </c>
      <c r="B1" s="194" t="s">
        <v>157</v>
      </c>
      <c r="C1" s="193" t="s">
        <v>132</v>
      </c>
      <c r="D1" s="192" t="s">
        <v>254</v>
      </c>
      <c r="E1" s="16"/>
    </row>
    <row r="2" spans="1:5" s="25" customFormat="1" ht="12.75" customHeight="1">
      <c r="A2" s="661" t="s">
        <v>2580</v>
      </c>
      <c r="B2" s="171" t="str">
        <f>Data!Q6</f>
        <v>ICX7450-24P-E2</v>
      </c>
      <c r="C2" s="171" t="str">
        <f>Data!P6</f>
        <v>SWITCH, BROCADE ICX 7450, 24-PORT 1 GBE PoE+ BUNDLE, 4x10G SFP+ UPLINKS, 2x40G QSFP+ UPLINKS/STACKING, DUAL 1000W AC PS, ICX7450-24P-E2, MRN238007</v>
      </c>
      <c r="D2" s="177">
        <f>Data!S6</f>
        <v>1302.69</v>
      </c>
      <c r="E2" s="28"/>
    </row>
    <row r="3" spans="1:5" s="25" customFormat="1">
      <c r="A3" s="662"/>
      <c r="B3" s="171" t="str">
        <f>Data!Q7</f>
        <v>ICX7450-48P-E2</v>
      </c>
      <c r="C3" s="171" t="str">
        <f>Data!P7</f>
        <v>SWITCH, BROCADE ICX 7450, 48-PORT 1 GBE PoE+ BUNDLE, 4x10G SFP+ UPLINKS, 2x40G QSFP+ UPLINKS/STACKING, DUAL 1000W AC PS, ICX7450-48P-E2, MRN238011</v>
      </c>
      <c r="D3" s="177">
        <f>Data!S7</f>
        <v>1302.69</v>
      </c>
      <c r="E3" s="28"/>
    </row>
    <row r="4" spans="1:5" s="25" customFormat="1">
      <c r="A4" s="662"/>
      <c r="B4" s="171" t="str">
        <f>Data!Q8</f>
        <v>ICX7450-48F-E2</v>
      </c>
      <c r="C4" s="171" t="str">
        <f>Data!P8</f>
        <v>SWITCH, BROCADE ICX 7450, 48-PORT 1 GBE SFP BUNDLE, 4x10G SFP+ UPLINKS, 2x40G QSFP+ UPLINKS/STACKING, DUAL 250W AC PS , ICX7450-48F-E2, MRN238009</v>
      </c>
      <c r="D4" s="177">
        <f>Data!S8</f>
        <v>1302.69</v>
      </c>
      <c r="E4" s="28"/>
    </row>
    <row r="5" spans="1:5" s="25" customFormat="1">
      <c r="A5" s="662"/>
      <c r="B5" s="171" t="str">
        <f>Data!Q16</f>
        <v>WS-C2960S-24TD-L</v>
      </c>
      <c r="C5" s="171" t="str">
        <f>Data!P16</f>
        <v>SWITCH, CISCO CATALYST 2960S, 24 GE PORTS,  DUAL 10G SFP+ PORTS, LAN BASE, WS-C2960S-24TD-L, MRN223262</v>
      </c>
      <c r="D5" s="177">
        <f>Data!S16</f>
        <v>1302.69</v>
      </c>
      <c r="E5" s="28"/>
    </row>
    <row r="6" spans="1:5" s="25" customFormat="1">
      <c r="A6" s="662"/>
      <c r="B6" s="398" t="str">
        <f>Data!P17</f>
        <v>3650 Switch, 1GE SFP Network Module, IP Base, 250W PS</v>
      </c>
      <c r="C6" s="171"/>
      <c r="D6" s="177">
        <f>Data!S17</f>
        <v>0</v>
      </c>
      <c r="E6" s="28"/>
    </row>
    <row r="7" spans="1:5" s="25" customFormat="1">
      <c r="A7" s="662"/>
      <c r="B7" s="171" t="str">
        <f>Data!Q18</f>
        <v>MRN237264</v>
      </c>
      <c r="C7" s="171" t="str">
        <f>Data!P18</f>
        <v>SWITCH, CISCO CATALYST 3650, 24 10/100/1000 PORTS, 4 1GE SFP PORTS, IP BASE, DUAL C2-250WAC PS, 50CM STACK CABLE, WS-C3650-24TS-S, MRN237264</v>
      </c>
      <c r="D7" s="177">
        <f>Data!S18</f>
        <v>1302.69</v>
      </c>
      <c r="E7" s="28"/>
    </row>
    <row r="8" spans="1:5" s="25" customFormat="1">
      <c r="A8" s="662"/>
      <c r="B8" s="171" t="str">
        <f>Data!Q19</f>
        <v>MRN237348</v>
      </c>
      <c r="C8" s="171" t="str">
        <f>Data!P19</f>
        <v>SWITCH, CISCO CATALYST 3650, 48 10/100/1000 PORTS, 4 1GE SFP PORTS, IP BASE, DUAL C2-250WAC PS, 50CM STACK CABLE, WS-C3650-48TS-S, MRN237348</v>
      </c>
      <c r="D8" s="177">
        <f>Data!S19</f>
        <v>1302.69</v>
      </c>
      <c r="E8" s="28"/>
    </row>
    <row r="9" spans="1:5" s="25" customFormat="1">
      <c r="A9" s="662"/>
      <c r="B9" s="398" t="str">
        <f>Data!P20</f>
        <v>3850 Switch, LAN Base, 350W PS</v>
      </c>
      <c r="C9" s="171"/>
      <c r="D9" s="177">
        <f>Data!S20</f>
        <v>0</v>
      </c>
      <c r="E9" s="28"/>
    </row>
    <row r="10" spans="1:5" s="25" customFormat="1">
      <c r="A10" s="662"/>
      <c r="B10" s="171" t="str">
        <f>Data!Q21</f>
        <v>MRN237305</v>
      </c>
      <c r="C10" s="171" t="str">
        <f>Data!P21</f>
        <v>SWITCH, CISCO CATALYST 3850, 24 10/100/1000 PORTS, LAN BASE, DUAL C1-350WAC PS, 50CM STACK CABLE, WS-C3850-24T-L, MRN237305</v>
      </c>
      <c r="D10" s="177">
        <f>Data!S21</f>
        <v>1302.69</v>
      </c>
      <c r="E10" s="28"/>
    </row>
    <row r="11" spans="1:5" s="25" customFormat="1">
      <c r="A11" s="662"/>
      <c r="B11" s="171" t="str">
        <f>Data!Q22</f>
        <v>MRN237306</v>
      </c>
      <c r="C11" s="171" t="str">
        <f>Data!P22</f>
        <v>SWITCH, CISCO CATALYST 3850, 48 10/100/1000 PORTS, LAN BASE, DUAL C1-350WAC PS, 50CM STACK CABLE, WS-C3850-48T-L, MRN237306</v>
      </c>
      <c r="D11" s="177">
        <f>Data!S22</f>
        <v>1302.69</v>
      </c>
      <c r="E11" s="28"/>
    </row>
    <row r="12" spans="1:5" s="25" customFormat="1">
      <c r="A12" s="662"/>
      <c r="B12" s="398" t="str">
        <f>Data!P23</f>
        <v>3850 Switch, IP Base, 350W PS</v>
      </c>
      <c r="C12" s="171"/>
      <c r="D12" s="177">
        <f>Data!S23</f>
        <v>0</v>
      </c>
      <c r="E12" s="28"/>
    </row>
    <row r="13" spans="1:5" s="25" customFormat="1">
      <c r="A13" s="662"/>
      <c r="B13" s="171" t="str">
        <f>Data!Q24</f>
        <v>MRN237307</v>
      </c>
      <c r="C13" s="171" t="str">
        <f>Data!P24</f>
        <v>SWITCH, CISCO CATALYST 3850, 24 10/100/1000 PORTS, IP BASE, DUAL C1-350WAC PS, 50CM STACK CABLE, WS-C3850-24T-S, MRN237307</v>
      </c>
      <c r="D13" s="177">
        <f>Data!S24</f>
        <v>1302.69</v>
      </c>
      <c r="E13" s="28"/>
    </row>
    <row r="14" spans="1:5" s="25" customFormat="1">
      <c r="A14" s="662"/>
      <c r="B14" s="171" t="str">
        <f>Data!Q25</f>
        <v>MRN237308</v>
      </c>
      <c r="C14" s="171" t="str">
        <f>Data!P25</f>
        <v>SWITCH, CISCO CATALYST 3850, 48 10/100/1000 PORTS, IP BASE, DUAL C1-350WAC PS, 50CM STACK CABLE, WS-C3850-48T-S, MRN237308</v>
      </c>
      <c r="D14" s="177">
        <f>Data!S25</f>
        <v>1302.69</v>
      </c>
      <c r="E14" s="28"/>
    </row>
    <row r="15" spans="1:5" s="25" customFormat="1">
      <c r="A15" s="662"/>
      <c r="B15" s="398" t="str">
        <f>Data!P26</f>
        <v>3850 Switch, IP Services, 350W PS</v>
      </c>
      <c r="C15" s="171"/>
      <c r="D15" s="177">
        <f>Data!S26</f>
        <v>0</v>
      </c>
      <c r="E15" s="28"/>
    </row>
    <row r="16" spans="1:5" s="25" customFormat="1">
      <c r="A16" s="662"/>
      <c r="B16" s="171" t="str">
        <f>Data!Q27</f>
        <v>MRN237315</v>
      </c>
      <c r="C16" s="171" t="str">
        <f>Data!P27</f>
        <v>SWITCH, CISCO CATALYST 3850, 24 10/100/1000 PORTS, IP SERVICES, DUAL C1-350WAC PS, 50CM STACK CABLE, WS-C3850-24T-E, MRN237315</v>
      </c>
      <c r="D16" s="177">
        <f>Data!S27</f>
        <v>1302.69</v>
      </c>
      <c r="E16" s="28"/>
    </row>
    <row r="17" spans="1:5" s="25" customFormat="1">
      <c r="A17" s="662"/>
      <c r="B17" s="398" t="str">
        <f>Data!P28</f>
        <v>3850 Switch, POE, LAN Base, 715W PS</v>
      </c>
      <c r="C17" s="171"/>
      <c r="D17" s="177">
        <f>Data!S28</f>
        <v>0</v>
      </c>
      <c r="E17" s="28"/>
    </row>
    <row r="18" spans="1:5" s="25" customFormat="1">
      <c r="A18" s="662"/>
      <c r="B18" s="171" t="str">
        <f>Data!Q29</f>
        <v>MRN237313</v>
      </c>
      <c r="C18" s="171" t="str">
        <f>Data!P29</f>
        <v>SWITCH, CISCO CATALYST 3850, 24 10/100/1000 POE PORTS, LAN BASE, DUAL C1-715WAC PS, 50CM STACK CABLE, WS-C3850-24P-L, MRN237313</v>
      </c>
      <c r="D18" s="177">
        <f>Data!S29</f>
        <v>1302.69</v>
      </c>
      <c r="E18" s="28"/>
    </row>
    <row r="19" spans="1:5" s="25" customFormat="1">
      <c r="A19" s="662"/>
      <c r="B19" s="398" t="str">
        <f>Data!P30</f>
        <v>3850 Switch, POE, IP Base, 715W PS</v>
      </c>
      <c r="C19" s="171"/>
      <c r="D19" s="177">
        <f>Data!S30</f>
        <v>0</v>
      </c>
      <c r="E19" s="28"/>
    </row>
    <row r="20" spans="1:5" s="25" customFormat="1">
      <c r="A20" s="662"/>
      <c r="B20" s="171" t="str">
        <f>Data!Q31</f>
        <v>MRN237309</v>
      </c>
      <c r="C20" s="171" t="str">
        <f>Data!P31</f>
        <v>SWITCH, CISCO CATALYST 3850, 24 10/100/1000 POE PORTS, IP BASE, DUAL C1-715WAC PS, 50CM STACK CABLE, WS-C3850-24P-S, MRN237309</v>
      </c>
      <c r="D20" s="177">
        <f>Data!S31</f>
        <v>1302.69</v>
      </c>
      <c r="E20" s="28"/>
    </row>
    <row r="21" spans="1:5" s="25" customFormat="1">
      <c r="A21" s="662"/>
      <c r="B21" s="171" t="str">
        <f>Data!Q32</f>
        <v>MRN237316</v>
      </c>
      <c r="C21" s="171" t="str">
        <f>Data!P32</f>
        <v>SWITCH, CISCO CATALYST 3850, 48 10/100/1000 POE PORTS, IP BASE, DUAL C1-715WAC PS, 50CM STACK CABLE, WS-C3850-48P-S, MRN237316</v>
      </c>
      <c r="D21" s="177">
        <f>Data!S32</f>
        <v>1302.69</v>
      </c>
      <c r="E21" s="28"/>
    </row>
    <row r="22" spans="1:5" s="25" customFormat="1">
      <c r="A22" s="662"/>
      <c r="B22" s="398" t="str">
        <f>Data!P33</f>
        <v>3850 Switch, POE, IP Base, 1100W PS</v>
      </c>
      <c r="C22" s="171"/>
      <c r="D22" s="177">
        <f>Data!S33</f>
        <v>0</v>
      </c>
      <c r="E22" s="28"/>
    </row>
    <row r="23" spans="1:5" s="25" customFormat="1">
      <c r="A23" s="662"/>
      <c r="B23" s="171" t="str">
        <f>Data!Q34</f>
        <v>MRN237310</v>
      </c>
      <c r="C23" s="171" t="str">
        <f>Data!P34</f>
        <v>SWITCH, CISCO CATALYST 3850, 48 10/100/1000 POE PORTS, IP BASE, DUAL C1-1100WAC PS, 50CM STACK CABLE, WS-C3850-48F-S, MRN237310</v>
      </c>
      <c r="D23" s="177">
        <f>Data!S34</f>
        <v>1302.69</v>
      </c>
      <c r="E23" s="28"/>
    </row>
    <row r="24" spans="1:5" s="25" customFormat="1">
      <c r="A24" s="662"/>
      <c r="B24" s="398" t="str">
        <f>Data!P35</f>
        <v>3850 Switch, POE, IP Services, 715W PS</v>
      </c>
      <c r="C24" s="171"/>
      <c r="D24" s="177">
        <f>Data!S35</f>
        <v>0</v>
      </c>
      <c r="E24" s="28"/>
    </row>
    <row r="25" spans="1:5" s="25" customFormat="1">
      <c r="A25" s="662"/>
      <c r="B25" s="171" t="str">
        <f>Data!Q36</f>
        <v>MRN237314</v>
      </c>
      <c r="C25" s="171" t="str">
        <f>Data!P36</f>
        <v>SWITCH, CISCO CATALYST 3850, 24 10/100/1000 POE PORTS, IP SERVICES, DUAL C1-715WAC PS, 50CM STACK CABLE, WS-C3850-24P-E, MRN237314</v>
      </c>
      <c r="D25" s="177">
        <f>Data!S36</f>
        <v>1302.69</v>
      </c>
      <c r="E25" s="28"/>
    </row>
    <row r="26" spans="1:5" s="25" customFormat="1">
      <c r="A26" s="662"/>
      <c r="B26" s="398" t="str">
        <f>Data!P37</f>
        <v>3850 Switch, 1GE SFP Network Module, LAN Base, 350W PS</v>
      </c>
      <c r="C26" s="171"/>
      <c r="D26" s="177">
        <f>Data!S37</f>
        <v>0</v>
      </c>
      <c r="E26" s="28"/>
    </row>
    <row r="27" spans="1:5" s="25" customFormat="1">
      <c r="A27" s="662"/>
      <c r="B27" s="171" t="str">
        <f>Data!Q38</f>
        <v>MRN237267</v>
      </c>
      <c r="C27" s="171" t="str">
        <f>Data!P38</f>
        <v>SWITCH, CISCO CATALYST 3850, 24 10/100/1000 PORTS, 4 1GE SFP PORTS, LAN BASE, DUAL C1-350WAC PS, 50CM STACK CABLE, WS-C3850-24T-L, MRN237267</v>
      </c>
      <c r="D27" s="177">
        <f>Data!S38</f>
        <v>1302.69</v>
      </c>
      <c r="E27" s="28"/>
    </row>
    <row r="28" spans="1:5" s="25" customFormat="1">
      <c r="A28" s="662"/>
      <c r="B28" s="171" t="str">
        <f>Data!Q39</f>
        <v>MRN237270</v>
      </c>
      <c r="C28" s="171" t="str">
        <f>Data!P39</f>
        <v>SWITCH, CISCO CATALYST 3850, 48 10/100/1000 PORTS, 4 1GE SFP PORTS, LAN BASE, DUAL C1-350WAC PS, 50CM STACK CABLE, WS-C3850-48T-L, MRN237270</v>
      </c>
      <c r="D28" s="177">
        <f>Data!S39</f>
        <v>1302.69</v>
      </c>
      <c r="E28" s="28"/>
    </row>
    <row r="29" spans="1:5" s="25" customFormat="1">
      <c r="A29" s="662"/>
      <c r="B29" s="398" t="str">
        <f>Data!P40</f>
        <v>3850 Switch, 1GE SFP Network Module, IP Base, 350W PS</v>
      </c>
      <c r="C29" s="171"/>
      <c r="D29" s="177">
        <f>Data!S40</f>
        <v>0</v>
      </c>
      <c r="E29" s="28"/>
    </row>
    <row r="30" spans="1:5" s="25" customFormat="1">
      <c r="A30" s="662"/>
      <c r="B30" s="171" t="str">
        <f>Data!Q41</f>
        <v>MRN237276</v>
      </c>
      <c r="C30" s="171" t="str">
        <f>Data!P41</f>
        <v>SWITCH, CISCO CATALYST 3850, 24 10/100/1000 PORTS, 4 1GE SFP PORTS, IP BASE, DUAL C1-350WAC PS, 50CM STACK CABLE, WS-C3850-24T-S, MRN237276</v>
      </c>
      <c r="D30" s="177">
        <f>Data!S41</f>
        <v>1302.69</v>
      </c>
      <c r="E30" s="28"/>
    </row>
    <row r="31" spans="1:5" s="25" customFormat="1">
      <c r="A31" s="662"/>
      <c r="B31" s="171" t="str">
        <f>Data!Q42</f>
        <v>MRN237279</v>
      </c>
      <c r="C31" s="171" t="str">
        <f>Data!P42</f>
        <v>SWITCH, CISCO CATALYST 3850, 48 10/100/1000 PORTS, 4 1GE SFP PORTS, IP BASE, DUAL C1-350WAC PS, 50CM STACK CABLE, WS-C3850-48T-S, MRN237279</v>
      </c>
      <c r="D31" s="177">
        <f>Data!S42</f>
        <v>1302.69</v>
      </c>
      <c r="E31" s="28"/>
    </row>
    <row r="32" spans="1:5" s="25" customFormat="1">
      <c r="A32" s="662"/>
      <c r="B32" s="398" t="str">
        <f>Data!P43</f>
        <v>3850 Switch, 1GE SFP Network Module, IP Services, 350W PS</v>
      </c>
      <c r="C32" s="171"/>
      <c r="D32" s="177">
        <f>Data!S43</f>
        <v>0</v>
      </c>
      <c r="E32" s="28"/>
    </row>
    <row r="33" spans="1:5" s="25" customFormat="1">
      <c r="A33" s="662"/>
      <c r="B33" s="171" t="str">
        <f>Data!Q44</f>
        <v>MRN237300</v>
      </c>
      <c r="C33" s="171" t="str">
        <f>Data!P44</f>
        <v>SWITCH, CISCO CATALYST 3850, 24 10/100/1000 PORTS, 4 1GE SFP PORTS, IP SERVICES, DUAL C1-350WAC PS, 50CM STACK CABLE, WS-C3850-24T-E, MRN237300</v>
      </c>
      <c r="D33" s="177">
        <f>Data!S44</f>
        <v>1302.69</v>
      </c>
      <c r="E33" s="28"/>
    </row>
    <row r="34" spans="1:5" s="25" customFormat="1">
      <c r="A34" s="662"/>
      <c r="B34" s="398" t="str">
        <f>Data!P45</f>
        <v>3850 Switch, 10GE SFP Network Module, LAN Base, 350W PS</v>
      </c>
      <c r="C34" s="171"/>
      <c r="D34" s="177">
        <f>Data!S45</f>
        <v>0</v>
      </c>
      <c r="E34" s="28"/>
    </row>
    <row r="35" spans="1:5" s="25" customFormat="1">
      <c r="A35" s="662"/>
      <c r="B35" s="171" t="str">
        <f>Data!Q46</f>
        <v>MRN237269</v>
      </c>
      <c r="C35" s="171" t="str">
        <f>Data!P46</f>
        <v>SWITCH, CISCO CATALYST 3850, 24 10/100/1000 PORTS, 2 10GE SFP PORTS, LAN BASE, DUAL C1-350WAC PS, 50CM STACK CABLE, WS-C3850-24T-L, MRN237269</v>
      </c>
      <c r="D35" s="177">
        <f>Data!S46</f>
        <v>1302.69</v>
      </c>
      <c r="E35" s="28"/>
    </row>
    <row r="36" spans="1:5" s="25" customFormat="1">
      <c r="A36" s="662"/>
      <c r="B36" s="171" t="str">
        <f>Data!Q47</f>
        <v>MRN237275</v>
      </c>
      <c r="C36" s="171" t="str">
        <f>Data!P47</f>
        <v>SWITCH, CISCO CATALYST 3850, 48 10/100/1000 PORTS, 2 10GE SFP PORTS, LAN BASE, DUAL C1-350WAC PS, 50CM STACK CABLE, WS-C3850-48T-L, MRN237275</v>
      </c>
      <c r="D36" s="177">
        <f>Data!S47</f>
        <v>1302.69</v>
      </c>
      <c r="E36" s="28"/>
    </row>
    <row r="37" spans="1:5" s="25" customFormat="1">
      <c r="A37" s="662"/>
      <c r="B37" s="398" t="str">
        <f>Data!P48</f>
        <v>3850 Switch, 10GE SFP Network Module, IP Base, 350W PS</v>
      </c>
      <c r="C37" s="171"/>
      <c r="D37" s="177">
        <f>Data!S48</f>
        <v>0</v>
      </c>
      <c r="E37" s="28"/>
    </row>
    <row r="38" spans="1:5" s="25" customFormat="1">
      <c r="A38" s="662"/>
      <c r="B38" s="171" t="str">
        <f>Data!Q49</f>
        <v>MRN237277</v>
      </c>
      <c r="C38" s="171" t="str">
        <f>Data!P49</f>
        <v>SWITCH, CISCO CATALYST 3850, 24 10/100/1000 PORTS, 2 10GE SFP PORTS, IP BASE, DUAL C1-350WAC PS, 50CM STACK CABLE, WS-C3850-24T-S, MRN237277</v>
      </c>
      <c r="D38" s="177">
        <f>Data!S49</f>
        <v>1302.69</v>
      </c>
      <c r="E38" s="28"/>
    </row>
    <row r="39" spans="1:5" s="25" customFormat="1">
      <c r="A39" s="662"/>
      <c r="B39" s="171" t="str">
        <f>Data!Q50</f>
        <v>MRN237280</v>
      </c>
      <c r="C39" s="171" t="str">
        <f>Data!P50</f>
        <v>SWITCH, CISCO CATALYST 3850, 48 10/100/1000 PORTS, 2 10GE SFP PORTS, IP BASE, DUAL C1-350WAC PS, 50CM STACK CABLE, WS-C3850-48T-S, MRN237280</v>
      </c>
      <c r="D39" s="177">
        <f>Data!S50</f>
        <v>1302.69</v>
      </c>
      <c r="E39" s="28"/>
    </row>
    <row r="40" spans="1:5" s="25" customFormat="1">
      <c r="A40" s="662"/>
      <c r="B40" s="398" t="str">
        <f>Data!P51</f>
        <v>3850 Switch, 10GE SFP Network Module, IP Services, 350W PS</v>
      </c>
      <c r="C40" s="171"/>
      <c r="D40" s="177">
        <f>Data!S51</f>
        <v>0</v>
      </c>
      <c r="E40" s="28"/>
    </row>
    <row r="41" spans="1:5" s="25" customFormat="1">
      <c r="A41" s="662"/>
      <c r="B41" s="171" t="str">
        <f>Data!Q52</f>
        <v>MRN237301</v>
      </c>
      <c r="C41" s="171" t="str">
        <f>Data!P52</f>
        <v>SWITCH, CISCO CATALYST 3850, 24 10/100/1000 PORTS, 2 10GE SFP PORTS, IP SERVICES, DUAL C1-350WAC PS, 50CM STACK CABLE, WS-C3850-24T-E, MRN237301</v>
      </c>
      <c r="D41" s="177">
        <f>Data!S52</f>
        <v>1302.69</v>
      </c>
      <c r="E41" s="28"/>
    </row>
    <row r="42" spans="1:5" s="25" customFormat="1">
      <c r="A42" s="662"/>
      <c r="B42" s="398" t="str">
        <f>Data!P53</f>
        <v>3850 Switch, POE, 1GE SFP Network Module, LAN Base, 715W PS</v>
      </c>
      <c r="C42" s="171"/>
      <c r="D42" s="177">
        <f>Data!S53</f>
        <v>0</v>
      </c>
      <c r="E42" s="28"/>
    </row>
    <row r="43" spans="1:5" s="25" customFormat="1">
      <c r="A43" s="662"/>
      <c r="B43" s="171" t="str">
        <f>Data!Q54</f>
        <v>MRN237295</v>
      </c>
      <c r="C43" s="171" t="str">
        <f>Data!P54</f>
        <v>SWITCH, CISCO CATALYST 3850, 24 10/100/1000 POE PORTS, 4 1GE SFP PORTS, LAN BASE, DUAL C1-715WAC PS, 50CM STACK CABLE, WS-C3850-24P-L, MRN237295</v>
      </c>
      <c r="D43" s="177">
        <f>Data!S54</f>
        <v>1302.69</v>
      </c>
      <c r="E43" s="28"/>
    </row>
    <row r="44" spans="1:5" s="25" customFormat="1">
      <c r="A44" s="662"/>
      <c r="B44" s="398" t="str">
        <f>Data!P55</f>
        <v>3850 Switch, POE, 1GE SFP Network Module, IP Base, 715W PS</v>
      </c>
      <c r="C44" s="171"/>
      <c r="D44" s="177">
        <f>Data!S55</f>
        <v>0</v>
      </c>
      <c r="E44" s="28"/>
    </row>
    <row r="45" spans="1:5" s="25" customFormat="1">
      <c r="A45" s="662"/>
      <c r="B45" s="171" t="str">
        <f>Data!Q56</f>
        <v>MRN237282</v>
      </c>
      <c r="C45" s="171" t="str">
        <f>Data!P56</f>
        <v>SWITCH, CISCO CATALYST 3850, 24 10/100/1000 POE PORTS, 4 1GE SFP PORTS, IP BASE, DUAL C1-715WAC PS, 50CM STACK CABLE, WS-C3850-24P-S, MRN237282</v>
      </c>
      <c r="D45" s="177">
        <f>Data!S56</f>
        <v>1302.69</v>
      </c>
      <c r="E45" s="28"/>
    </row>
    <row r="46" spans="1:5" s="25" customFormat="1">
      <c r="A46" s="662"/>
      <c r="B46" s="171" t="str">
        <f>Data!Q57</f>
        <v>MRN237303</v>
      </c>
      <c r="C46" s="171" t="str">
        <f>Data!P57</f>
        <v>SWITCH, CISCO CATALYST 3850, 48 10/100/1000 POE PORTS, 4 1GE SFP PORTS, IP BASE, DUAL C1-715WAC PS, 50CM STACK CABLE, WS-C3850-48P-S, MRN237303</v>
      </c>
      <c r="D46" s="177">
        <f>Data!S57</f>
        <v>1302.69</v>
      </c>
      <c r="E46" s="28"/>
    </row>
    <row r="47" spans="1:5" s="25" customFormat="1">
      <c r="A47" s="662"/>
      <c r="B47" s="398" t="str">
        <f>Data!P58</f>
        <v>3850 Switch, POE, 1GE SFP Network Module, IP Base, 1100W PS</v>
      </c>
      <c r="C47" s="171"/>
      <c r="D47" s="177">
        <f>Data!S58</f>
        <v>0</v>
      </c>
      <c r="E47" s="28"/>
    </row>
    <row r="48" spans="1:5" s="25" customFormat="1">
      <c r="A48" s="662"/>
      <c r="B48" s="171" t="str">
        <f>Data!Q59</f>
        <v>MRN237285</v>
      </c>
      <c r="C48" s="171" t="str">
        <f>Data!P59</f>
        <v>SWITCH, CISCO CATALYST 3850, 48 10/100/1000 POE PORTS, 4 1GE SFP PORTS, IP BASE, DUAL C1-1100WAC PS, 50CM STACK CABLE, WS-C3850-48F-S, MRN237285</v>
      </c>
      <c r="D48" s="177">
        <f>Data!S59</f>
        <v>1302.69</v>
      </c>
      <c r="E48" s="28"/>
    </row>
    <row r="49" spans="1:5" s="25" customFormat="1">
      <c r="A49" s="662"/>
      <c r="B49" s="398" t="str">
        <f>Data!P60</f>
        <v>3850 Switch, POE, 1GE SFP Network Module, IP Services, 715W PS</v>
      </c>
      <c r="C49" s="171"/>
      <c r="D49" s="177">
        <f>Data!S60</f>
        <v>0</v>
      </c>
      <c r="E49" s="28"/>
    </row>
    <row r="50" spans="1:5" s="25" customFormat="1">
      <c r="A50" s="662"/>
      <c r="B50" s="171" t="str">
        <f>Data!Q61</f>
        <v>MRN237297</v>
      </c>
      <c r="C50" s="171" t="str">
        <f>Data!P61</f>
        <v>SWITCH, CISCO CATALYST 3850, 24 10/100/1000 POE PORTS, 4 1GE SFP PORTS, IP SERVICES, DUAL C1-715WAC PS, 50CM STACK CABLE, WS-C3850-24P-E, MRN237297</v>
      </c>
      <c r="D50" s="177">
        <f>Data!S61</f>
        <v>1302.69</v>
      </c>
      <c r="E50" s="28"/>
    </row>
    <row r="51" spans="1:5" s="25" customFormat="1">
      <c r="A51" s="662"/>
      <c r="B51" s="398" t="str">
        <f>Data!P62</f>
        <v>3850 Switch, POE, 10GE SFP Network Module, LAN Base, 715W PS</v>
      </c>
      <c r="C51" s="171"/>
      <c r="D51" s="177">
        <f>Data!S62</f>
        <v>0</v>
      </c>
      <c r="E51" s="28"/>
    </row>
    <row r="52" spans="1:5" s="25" customFormat="1">
      <c r="A52" s="662"/>
      <c r="B52" s="171" t="str">
        <f>Data!Q63</f>
        <v>MRN237296</v>
      </c>
      <c r="C52" s="171" t="str">
        <f>Data!P63</f>
        <v>SWITCH, CISCO CATALYST 3850, 24 10/100/1000 POE PORTS, 2 10GE SFP PORTS, LAN BASE, DUAL C1-715WAC PS, 50CM STACK CABLE, WS-C3850-24P-L, MRN237296</v>
      </c>
      <c r="D52" s="177">
        <f>Data!S63</f>
        <v>1302.69</v>
      </c>
      <c r="E52" s="28"/>
    </row>
    <row r="53" spans="1:5" s="25" customFormat="1">
      <c r="A53" s="662"/>
      <c r="B53" s="398" t="str">
        <f>Data!P64</f>
        <v>3850 Switch, POE, 10GE SFP Network Module, IP Base, 715W PS</v>
      </c>
      <c r="C53" s="171"/>
      <c r="D53" s="177">
        <f>Data!S64</f>
        <v>0</v>
      </c>
      <c r="E53" s="28"/>
    </row>
    <row r="54" spans="1:5" s="25" customFormat="1">
      <c r="A54" s="662"/>
      <c r="B54" s="171" t="str">
        <f>Data!Q65</f>
        <v>MRN237283</v>
      </c>
      <c r="C54" s="171" t="str">
        <f>Data!P65</f>
        <v>SWITCH, CISCO CATALYST 3850, 24 10/100/1000 POE PORTS, 2 10GE SFP PORTS, IP BASE, DUAL C1-715WAC PS, 50CM STACK CABLE, WS-C3850-24P-S, MRN237283</v>
      </c>
      <c r="D54" s="177">
        <f>Data!S65</f>
        <v>1302.69</v>
      </c>
      <c r="E54" s="28"/>
    </row>
    <row r="55" spans="1:5" s="25" customFormat="1">
      <c r="A55" s="662"/>
      <c r="B55" s="171" t="str">
        <f>Data!Q66</f>
        <v>MRN237304</v>
      </c>
      <c r="C55" s="171" t="str">
        <f>Data!P66</f>
        <v>SWITCH, CISCO CATALYST 3850, 48 10/100/1000 POE PORTS, 2 10GE SFP PORTS, IP BASE, DUAL C1-715WAC PS, 50CM STACK CABLE, WS-C3850-48P-S, MRN237304</v>
      </c>
      <c r="D55" s="177">
        <f>Data!S66</f>
        <v>1302.69</v>
      </c>
      <c r="E55" s="28"/>
    </row>
    <row r="56" spans="1:5" s="25" customFormat="1">
      <c r="A56" s="662"/>
      <c r="B56" s="398" t="str">
        <f>Data!P67</f>
        <v>3850 Switch, POE, 10GE SFP Network Module, IP Base, 1100W PS</v>
      </c>
      <c r="C56" s="171"/>
      <c r="D56" s="177">
        <f>Data!S67</f>
        <v>0</v>
      </c>
      <c r="E56" s="28"/>
    </row>
    <row r="57" spans="1:5" s="25" customFormat="1">
      <c r="A57" s="662"/>
      <c r="B57" s="171" t="str">
        <f>Data!Q68</f>
        <v>MRN237286</v>
      </c>
      <c r="C57" s="171" t="str">
        <f>Data!P68</f>
        <v>SWITCH, CISCO CATALYST 3850, 48 10/100/1000 POE PORTS, 2 10GE SFP PORTS, IP BASE, DUAL C1-1100WAC PS, 50CM STACK CABLE, WS-C3850-48F-S, MRN237286</v>
      </c>
      <c r="D57" s="177">
        <f>Data!S68</f>
        <v>1302.69</v>
      </c>
      <c r="E57" s="28"/>
    </row>
    <row r="58" spans="1:5" s="25" customFormat="1">
      <c r="A58" s="662"/>
      <c r="B58" s="398" t="str">
        <f>Data!P69</f>
        <v>3850 Switch, POE, 10GE SFP Network Module, IP Services, 715W PS</v>
      </c>
      <c r="C58" s="171"/>
      <c r="D58" s="177">
        <f>Data!S69</f>
        <v>0</v>
      </c>
      <c r="E58" s="28"/>
    </row>
    <row r="59" spans="1:5" s="25" customFormat="1">
      <c r="A59" s="662"/>
      <c r="B59" s="171" t="str">
        <f>Data!Q70</f>
        <v>MRN237298</v>
      </c>
      <c r="C59" s="171" t="str">
        <f>Data!P70</f>
        <v>SWITCH, CISCO CATALYST 3850, 24 10/100/1000 POE PORTS, 2 10GE SFP PORTS, IP SERVICES, DUAL C1-715WAC PS, 50CM STACK CABLE, WS-C3850-24P-E, MRN237298</v>
      </c>
      <c r="D59" s="177">
        <f>Data!S70</f>
        <v>1302.69</v>
      </c>
      <c r="E59" s="28"/>
    </row>
    <row r="60" spans="1:5" s="25" customFormat="1">
      <c r="A60" s="662"/>
      <c r="B60" s="398" t="str">
        <f>Data!P71</f>
        <v>3850 Fiber Switch, IP Base, 350W PS</v>
      </c>
      <c r="C60" s="171"/>
      <c r="D60" s="177">
        <f>Data!S71</f>
        <v>0</v>
      </c>
      <c r="E60" s="28"/>
    </row>
    <row r="61" spans="1:5" s="25" customFormat="1">
      <c r="A61" s="662"/>
      <c r="B61" s="171" t="str">
        <f>Data!Q72</f>
        <v>MRN237311</v>
      </c>
      <c r="C61" s="171" t="str">
        <f>Data!P72</f>
        <v>SWITCH, CISCO CATALYST 3850, 12 1GE SFP PORTS, IP BASE, DUAL C1-350WAC PS, 50CM STACK CABLE, WS-C3850-12S-S, MRN237311</v>
      </c>
      <c r="D61" s="177">
        <f>Data!S72</f>
        <v>1302.69</v>
      </c>
      <c r="E61" s="28"/>
    </row>
    <row r="62" spans="1:5" s="25" customFormat="1">
      <c r="A62" s="662"/>
      <c r="B62" s="398" t="str">
        <f>Data!P73</f>
        <v>3850 Fiber Switch, IP Services, 350W PS</v>
      </c>
      <c r="C62" s="171"/>
      <c r="D62" s="177">
        <f>Data!S73</f>
        <v>0</v>
      </c>
      <c r="E62" s="28"/>
    </row>
    <row r="63" spans="1:5" s="25" customFormat="1" ht="12.75" customHeight="1">
      <c r="A63" s="662"/>
      <c r="B63" s="171" t="str">
        <f>Data!Q74</f>
        <v>MRN237312</v>
      </c>
      <c r="C63" s="171" t="str">
        <f>Data!P74</f>
        <v>SWITCH, CISCO CATALYST 3850, 12 1GE SFP PORTS, IP SERVICES, DUAL C1-350WAC PS, 50CM STACK CABLE, WS-C3850-12S-E, MRN237312</v>
      </c>
      <c r="D63" s="177">
        <f>Data!S74</f>
        <v>1302.69</v>
      </c>
      <c r="E63" s="28"/>
    </row>
    <row r="64" spans="1:5" s="25" customFormat="1">
      <c r="A64" s="662"/>
      <c r="B64" s="398" t="str">
        <f>Data!P75</f>
        <v>3850 Fiber Switch, 1GE SFP Network Module, IP Base, 350W PS</v>
      </c>
      <c r="C64" s="171"/>
      <c r="D64" s="177">
        <f>Data!S75</f>
        <v>0</v>
      </c>
      <c r="E64" s="28"/>
    </row>
    <row r="65" spans="1:5" s="25" customFormat="1">
      <c r="A65" s="662"/>
      <c r="B65" s="171" t="str">
        <f>Data!Q76</f>
        <v>MRN237289</v>
      </c>
      <c r="C65" s="171" t="str">
        <f>Data!P76</f>
        <v>SWITCH, CISCO CATALYST 3850, 12 + 4 1GE SFP PORTS, IP BASE, DUAL C1-350WAC PS, 50CM STACK CABLE, WS-C3850-12S-S, MRN237289</v>
      </c>
      <c r="D65" s="177">
        <f>Data!S76</f>
        <v>1302.69</v>
      </c>
      <c r="E65" s="28"/>
    </row>
    <row r="66" spans="1:5" s="25" customFormat="1">
      <c r="A66" s="662"/>
      <c r="B66" s="398" t="str">
        <f>Data!P77</f>
        <v>3850 Fiber Switch, 1GE SFP Network Module, IP Services, 350W PS</v>
      </c>
      <c r="C66" s="171"/>
      <c r="D66" s="177">
        <f>Data!S77</f>
        <v>0</v>
      </c>
      <c r="E66" s="28"/>
    </row>
    <row r="67" spans="1:5" s="25" customFormat="1">
      <c r="A67" s="662"/>
      <c r="B67" s="171" t="str">
        <f>Data!Q78</f>
        <v>MRN237292</v>
      </c>
      <c r="C67" s="171" t="str">
        <f>Data!P78</f>
        <v>SWITCH, CISCO CATALYST 3850, 12 + 4 1GE SFP PORTS, IP SERVICES, DUAL C1-350WAC PS, 50CM STACK CABLE, WS-C3850-12S-E, MRN237292</v>
      </c>
      <c r="D67" s="177">
        <f>Data!S78</f>
        <v>1302.69</v>
      </c>
      <c r="E67" s="28"/>
    </row>
    <row r="68" spans="1:5" s="25" customFormat="1">
      <c r="A68" s="662"/>
      <c r="B68" s="398" t="str">
        <f>Data!P79</f>
        <v>3850 Fiber Switch, 10GE SFP Network Module, IP Base, 350W PS</v>
      </c>
      <c r="C68" s="171"/>
      <c r="D68" s="177">
        <f>Data!S79</f>
        <v>0</v>
      </c>
      <c r="E68" s="28"/>
    </row>
    <row r="69" spans="1:5" s="25" customFormat="1">
      <c r="A69" s="662"/>
      <c r="B69" s="171" t="str">
        <f>Data!Q80</f>
        <v>MRN237290</v>
      </c>
      <c r="C69" s="171" t="str">
        <f>Data!P80</f>
        <v>SWITCH, CISCO CATALYST 3850, 12 1GE SFP PORTS, 2 10GE SFP PORTS, IP BASE, DUAL C1-350WAC PS, 50CM STACK CABLE, WS-C3850-12S-S, MRN237290</v>
      </c>
      <c r="D69" s="177">
        <f>Data!S80</f>
        <v>1302.69</v>
      </c>
      <c r="E69" s="28"/>
    </row>
    <row r="70" spans="1:5" s="25" customFormat="1">
      <c r="A70" s="662"/>
      <c r="B70" s="398" t="str">
        <f>Data!P81</f>
        <v>3850 Fiber Switch, 10GE SFP Network Module, IP Services, 350W PS</v>
      </c>
      <c r="C70" s="171"/>
      <c r="D70" s="177">
        <f>Data!S81</f>
        <v>0</v>
      </c>
      <c r="E70" s="28"/>
    </row>
    <row r="71" spans="1:5" s="25" customFormat="1">
      <c r="A71" s="662"/>
      <c r="B71" s="171" t="str">
        <f>Data!Q82</f>
        <v>MRN237293</v>
      </c>
      <c r="C71" s="171" t="str">
        <f>Data!P82</f>
        <v>SWITCH, CISCO CATALYST 3850, 12 1GE SFP PORTS, 2 10GE SFP PORTS, IP SERVICES, DUAL C1-350WAC PS, 50CM STACK CABLE, WS-C3850-12S-E, MRN237293</v>
      </c>
      <c r="D71" s="177">
        <f>Data!S82</f>
        <v>1302.69</v>
      </c>
      <c r="E71" s="28"/>
    </row>
    <row r="72" spans="1:5" s="25" customFormat="1">
      <c r="A72" s="662"/>
      <c r="B72" s="171" t="str">
        <f>Data!Q83</f>
        <v>MRN222254</v>
      </c>
      <c r="C72" s="171" t="str">
        <f>Data!P83</f>
        <v>SWITCH, CISCO CATALYST 4500-X, 16 10GE PORTS, IP BASE, DUAL C4KX-PWR-750AC, WS-C4500X-16SFP+, MRN222254</v>
      </c>
      <c r="D72" s="177">
        <f>Data!S83</f>
        <v>1302.69</v>
      </c>
      <c r="E72" s="28"/>
    </row>
    <row r="73" spans="1:5" s="25" customFormat="1">
      <c r="A73" s="662"/>
      <c r="B73" s="171" t="str">
        <f>Data!Q84</f>
        <v>MRN223228</v>
      </c>
      <c r="C73" s="171" t="str">
        <f>Data!P84</f>
        <v>SWITCH, CISCO CATALYST 4500 E BUNDLE, 3-SLOT CHASSIS, DUAL 1300W PS, SUP 7L-E, WS-C4503-E-SUP7LE-1300W, MRN223228</v>
      </c>
      <c r="D73" s="177">
        <f>Data!S84</f>
        <v>1807.85</v>
      </c>
      <c r="E73" s="28"/>
    </row>
    <row r="74" spans="1:5" s="25" customFormat="1">
      <c r="A74" s="662"/>
      <c r="B74" s="171" t="str">
        <f>Data!Q85</f>
        <v>MRN229332</v>
      </c>
      <c r="C74" s="171" t="str">
        <f>Data!P85</f>
        <v>SWITCH, CISCO CATALYST 4500 E BUNDLE, 3-SLOT CHASSIS, DUAL 1300W PS, SUP 7-E, WS-C4503-E-SUP7E-1300W, MRN229332</v>
      </c>
      <c r="D74" s="177">
        <f>Data!S85</f>
        <v>1807.85</v>
      </c>
      <c r="E74" s="28"/>
    </row>
    <row r="75" spans="1:5" s="25" customFormat="1">
      <c r="A75" s="662"/>
      <c r="B75" s="171" t="str">
        <f>Data!Q86</f>
        <v>MRN229333</v>
      </c>
      <c r="C75" s="171" t="str">
        <f>Data!P86</f>
        <v>SWITCH, CISCO CATALYST 4500 E BUNDLE, 6-SLOT CHASSIS, DUAL 1300W PS, SUP 7L-E, WS-C4506-E-SUP7LE-1300W, MRN229333</v>
      </c>
      <c r="D75" s="177">
        <f>Data!S86</f>
        <v>1807.85</v>
      </c>
      <c r="E75" s="28"/>
    </row>
    <row r="76" spans="1:5" s="25" customFormat="1">
      <c r="A76" s="662"/>
      <c r="B76" s="171" t="str">
        <f>Data!Q87</f>
        <v>MRN223231</v>
      </c>
      <c r="C76" s="171" t="str">
        <f>Data!P87</f>
        <v>SWITCH, CISCO CATALYST 4500 E BUNDLE, 6-SLOT CHASSIS, DUAL 1300W PS, SUP 7-E, WS-C4506-E-SUP7E-1300W, MRN223231</v>
      </c>
      <c r="D76" s="177">
        <f>Data!S87</f>
        <v>1807.85</v>
      </c>
      <c r="E76" s="28"/>
    </row>
    <row r="77" spans="1:5" s="25" customFormat="1">
      <c r="A77" s="662"/>
      <c r="B77" s="171" t="str">
        <f>Data!Q88</f>
        <v>MRN223232</v>
      </c>
      <c r="C77" s="171" t="str">
        <f>Data!P88</f>
        <v>SWITCH, CISCO CATALYST 4500 E BUNDLE, 6-SLOT CHASSIS, DUAL 2800W PS, SUP 7L-E, WS-C4506-E-SUP7LE-2800W, MRN223232</v>
      </c>
      <c r="D77" s="177">
        <f>Data!S88</f>
        <v>1807.85</v>
      </c>
      <c r="E77" s="28"/>
    </row>
    <row r="78" spans="1:5" s="25" customFormat="1">
      <c r="A78" s="662"/>
      <c r="B78" s="171" t="str">
        <f>Data!Q89</f>
        <v>MRN223235</v>
      </c>
      <c r="C78" s="171" t="str">
        <f>Data!P89</f>
        <v>SWITCH, CISCO CATALYST 4500 E BUNDLE, 6-SLOT CHASSIS, DUAL 2800W PS, SUP 7-E, WS-C4506-E-SUP7E-2800W, MRN223235</v>
      </c>
      <c r="D78" s="177">
        <f>Data!S89</f>
        <v>1807.85</v>
      </c>
      <c r="E78" s="28"/>
    </row>
    <row r="79" spans="1:5" s="25" customFormat="1">
      <c r="A79" s="662"/>
      <c r="B79" s="171" t="str">
        <f>Data!Q90</f>
        <v>MRN223236</v>
      </c>
      <c r="C79" s="171" t="str">
        <f>Data!P90</f>
        <v>SWITCH, CISCO CATALYST 4500 E BUNDLE, 6-SLOT CHASSIS, DUAL 4200W PS, SUP 7L-E, WS-C4506-E-SUP7LE-4200W, MRN223236</v>
      </c>
      <c r="D79" s="177">
        <f>Data!S90</f>
        <v>1807.85</v>
      </c>
      <c r="E79" s="28"/>
    </row>
    <row r="80" spans="1:5" s="25" customFormat="1">
      <c r="A80" s="662"/>
      <c r="B80" s="171" t="str">
        <f>Data!Q91</f>
        <v>MRN223240</v>
      </c>
      <c r="C80" s="171" t="str">
        <f>Data!P91</f>
        <v>SWITCH, CISCO CATALYST 4500 E BUNDLE, 6-SLOT CHASSIS, DUAL 4200W PS, SUP 7-E, WS-C4506-E-SUP7E-4200W, MRN223240</v>
      </c>
      <c r="D80" s="177">
        <f>Data!S91</f>
        <v>1807.85</v>
      </c>
      <c r="E80" s="28"/>
    </row>
    <row r="81" spans="1:5" s="25" customFormat="1">
      <c r="A81" s="662"/>
      <c r="B81" s="171" t="str">
        <f>Data!Q92</f>
        <v>MRN222277</v>
      </c>
      <c r="C81" s="171" t="str">
        <f>Data!P92</f>
        <v>SWITCH, CISCO CATALYST 4500 R+E BUNDLE, 7-SLOT CHASSIS, DUAL 1300W PS, SUP 7L-E, WS-C4507-R+E-SUP7LE-1300W, MRN222277</v>
      </c>
      <c r="D81" s="177">
        <f>Data!S92</f>
        <v>1807.85</v>
      </c>
      <c r="E81" s="28"/>
    </row>
    <row r="82" spans="1:5" s="25" customFormat="1">
      <c r="A82" s="662"/>
      <c r="B82" s="171" t="str">
        <f>Data!Q93</f>
        <v>MRN222275</v>
      </c>
      <c r="C82" s="171" t="str">
        <f>Data!P93</f>
        <v>SWITCH, CISCO CATALYST 4500 R+E BUNDLE, 7-SLOT CHASSIS, DUAL 1300W PS, SUP 7-E, WS-C4507-R+E-SUP7E-1300W, MRN222275</v>
      </c>
      <c r="D82" s="177">
        <f>Data!S93</f>
        <v>1807.85</v>
      </c>
      <c r="E82" s="28"/>
    </row>
    <row r="83" spans="1:5" s="25" customFormat="1">
      <c r="A83" s="662"/>
      <c r="B83" s="171" t="str">
        <f>Data!Q94</f>
        <v>MRN223242</v>
      </c>
      <c r="C83" s="171" t="str">
        <f>Data!P94</f>
        <v>SWITCH, CISCO CATALYST 4500 R+E BUNDLE, 7-SLOT CHASSIS, DUAL 2800W PS, SUP 7L-E, WS-C4507-R+E-SUP7LE-2800W, MRN223242</v>
      </c>
      <c r="D83" s="177">
        <f>Data!S94</f>
        <v>1807.85</v>
      </c>
      <c r="E83" s="28"/>
    </row>
    <row r="84" spans="1:5" s="25" customFormat="1">
      <c r="A84" s="662"/>
      <c r="B84" s="171" t="str">
        <f>Data!Q95</f>
        <v>MRN223243</v>
      </c>
      <c r="C84" s="171" t="str">
        <f>Data!P95</f>
        <v>SWITCH, CISCO CATALYST 4500 R+E BUNDLE, 7-SLOT CHASSIS, DUAL 2800W PS, SUP 7-E, WS-C4507-R+E-SUP7E-2800W, MRN223243</v>
      </c>
      <c r="D84" s="177">
        <f>Data!S95</f>
        <v>1807.85</v>
      </c>
      <c r="E84" s="28"/>
    </row>
    <row r="85" spans="1:5" s="25" customFormat="1">
      <c r="A85" s="662"/>
      <c r="B85" s="171" t="str">
        <f>Data!Q96</f>
        <v>MRN223244</v>
      </c>
      <c r="C85" s="171" t="str">
        <f>Data!P96</f>
        <v>SWITCH, CISCO CATALYST 4500 R+E BUNDLE, 7-SLOT CHASSIS, DUAL 4200W PS, SUP 7L-E, WS-C4507-R+E-SUP7LE-4200W, MRN223244</v>
      </c>
      <c r="D85" s="177">
        <f>Data!S96</f>
        <v>1807.85</v>
      </c>
      <c r="E85" s="28"/>
    </row>
    <row r="86" spans="1:5" s="25" customFormat="1">
      <c r="A86" s="662"/>
      <c r="B86" s="171" t="str">
        <f>Data!Q97</f>
        <v>MRN223245</v>
      </c>
      <c r="C86" s="171" t="str">
        <f>Data!P97</f>
        <v>SWITCH, CISCO CATALYST 4500 R+E BUNDLE, 7-SLOT CHASSIS, DUAL 4200W PS, SUP 7-E, WS-C4507-R+E-SUP7E-4200W, MRN223245</v>
      </c>
      <c r="D86" s="177">
        <f>Data!S97</f>
        <v>1807.85</v>
      </c>
      <c r="E86" s="28"/>
    </row>
    <row r="87" spans="1:5" s="25" customFormat="1">
      <c r="A87" s="662"/>
      <c r="B87" s="171" t="str">
        <f>Data!Q98</f>
        <v>WS-X4748-RJ45-E++=</v>
      </c>
      <c r="C87" s="171" t="str">
        <f>Data!P98</f>
        <v>SWITCH MODULE, CISCO CATALYST 4500 NETWORK MODULE, 48 10/100/1000 RJ-45 PORTS, WS-X4748-RJ45-E++=, MRN221210</v>
      </c>
      <c r="D87" s="177">
        <f>Data!S98</f>
        <v>138.38999999999999</v>
      </c>
      <c r="E87" s="28"/>
    </row>
    <row r="88" spans="1:5" s="25" customFormat="1">
      <c r="A88" s="662"/>
      <c r="B88" s="171" t="str">
        <f>Data!Q99</f>
        <v>WS-X4748-UPOE+E++=</v>
      </c>
      <c r="C88" s="171" t="str">
        <f>Data!P99</f>
        <v>SWITCH MODULE, CISCO CATALYST 4500 NETWORK MODULE, 48 10/100/1000 RJ-45 POE PORTS, WS-X4748-UPOE+E++=, MRN222257</v>
      </c>
      <c r="D88" s="177">
        <f>Data!S99</f>
        <v>138.38999999999999</v>
      </c>
      <c r="E88" s="28"/>
    </row>
    <row r="89" spans="1:5" s="25" customFormat="1">
      <c r="A89" s="662"/>
      <c r="B89" s="171" t="str">
        <f>Data!Q100</f>
        <v>WS-X4712-SFP+E++=</v>
      </c>
      <c r="C89" s="171" t="str">
        <f>Data!P100</f>
        <v>SWITCH MODULE, CISCO CATALYST 4500 NETWORK MODULE, 12 SFP+ PORTS, WS-X4712-SFP+E++=, MRN229130</v>
      </c>
      <c r="D89" s="177">
        <f>Data!S100</f>
        <v>138.38999999999999</v>
      </c>
      <c r="E89" s="28"/>
    </row>
    <row r="90" spans="1:5" s="25" customFormat="1">
      <c r="A90" s="662"/>
      <c r="B90" s="171" t="str">
        <f>Data!Q101</f>
        <v>END-OF-SALE</v>
      </c>
      <c r="C90" s="171" t="str">
        <f>Data!P101</f>
        <v>SWITCH MODULE, CISCO CATALYST 4500 NETWORK MODULE, 48 100FX MMF PORTS, WS-X4148-FX-MT++=, MRN229070</v>
      </c>
      <c r="D90" s="177">
        <f>Data!S101</f>
        <v>138.38999999999999</v>
      </c>
      <c r="E90" s="28"/>
    </row>
    <row r="91" spans="1:5" s="25" customFormat="1">
      <c r="A91" s="662"/>
      <c r="B91" s="171" t="str">
        <f>Data!Q102</f>
        <v>END-OF-SALE</v>
      </c>
      <c r="C91" s="171" t="str">
        <f>Data!P102</f>
        <v>SWITCH MODULE, CISCO CATALYST 4500 NETWORK MODULE, 6 10GB X2 or 12 1GB SFP PORTS, WS-X4606-X2-E++=, MRN234273</v>
      </c>
      <c r="D91" s="177">
        <f>Data!S102</f>
        <v>138.38999999999999</v>
      </c>
      <c r="E91" s="28"/>
    </row>
    <row r="92" spans="1:5" s="25" customFormat="1">
      <c r="A92" s="662"/>
      <c r="B92" s="171" t="str">
        <f>Data!Q103</f>
        <v>WS-X4640-CSFP-E++=</v>
      </c>
      <c r="C92" s="171" t="str">
        <f>Data!P103</f>
        <v>SWITCH MODULE, CISCO CATALYST 4500 NETWORK MODULE, 40 SFP or 80 C-SFP PORTS, WS-X4640-CSFP-E++=, MRN234271</v>
      </c>
      <c r="D92" s="177">
        <f>Data!S103</f>
        <v>138.38999999999999</v>
      </c>
      <c r="E92" s="28"/>
    </row>
    <row r="93" spans="1:5" s="25" customFormat="1">
      <c r="A93" s="662"/>
      <c r="B93" s="171" t="str">
        <f>Data!Q104</f>
        <v>MRN223249</v>
      </c>
      <c r="C93" s="171" t="str">
        <f>Data!P104</f>
        <v>SWITCH, CISCO CATALYST 6500 E BUNDLE, 3-SLOT CHASSIS, DUAL 1400W PS, SUP VS-S2T-10G, WS-C6503-E-1400W, MRN223249</v>
      </c>
      <c r="D93" s="177">
        <f>Data!S104</f>
        <v>4066.51</v>
      </c>
      <c r="E93" s="28"/>
    </row>
    <row r="94" spans="1:5" s="25" customFormat="1">
      <c r="A94" s="662"/>
      <c r="B94" s="171" t="str">
        <f>Data!Q105</f>
        <v>MRN223255</v>
      </c>
      <c r="C94" s="171" t="str">
        <f>Data!P105</f>
        <v>SWITCH, CISCO CATALYST 6500 E BUNDLE, 6-SLOT CHASSIS, DUAL 3000W PS, SUP VS-S2T-10G, WS-C6506-E-3000W, MRN223255</v>
      </c>
      <c r="D94" s="177">
        <f>Data!S105</f>
        <v>4066.51</v>
      </c>
      <c r="E94" s="28"/>
    </row>
    <row r="95" spans="1:5" s="25" customFormat="1">
      <c r="A95" s="662"/>
      <c r="B95" s="171" t="str">
        <f>Data!Q106</f>
        <v>MRN227798</v>
      </c>
      <c r="C95" s="171" t="str">
        <f>Data!P106</f>
        <v>SWITCH, CISCO CATALYST 6500 E BUNDLE, 6-SLOT CHASSIS, DUAL 4000W PS, SUP VS-S2T-10G, WS-C6506-E-4000W, MRN227798</v>
      </c>
      <c r="D95" s="177">
        <f>Data!S106</f>
        <v>4066.51</v>
      </c>
      <c r="E95" s="28"/>
    </row>
    <row r="96" spans="1:5" s="25" customFormat="1">
      <c r="A96" s="662"/>
      <c r="B96" s="171" t="str">
        <f>Data!Q107</f>
        <v>MRN223256</v>
      </c>
      <c r="C96" s="171" t="str">
        <f>Data!P107</f>
        <v>SWITCH, CISCO CATALYST 6500 E BUNDLE, 9-SLOT CHASSIS, DUAL 3000W PS, SUP VS-S2T-10G, WS-C6509-E-3000W, MRN223256</v>
      </c>
      <c r="D96" s="177">
        <f>Data!S107</f>
        <v>4066.51</v>
      </c>
      <c r="E96" s="28"/>
    </row>
    <row r="97" spans="1:5" s="25" customFormat="1">
      <c r="A97" s="662"/>
      <c r="B97" s="171" t="str">
        <f>Data!Q108</f>
        <v>MRN224735</v>
      </c>
      <c r="C97" s="171" t="str">
        <f>Data!P108</f>
        <v>SWITCH, CISCO CATALYST 6500 E BUNDLE, 9-SLOT CHASSIS, DUAL 4000W PS, SUP VS-S2T-10G, WS-C6509-E-4000W, MRN224735</v>
      </c>
      <c r="D97" s="177">
        <f>Data!S108</f>
        <v>4066.51</v>
      </c>
      <c r="E97" s="28"/>
    </row>
    <row r="98" spans="1:5" s="25" customFormat="1">
      <c r="A98" s="662"/>
      <c r="B98" s="171" t="str">
        <f>Data!Q109</f>
        <v>VS-S2T-10G=</v>
      </c>
      <c r="C98" s="171" t="str">
        <f>Data!P109</f>
        <v>SWITCH MODULE, CISCO CATALYST 6500 SUPERVISOR ENGINE, 2 10GB X2 PORTS,  3 SFP+ PORTS, ADV IP SERVICES, VS-S2T-10G=, MRN226425</v>
      </c>
      <c r="D98" s="177">
        <f>Data!S109</f>
        <v>138.38999999999999</v>
      </c>
      <c r="E98" s="28"/>
    </row>
    <row r="99" spans="1:5" s="25" customFormat="1">
      <c r="A99" s="662"/>
      <c r="B99" s="171" t="str">
        <f>Data!Q110</f>
        <v>WS-X6848-TX-2T++=</v>
      </c>
      <c r="C99" s="171" t="str">
        <f>Data!P110</f>
        <v>SWITCH MODULE, CISCO CATALYST 6500 NETWORK MODULE, 48 10/100/1000 RJ-45 PORTS, DFC4 S, WS-X6848-TX-2T++=, MRN223389</v>
      </c>
      <c r="D99" s="177">
        <f>Data!S110</f>
        <v>138.38999999999999</v>
      </c>
      <c r="E99" s="28"/>
    </row>
    <row r="100" spans="1:5" s="25" customFormat="1">
      <c r="A100" s="662"/>
      <c r="B100" s="171" t="str">
        <f>Data!Q111</f>
        <v>WS-X6824-SFP-2T++=</v>
      </c>
      <c r="C100" s="171" t="str">
        <f>Data!P111</f>
        <v>SWITCH MODULE, CISCO CATALYST 6500 NETWORK MODULE, 24 SFP PORTS, DFC4 S, WS-X6824-SFP-2T++=, MRN223386</v>
      </c>
      <c r="D100" s="177">
        <f>Data!S111</f>
        <v>138.38999999999999</v>
      </c>
      <c r="E100" s="28"/>
    </row>
    <row r="101" spans="1:5" s="25" customFormat="1">
      <c r="A101" s="662"/>
      <c r="B101" s="171" t="str">
        <f>Data!Q112</f>
        <v>WS-X6848-SFP-2T++=</v>
      </c>
      <c r="C101" s="171" t="str">
        <f>Data!P112</f>
        <v>SWITCH MODULE, CISCO CATALYST 6500 NETWORK MODULE, 48 SFP PORTS, WS-F6K-DFC4-A, WS-X6848-SFP-2T++=, MRN224742</v>
      </c>
      <c r="D101" s="177">
        <f>Data!S112</f>
        <v>138.38999999999999</v>
      </c>
      <c r="E101" s="28"/>
    </row>
    <row r="102" spans="1:5" s="25" customFormat="1" ht="13" thickBot="1">
      <c r="A102" s="662"/>
      <c r="B102" s="171" t="str">
        <f>Data!Q113</f>
        <v>END-OF-SALE</v>
      </c>
      <c r="C102" s="171" t="str">
        <f>Data!P113</f>
        <v>SWITCH MODULE, CISCO CATALYST 6500 NETWORK MODULE, 16 10GE PORTS, WS-F6K-DFC4-E, WS-X6816-10G-2T++=, MRN220784</v>
      </c>
      <c r="D102" s="177">
        <f>Data!S113</f>
        <v>138.38999999999999</v>
      </c>
      <c r="E102" s="28"/>
    </row>
    <row r="103" spans="1:5" s="25" customFormat="1" ht="12.75" customHeight="1">
      <c r="A103" s="663" t="s">
        <v>257</v>
      </c>
      <c r="B103" s="191" t="str">
        <f>Data!Q115</f>
        <v>AO-10G-SFPP-LR</v>
      </c>
      <c r="C103" s="191" t="str">
        <f>Data!P115</f>
        <v>TRANSCEIVER, ADVANTAGE OPTICS SFP, AOPROVANTAGE 10GE LR, LC CONNECTOR, AO-10G-SFPP-LR, MRN229023</v>
      </c>
      <c r="D103" s="253">
        <f>Data!S115</f>
        <v>10.87</v>
      </c>
      <c r="E103" s="28"/>
    </row>
    <row r="104" spans="1:5" s="25" customFormat="1" ht="12.75" customHeight="1">
      <c r="A104" s="664"/>
      <c r="B104" s="173" t="str">
        <f>Data!Q116</f>
        <v>AO-E1MG-LX-OM</v>
      </c>
      <c r="C104" s="173" t="str">
        <f>Data!P116</f>
        <v>TRANSCEIVER, ADVANTAGE OPTICS SFP, 1000BASE-LX, LC CONNECTOR, AO-E1MG-LX-OM, MRN234291</v>
      </c>
      <c r="D104" s="178">
        <f>Data!S116</f>
        <v>10.87</v>
      </c>
      <c r="E104" s="28"/>
    </row>
    <row r="105" spans="1:5" s="25" customFormat="1" ht="12.75" customHeight="1">
      <c r="A105" s="664"/>
      <c r="B105" s="173" t="str">
        <f>Data!Q117</f>
        <v>10G-SFPP-LR-SA</v>
      </c>
      <c r="C105" s="173" t="str">
        <f>Data!P117</f>
        <v>TRANSCEIVER, BROCADE SFP+, 10GBASE-LR, SMF, LC CONNECTOR, 10G-SFPP-LR-SA, MRN238521</v>
      </c>
      <c r="D105" s="178">
        <f>Data!S117</f>
        <v>10.87</v>
      </c>
      <c r="E105" s="28"/>
    </row>
    <row r="106" spans="1:5" s="25" customFormat="1" ht="12.75" customHeight="1">
      <c r="A106" s="664"/>
      <c r="B106" s="173" t="str">
        <f>Data!Q118</f>
        <v>10G-SFPP-SR-SA</v>
      </c>
      <c r="C106" s="173" t="str">
        <f>Data!P118</f>
        <v>TRANSCEIVER, BROCADE SFP+, 10GBASE-SR, MMF, LC CONNECTOR, 10G-SFPP-SR-SA, MRN239982</v>
      </c>
      <c r="D106" s="178">
        <f>Data!S118</f>
        <v>10.87</v>
      </c>
      <c r="E106" s="28"/>
    </row>
    <row r="107" spans="1:5" s="25" customFormat="1" ht="12.75" customHeight="1">
      <c r="A107" s="664"/>
      <c r="B107" s="173" t="str">
        <f>Data!Q119</f>
        <v>E1MG-100FX-A</v>
      </c>
      <c r="C107" s="173" t="str">
        <f>Data!P119</f>
        <v>TRANSCEIVER, BROCADE SFP, 100BASE-FX, MMF, LC CONNECTOR, E1MG-100FX-A, MRN238523</v>
      </c>
      <c r="D107" s="178">
        <f>Data!S119</f>
        <v>10.87</v>
      </c>
      <c r="E107" s="28"/>
    </row>
    <row r="108" spans="1:5" s="25" customFormat="1" ht="12.75" customHeight="1">
      <c r="A108" s="664"/>
      <c r="B108" s="173" t="str">
        <f>Data!Q120</f>
        <v>E1MG-LX-A</v>
      </c>
      <c r="C108" s="173" t="str">
        <f>Data!P120</f>
        <v>TRANSCEIVER, BROCADE SFP, 1000BASE-LX, SMF, LC CONNECTOR, E1MG-LX-A, MRN238522</v>
      </c>
      <c r="D108" s="178">
        <f>Data!S120</f>
        <v>10.87</v>
      </c>
      <c r="E108" s="28"/>
    </row>
    <row r="109" spans="1:5" s="25" customFormat="1" ht="12.75" customHeight="1">
      <c r="A109" s="664"/>
      <c r="B109" s="173" t="str">
        <f>Data!Q121</f>
        <v>E1MG-SX-A</v>
      </c>
      <c r="C109" s="173" t="str">
        <f>Data!P121</f>
        <v>TRANSCEIVER, BROCADE SFP, 1000BASE-SX, MMF, LC CONNECTOR, E1MG-SX-A, MRN221842</v>
      </c>
      <c r="D109" s="178">
        <f>Data!S121</f>
        <v>10.87</v>
      </c>
      <c r="E109" s="28"/>
    </row>
    <row r="110" spans="1:5" s="25" customFormat="1" ht="12.75" customHeight="1">
      <c r="A110" s="664"/>
      <c r="B110" s="173" t="str">
        <f>Data!Q122</f>
        <v>E1MG-TX-A</v>
      </c>
      <c r="C110" s="173" t="str">
        <f>Data!P122</f>
        <v>TRANSCEIVER, BROCADE SFP, 1000BASE-TX, Copper, RJ-45 Connector, E1MG-TX-A, MRN230277</v>
      </c>
      <c r="D110" s="178">
        <f>Data!S122</f>
        <v>10.87</v>
      </c>
      <c r="E110" s="28"/>
    </row>
    <row r="111" spans="1:5" s="25" customFormat="1" ht="12.75" customHeight="1">
      <c r="A111" s="664"/>
      <c r="B111" s="173" t="str">
        <f>Data!Q123</f>
        <v>CVR-X2-SFP=</v>
      </c>
      <c r="C111" s="173" t="str">
        <f>Data!P123</f>
        <v>TRANSCEIVER CONVERTER, CISCO TWINGIG CONVERTER MODULE, CVR-X2-SFP=, MRN221182</v>
      </c>
      <c r="D111" s="178">
        <f>Data!S123</f>
        <v>10.87</v>
      </c>
      <c r="E111" s="28"/>
    </row>
    <row r="112" spans="1:5" s="25" customFormat="1">
      <c r="A112" s="664"/>
      <c r="B112" s="173" t="str">
        <f>Data!Q124</f>
        <v>GLC-LH-SMD++=</v>
      </c>
      <c r="C112" s="173" t="str">
        <f>Data!P124</f>
        <v>TRANSCEIVER, CISCO SFP, 1000BASE-LX/LH, SMF, LC CONNECTOR, GLC-LH-SMD++=, MRN220968</v>
      </c>
      <c r="D112" s="178">
        <f>Data!S124</f>
        <v>10.87</v>
      </c>
      <c r="E112" s="28"/>
    </row>
    <row r="113" spans="1:5" s="25" customFormat="1">
      <c r="A113" s="664"/>
      <c r="B113" s="173" t="str">
        <f>Data!Q125</f>
        <v>GLC-SX-MMD++=</v>
      </c>
      <c r="C113" s="173" t="str">
        <f>Data!P125</f>
        <v>TRANSCEIVER, CISCO SFP, 1000BASE-SX MMF, LC CONNECTOR, GLC-SX-MMD++=, MRN226864</v>
      </c>
      <c r="D113" s="178">
        <f>Data!S125</f>
        <v>10.87</v>
      </c>
      <c r="E113" s="28"/>
    </row>
    <row r="114" spans="1:5" s="25" customFormat="1">
      <c r="A114" s="664"/>
      <c r="B114" s="173" t="str">
        <f>Data!Q126</f>
        <v>GLC-T++=</v>
      </c>
      <c r="C114" s="173" t="str">
        <f>Data!P126</f>
        <v>TRANSCEIVER, CISCO SFP, 1000BASE-T, RJ-45 CONNECTOR, GLC-T++=, MRN220969</v>
      </c>
      <c r="D114" s="178">
        <f>Data!S126</f>
        <v>10.87</v>
      </c>
      <c r="E114" s="28"/>
    </row>
    <row r="115" spans="1:5" s="25" customFormat="1">
      <c r="A115" s="664"/>
      <c r="B115" s="173" t="str">
        <f>Data!Q127</f>
        <v>SFP-10G-LR++=</v>
      </c>
      <c r="C115" s="173" t="str">
        <f>Data!P127</f>
        <v>TRANSCEIVER, CISCO SFP, 10GBASE-LR, SMF, LC CONNECTOR, SFP-10G-LR++=, MRN220205</v>
      </c>
      <c r="D115" s="178">
        <f>Data!S127</f>
        <v>10.87</v>
      </c>
      <c r="E115" s="28"/>
    </row>
    <row r="116" spans="1:5" s="25" customFormat="1">
      <c r="A116" s="664"/>
      <c r="B116" s="173" t="str">
        <f>Data!Q128</f>
        <v>SFP-10G-SR++=</v>
      </c>
      <c r="C116" s="173" t="str">
        <f>Data!P128</f>
        <v>TRANSCEIVER, CISCO SFP, 10GBASE-SR, MMF, LC CONNECTOR, SFP-10G-SR++=, MRN220206</v>
      </c>
      <c r="D116" s="178">
        <f>Data!S128</f>
        <v>10.87</v>
      </c>
      <c r="E116" s="28"/>
    </row>
    <row r="117" spans="1:5" s="25" customFormat="1">
      <c r="A117" s="664"/>
      <c r="B117" s="173" t="str">
        <f>Data!Q129</f>
        <v>X2-10GB-LR++=</v>
      </c>
      <c r="C117" s="173" t="str">
        <f>Data!P129</f>
        <v>TRANSCEIVER, CISCO X2, 10GBASE-LR, SMF, SC CONNECTOR, X2-10GB-LR++=, MRN221237</v>
      </c>
      <c r="D117" s="178">
        <f>Data!S129</f>
        <v>10.87</v>
      </c>
      <c r="E117" s="28"/>
    </row>
    <row r="118" spans="1:5" s="25" customFormat="1">
      <c r="A118" s="664"/>
      <c r="B118" s="173" t="str">
        <f>Data!Q130</f>
        <v>X2-10GB-SR++=</v>
      </c>
      <c r="C118" s="173" t="str">
        <f>Data!P130</f>
        <v>TRANSCEIVER, CISCO X2, 10GBASE-SR, MMF, SC CONNECTOR, X2-10GB-SR++=, MRN220207</v>
      </c>
      <c r="D118" s="178">
        <f>Data!S130</f>
        <v>10.87</v>
      </c>
      <c r="E118" s="28"/>
    </row>
    <row r="119" spans="1:5" s="25" customFormat="1">
      <c r="A119" s="664"/>
      <c r="B119" s="173" t="str">
        <f>Data!Q131</f>
        <v>XFP-10G-MM-SR=</v>
      </c>
      <c r="C119" s="173" t="str">
        <f>Data!P131</f>
        <v>TRANSCEIVER, CISCO XFP, 10GBASE-SR , MMF, LC CONNECTOR, XFP-10G-MM-SR=, MRN227350</v>
      </c>
      <c r="D119" s="178">
        <f>Data!S131</f>
        <v>10.87</v>
      </c>
      <c r="E119" s="28"/>
    </row>
    <row r="120" spans="1:5" s="25" customFormat="1" ht="13" thickBot="1">
      <c r="A120" s="665"/>
      <c r="B120" s="173" t="str">
        <f>Data!Q132</f>
        <v>SRX-SFP-1GE-SX</v>
      </c>
      <c r="C120" s="173" t="str">
        <f>Data!P132</f>
        <v>TRANSCEIVER, JUNIPER SRX SFP, 1000BASE-SX, MMF, LC CONNECTOR, SRX-SFP-1GE-SX, MRN226171</v>
      </c>
      <c r="D120" s="178">
        <f>Data!S132</f>
        <v>10.87</v>
      </c>
      <c r="E120" s="28"/>
    </row>
    <row r="121" spans="1:5" s="25" customFormat="1" ht="12.75" customHeight="1">
      <c r="A121" s="666" t="s">
        <v>255</v>
      </c>
      <c r="B121" s="191" t="str">
        <f>Data!Q134</f>
        <v>MRN223135</v>
      </c>
      <c r="C121" s="191" t="str">
        <f>Data!P134</f>
        <v>ROUTER, CISCO 2911/K9 BUNDLE, 3 GE, 4 EHWIC, 2 DSP, 1 SM, 512MB CF, 1GB DRAM, MRN223135</v>
      </c>
      <c r="D121" s="253">
        <f>Data!S134</f>
        <v>1448.33</v>
      </c>
      <c r="E121" s="28"/>
    </row>
    <row r="122" spans="1:5" s="25" customFormat="1" ht="12.75" customHeight="1">
      <c r="A122" s="667"/>
      <c r="B122" s="173" t="str">
        <f>Data!Q135</f>
        <v>MRN226431</v>
      </c>
      <c r="C122" s="173" t="str">
        <f>Data!P135</f>
        <v>ROUTER, CISCO 2911/K9 BUNDLE, 3 GE, 4 EHWIC, 2 DSP, 1 SM, 512MB CF, 1.5GB DRAM, APPX LICENSE, MRN226431</v>
      </c>
      <c r="D122" s="178">
        <f>Data!S135</f>
        <v>1448.33</v>
      </c>
      <c r="E122" s="28"/>
    </row>
    <row r="123" spans="1:5" s="25" customFormat="1">
      <c r="A123" s="667"/>
      <c r="B123" s="173" t="str">
        <f>Data!Q136</f>
        <v>MRN223137</v>
      </c>
      <c r="C123" s="173" t="str">
        <f>Data!P136</f>
        <v>ROUTER, CISCO 2921/K9 BUNDLE, 3 GE, 4 EHWIC, 3 DSP, 1 SM, 512MB CF, 1.5GB DRAM, CISCO2921/K9, MRN223137</v>
      </c>
      <c r="D123" s="178">
        <f>Data!S136</f>
        <v>1448.33</v>
      </c>
      <c r="E123" s="28"/>
    </row>
    <row r="124" spans="1:5" s="25" customFormat="1">
      <c r="A124" s="667"/>
      <c r="B124" s="173" t="str">
        <f>Data!Q137</f>
        <v>MRN226430</v>
      </c>
      <c r="C124" s="173" t="str">
        <f>Data!P137</f>
        <v>ROUTER, CISCO 2921/K9 BUNDLE, 3 GE, 4 EHWIC, 3 DSP, 1 SM, 512MB CF, 1.5GB DRAM, APPX LICENSE, MRN226430</v>
      </c>
      <c r="D124" s="178">
        <f>Data!S137</f>
        <v>1448.33</v>
      </c>
      <c r="E124" s="28"/>
    </row>
    <row r="125" spans="1:5" s="25" customFormat="1">
      <c r="A125" s="667"/>
      <c r="B125" s="173" t="str">
        <f>Data!Q138</f>
        <v>MRN237955</v>
      </c>
      <c r="C125" s="173" t="str">
        <f>Data!P138</f>
        <v>ROUTER, CISCO 2921/K9 BUNDLE, 3 GE, 4 EHWIC, 3 DSP, 1 SM, 512MB CF, 1.5GB DRAM, APPX LICENSE, SM-ES2-24, MRN237955</v>
      </c>
      <c r="D125" s="178">
        <f>Data!S138</f>
        <v>1448.33</v>
      </c>
      <c r="E125" s="28"/>
    </row>
    <row r="126" spans="1:5" s="25" customFormat="1">
      <c r="A126" s="667"/>
      <c r="B126" s="173" t="str">
        <f>Data!Q139</f>
        <v>MRN221769</v>
      </c>
      <c r="C126" s="173" t="str">
        <f>Data!P139</f>
        <v>ROUTER, CISCO 2921/K9 BUNDLE, 3 GE, 4 EHWIC, 3 DSP, 1 SM, 1GB CF, 1GB DRAM, GLC-FE-100FX, RPS-ADPRT, 2 VWIC3-1MFT-T1/E1, EHWIC-1GE-SFP-CU,  MRN221769</v>
      </c>
      <c r="D126" s="178">
        <f>Data!S139</f>
        <v>1448.33</v>
      </c>
      <c r="E126" s="28"/>
    </row>
    <row r="127" spans="1:5" s="25" customFormat="1">
      <c r="A127" s="667"/>
      <c r="B127" s="173" t="str">
        <f>Data!Q140</f>
        <v>MRN226868</v>
      </c>
      <c r="C127" s="173" t="str">
        <f>Data!P140</f>
        <v>ROUTER, CISCO 2921-SEC BUNDLE, 3 GE, 4 EHWIC, 3 DSP, 1 SM, 1GB CF, 1GB DRAM, CISCO2921-SEC/K9, MRN226868</v>
      </c>
      <c r="D127" s="178">
        <f>Data!S140</f>
        <v>1448.33</v>
      </c>
      <c r="E127" s="28"/>
    </row>
    <row r="128" spans="1:5" s="25" customFormat="1">
      <c r="A128" s="667"/>
      <c r="B128" s="173" t="str">
        <f>Data!Q141</f>
        <v>Cisco3925/K9</v>
      </c>
      <c r="C128" s="173" t="str">
        <f>Data!P141</f>
        <v>ROUTER, CISCO 3925 BUNDLE, 3 GE, 4 EHWIC, 4 DSP, 2 SM, 512MB CF, 2GB DRAM, DUAL PS, CISCO3925/K9, MRN222258</v>
      </c>
      <c r="D128" s="178">
        <f>Data!S141</f>
        <v>1851.94</v>
      </c>
      <c r="E128" s="28"/>
    </row>
    <row r="129" spans="1:5" s="25" customFormat="1">
      <c r="A129" s="667"/>
      <c r="B129" s="173" t="str">
        <f>Data!Q142</f>
        <v>Cisco3925/K9</v>
      </c>
      <c r="C129" s="173" t="str">
        <f>Data!P142</f>
        <v>ROUTER, CISCO 3925 BUNDLE, 3 GE, 4 EHWIC, 4 DSP, 2 SM, 512MB CF, 2GB DRAM, DUAL PS, APPX LICENSE, CISCO3925/K9, MRN224244</v>
      </c>
      <c r="D129" s="178">
        <f>Data!S142</f>
        <v>1851.94</v>
      </c>
      <c r="E129" s="28"/>
    </row>
    <row r="130" spans="1:5" s="25" customFormat="1">
      <c r="A130" s="667"/>
      <c r="B130" s="173" t="str">
        <f>Data!Q143</f>
        <v>MRN224767</v>
      </c>
      <c r="C130" s="173" t="str">
        <f>Data!P143</f>
        <v>ROUTER, CISCO 3945 BUNDLE, 3 GE, 4 EHWIC, 4 DSP, 2 SM, 512MB CF, 2GB DRAM, DUAL PS, CISCO3945/K9, MRN224767</v>
      </c>
      <c r="D130" s="178">
        <f>Data!S143</f>
        <v>1851.94</v>
      </c>
      <c r="E130" s="28"/>
    </row>
    <row r="131" spans="1:5" s="25" customFormat="1">
      <c r="A131" s="667"/>
      <c r="B131" s="173" t="str">
        <f>Data!Q144</f>
        <v>MRN226217</v>
      </c>
      <c r="C131" s="173" t="str">
        <f>Data!P144</f>
        <v>ROUTER, CISCO 3945 BUNDLE, 3 GE, 4 EHWIC, 4 DSP, 2 SM, 512MB CF, 2GB DRAM, DUAL PS, APPX LICENSE, CISCO3945/K9, MRN226217</v>
      </c>
      <c r="D131" s="178">
        <f>Data!S144</f>
        <v>1851.94</v>
      </c>
      <c r="E131" s="28"/>
    </row>
    <row r="132" spans="1:5" s="25" customFormat="1">
      <c r="A132" s="667"/>
      <c r="B132" s="173" t="str">
        <f>Data!Q145</f>
        <v>MRN226419</v>
      </c>
      <c r="C132" s="173" t="str">
        <f>Data!P145</f>
        <v>ROUTER, CISCO ASR1001-X BUNDLE, 6 GE, 8GB DRAM, DUAL P/S, ADV IP SERVICES LICENSE, ASR1001-X, MRN226419</v>
      </c>
      <c r="D132" s="178">
        <f>Data!S145</f>
        <v>1851.94</v>
      </c>
      <c r="E132" s="28"/>
    </row>
    <row r="133" spans="1:5" s="25" customFormat="1">
      <c r="A133" s="667"/>
      <c r="B133" s="173" t="str">
        <f>Data!Q146</f>
        <v>MRN223179</v>
      </c>
      <c r="C133" s="173" t="str">
        <f>Data!P146</f>
        <v>ROUTER, CISCO ASR1002-X BUNDLE, 6 GE, 4GB DRAM, DUAL P/S, ADV IP SERVICES LICENSE, ASR1002-X, MRN223179</v>
      </c>
      <c r="D133" s="178">
        <f>Data!S146</f>
        <v>1851.94</v>
      </c>
      <c r="E133" s="28"/>
    </row>
    <row r="134" spans="1:5" s="25" customFormat="1">
      <c r="A134" s="667"/>
      <c r="B134" s="173" t="str">
        <f>Data!Q147</f>
        <v>EHWIC-D-8ESG=</v>
      </c>
      <c r="C134" s="173" t="str">
        <f>Data!P147</f>
        <v>ROUTER MODULE, CISCO NETWORK INTERFACE CARD, 8-PORT, 10/100/1000 ETHERNET SWITCH, EHWIC-D-8ESG=, MRN229177</v>
      </c>
      <c r="D134" s="178">
        <f>Data!S147</f>
        <v>138.38999999999999</v>
      </c>
      <c r="E134" s="28"/>
    </row>
    <row r="135" spans="1:5" s="25" customFormat="1">
      <c r="A135" s="667"/>
      <c r="B135" s="173" t="str">
        <f>Data!Q148</f>
        <v>VWIC3-2MFT-T1/E1=</v>
      </c>
      <c r="C135" s="173" t="str">
        <f>Data!P148</f>
        <v>ROUTER MODULE, CISCO VOICE/WAN MODULE, 2-PORT, 3RD GEN, MULTIFLEX TRUNK MODULE, VWIC3-2MFT-T1/E1=, MRN221891</v>
      </c>
      <c r="D135" s="178">
        <f>Data!S148</f>
        <v>138.38999999999999</v>
      </c>
      <c r="E135" s="28"/>
    </row>
    <row r="136" spans="1:5" s="25" customFormat="1">
      <c r="A136" s="667"/>
      <c r="B136" s="173" t="str">
        <f>Data!Q149</f>
        <v>HWIC-1DSU-T1=</v>
      </c>
      <c r="C136" s="173" t="str">
        <f>Data!P149</f>
        <v>ROUTER MODULE, CISCO WAN INTERFACE CARD, 1-PORT, T1/FRACTIONAL T1 DSU/CSU, HWIC-1DSU-T1=, MRN224920</v>
      </c>
      <c r="D136" s="178">
        <f>Data!S149</f>
        <v>138.38999999999999</v>
      </c>
      <c r="E136" s="28"/>
    </row>
    <row r="137" spans="1:5" s="25" customFormat="1">
      <c r="A137" s="667"/>
      <c r="B137" s="173" t="str">
        <f>Data!Q150</f>
        <v>SM-X-1T3/E3++=</v>
      </c>
      <c r="C137" s="173" t="str">
        <f>Data!P150</f>
        <v>ROUTER MODULE, CISCO WAN MODULE, 1-PORT T3/E3 SERVICE MODULE, SM-X-1T3/E3++=, MRN223270</v>
      </c>
      <c r="D137" s="178">
        <f>Data!S150</f>
        <v>138.38999999999999</v>
      </c>
      <c r="E137" s="28"/>
    </row>
    <row r="138" spans="1:5" s="25" customFormat="1">
      <c r="A138" s="667"/>
      <c r="B138" s="173" t="str">
        <f>Data!Q151</f>
        <v>PWR-RPS2300=</v>
      </c>
      <c r="C138" s="173" t="str">
        <f>Data!P151</f>
        <v>REDUNDANT POWER SYSTEM, CISCO RPS2300, RPS 2300 CHASSIS, BLOWER, PS BLANK, PWR-RPS2300=, MRN218423</v>
      </c>
      <c r="D138" s="178">
        <f>Data!S151</f>
        <v>134.44</v>
      </c>
      <c r="E138" s="28"/>
    </row>
    <row r="139" spans="1:5" s="25" customFormat="1">
      <c r="A139" s="667"/>
      <c r="B139" s="173" t="str">
        <f>Data!Q152</f>
        <v>MRN224745</v>
      </c>
      <c r="C139" s="173" t="str">
        <f>Data!P152</f>
        <v>REDUNDANT POWER SYSTEM, CISCO RPS2300 BUNDLE, RPS 2300 CHASSIS, BLOWER, DUAL C3K-PWR-750WAC, CAB-RPS2300-E, PWR-RPS2300, MRN224745</v>
      </c>
      <c r="D139" s="178">
        <f>Data!S152</f>
        <v>134.44</v>
      </c>
      <c r="E139" s="28"/>
    </row>
    <row r="140" spans="1:5" s="25" customFormat="1">
      <c r="A140" s="667"/>
      <c r="B140" s="173" t="str">
        <f>Data!Q153</f>
        <v>MRN226432</v>
      </c>
      <c r="C140" s="173" t="str">
        <f>Data!P153</f>
        <v>REDUNDANT POWER SYSTEM, CISCO RPS2300 BUNDLE, RPS 2300 CHASSIS, BLOWER, DUAL C3K-PWR-1150WAC, CAB-RPS2300-E, PWR-RPS2300, MRN226432</v>
      </c>
      <c r="D140" s="178">
        <f>Data!S153</f>
        <v>134.44</v>
      </c>
      <c r="E140" s="28"/>
    </row>
    <row r="141" spans="1:5" s="25" customFormat="1">
      <c r="A141" s="667"/>
      <c r="B141" s="173" t="str">
        <f>Data!Q154</f>
        <v>SRX210HE2-TAA</v>
      </c>
      <c r="C141" s="173" t="str">
        <f>Data!P154</f>
        <v>SERVICES GATEWAY, JUNIPER SRX210, 2 GE PORTS, 6 FE PORTS, PIM SLOT,  2GB DRAM, 2GB FLASH, SRX210HE2-TAA, MRN227756</v>
      </c>
      <c r="D141" s="178">
        <f>Data!S154</f>
        <v>1215.78</v>
      </c>
      <c r="E141" s="28"/>
    </row>
    <row r="142" spans="1:5" s="25" customFormat="1">
      <c r="A142" s="667"/>
      <c r="B142" s="173" t="str">
        <f>Data!Q155</f>
        <v>SRX550-645AP-TAA</v>
      </c>
      <c r="C142" s="173" t="str">
        <f>Data!P155</f>
        <v>SERVICES GATEWAY, JUNIPER SRX 550 BUNDLE, 6 10/100/1000 RJ-45 PORTS, 4 SFP PORTS, 645W AC POE PS, RACK MOUNT KIT, SRX550-645AP-TAA, MRN227757</v>
      </c>
      <c r="D142" s="178">
        <f>Data!S155</f>
        <v>1434.24</v>
      </c>
      <c r="E142" s="28"/>
    </row>
    <row r="143" spans="1:5" s="25" customFormat="1">
      <c r="A143" s="667"/>
      <c r="B143" s="173" t="str">
        <f>Data!Q156</f>
        <v>SRX650B-SRE6-645AP-TAA</v>
      </c>
      <c r="C143" s="173" t="str">
        <f>Data!P156</f>
        <v>SERVICES GATEWAY, JUNIPER SRX 650 BUNDLE, 4 10/100/1000 RJ-45 PORTS, 645W AC POE PS, RACK MOUNT KIT, SRX650B-SRE6-645AP-TAA, MRN227651</v>
      </c>
      <c r="D143" s="178">
        <f>Data!S156</f>
        <v>1434.24</v>
      </c>
      <c r="E143" s="28"/>
    </row>
    <row r="144" spans="1:5" s="25" customFormat="1">
      <c r="A144" s="667"/>
      <c r="B144" s="173" t="str">
        <f>Data!Q157</f>
        <v>SRX3600BASE-AC</v>
      </c>
      <c r="C144" s="173" t="str">
        <f>Data!P157</f>
        <v>SERVICES GATEWAY, JUNIPER SRX 3600 CHASSIS, FAN,  ROUTING ENGINE,  SFB-12GE, SRX3600BASE-AC, MRN227758</v>
      </c>
      <c r="D144" s="178">
        <f>Data!S157</f>
        <v>1434.24</v>
      </c>
      <c r="E144" s="28"/>
    </row>
    <row r="145" spans="1:8" s="25" customFormat="1">
      <c r="A145" s="667"/>
      <c r="B145" s="173" t="str">
        <f>Data!Q158</f>
        <v>SRX1K3K-NP-2XGE-SFPP</v>
      </c>
      <c r="C145" s="173" t="str">
        <f>Data!P158</f>
        <v>CONTROL PROCESSOR, JUNIPER, 2 10GE SFP+ PORTS, INTEGRATED NPC AND IOC, SRX1K3K-NP-2XGE-SFPP, MRN226155</v>
      </c>
      <c r="D145" s="178">
        <f>Data!S158</f>
        <v>138.38999999999999</v>
      </c>
      <c r="E145" s="28"/>
    </row>
    <row r="146" spans="1:8" s="25" customFormat="1">
      <c r="A146" s="667"/>
      <c r="B146" s="173" t="str">
        <f>Data!Q159</f>
        <v>SRX3K-CRM</v>
      </c>
      <c r="C146" s="173" t="str">
        <f>Data!P159</f>
        <v>GATEWAY MODULE, JUNIPER SRX 3600 CLUSTERING MODULE, SRX3K-CRM, MRN231759</v>
      </c>
      <c r="D146" s="178">
        <f>Data!S159</f>
        <v>138.38999999999999</v>
      </c>
      <c r="E146" s="28"/>
    </row>
    <row r="147" spans="1:8" s="25" customFormat="1">
      <c r="A147" s="667"/>
      <c r="B147" s="173" t="str">
        <f>Data!Q160</f>
        <v>SRX3K-SFB-12GE</v>
      </c>
      <c r="C147" s="173" t="str">
        <f>Data!P160</f>
        <v>GATEWAY MODULE, JUNIPER SRX 3600 NETWORK MODULE, 8 10/100/1000 RJ-45 PORTS, 4 SFP PORTS, SRX3K-SFB-12GE, MRN226167</v>
      </c>
      <c r="D147" s="178">
        <f>Data!S160</f>
        <v>138.38999999999999</v>
      </c>
      <c r="E147" s="28"/>
    </row>
    <row r="148" spans="1:8" s="25" customFormat="1">
      <c r="A148" s="667"/>
      <c r="B148" s="173" t="str">
        <f>Data!Q161</f>
        <v>SRX3K-NPC</v>
      </c>
      <c r="C148" s="173" t="str">
        <f>Data!P161</f>
        <v>GATEWAY MODULE, JUNIPER SRX 3600 NETWORK PROCESSING CARD, SRX3K-NPC, MRN226161</v>
      </c>
      <c r="D148" s="178">
        <f>Data!S161</f>
        <v>138.38999999999999</v>
      </c>
      <c r="E148" s="28"/>
    </row>
    <row r="149" spans="1:8" s="25" customFormat="1">
      <c r="A149" s="667"/>
      <c r="B149" s="173" t="str">
        <f>Data!Q162</f>
        <v>SRX3K-PWR-AC</v>
      </c>
      <c r="C149" s="173" t="str">
        <f>Data!P162</f>
        <v>GATEWAY MODULE, JUNIPER SRX 3600 POWER ENTRY MODULE, SRX3K-PWR-AC, MRN226163</v>
      </c>
      <c r="D149" s="178">
        <f>Data!S162</f>
        <v>138.38999999999999</v>
      </c>
      <c r="E149" s="28"/>
    </row>
    <row r="150" spans="1:8" s="25" customFormat="1">
      <c r="A150" s="667"/>
      <c r="B150" s="173" t="str">
        <f>Data!Q163</f>
        <v>SRX3K-RE-12-10</v>
      </c>
      <c r="C150" s="173" t="str">
        <f>Data!P163</f>
        <v>GATEWAY MODULE, JUNIPER SRX 3600 ROUTING ENGINE, 1200MHZ PROCESSOR, 1GB MEMORY, SRX3K-RE-12-10, MRN226165</v>
      </c>
      <c r="D150" s="178">
        <f>Data!S163</f>
        <v>138.38999999999999</v>
      </c>
      <c r="E150" s="28"/>
    </row>
    <row r="151" spans="1:8" s="25" customFormat="1">
      <c r="A151" s="667"/>
      <c r="B151" s="173" t="str">
        <f>Data!Q164</f>
        <v>SRX3K-SPC-1-10-40</v>
      </c>
      <c r="C151" s="173" t="str">
        <f>Data!P164</f>
        <v>GATEWAY MODULE, JUNIPER SRX 3600 SERVICES PROCESSING CARD, 1 GHz CPU,  4 GB RAM, SRX3K-SPC-1-10-40, MRN226168</v>
      </c>
      <c r="D151" s="178">
        <f>Data!S164</f>
        <v>138.38999999999999</v>
      </c>
      <c r="E151" s="28"/>
    </row>
    <row r="152" spans="1:8" s="25" customFormat="1" ht="13" thickBot="1">
      <c r="A152" s="667"/>
      <c r="B152" s="173" t="str">
        <f>Data!Q165</f>
        <v>SRX600-PWR-645AC-POE</v>
      </c>
      <c r="C152" s="173" t="str">
        <f>Data!P165</f>
        <v>POWER SUPPLY, JUNIPER POWER SUPPLY FOR SRX550/SRX650, 645W AC, POE, SRX600-PWR-645AC-POE, MRN222899</v>
      </c>
      <c r="D152" s="178">
        <f>Data!S165</f>
        <v>54.34</v>
      </c>
      <c r="E152" s="28"/>
    </row>
    <row r="153" spans="1:8" s="25" customFormat="1" ht="15.75" customHeight="1">
      <c r="A153" s="669" t="s">
        <v>246</v>
      </c>
      <c r="B153" s="191" t="str">
        <f>Data!Q176</f>
        <v>850-14550</v>
      </c>
      <c r="C153" s="191" t="str">
        <f>Data!P176</f>
        <v>MEDIA CONVERTER, B+B SMARTWORX, IMCV-S2MM/155, SM1310/LONG-SC, MM1300-SC, 80KM, 850-14550, MRN226546</v>
      </c>
      <c r="D153" s="253">
        <f>Data!S176</f>
        <v>40</v>
      </c>
      <c r="E153" s="28"/>
    </row>
    <row r="154" spans="1:8" s="25" customFormat="1" ht="15.75" customHeight="1">
      <c r="A154" s="670"/>
      <c r="B154" s="173" t="str">
        <f>Data!Q177</f>
        <v>850-14570</v>
      </c>
      <c r="C154" s="173" t="str">
        <f>Data!P177</f>
        <v>MEDIA CONVERTER, B+B SMARTWORX, IMCV-S2MM/155, SM1310/PLUS-SC, MM850-SC, 850-14570, MRN226547</v>
      </c>
      <c r="D154" s="178">
        <f>Data!S177</f>
        <v>40</v>
      </c>
      <c r="E154" s="28"/>
    </row>
    <row r="155" spans="1:8" s="25" customFormat="1" ht="15.75" customHeight="1">
      <c r="A155" s="670"/>
      <c r="B155" s="173" t="str">
        <f>Data!Q178</f>
        <v>850-14530</v>
      </c>
      <c r="C155" s="173" t="str">
        <f>Data!P178</f>
        <v>MEDIA CONVERTER, B+B SMARTWORX, IMCV-S2MM/155, SM1310/PLUS-SC, MM1300-SC, 850-14530, MRN226545</v>
      </c>
      <c r="D155" s="178">
        <f>Data!S178</f>
        <v>40</v>
      </c>
      <c r="E155" s="28"/>
    </row>
    <row r="156" spans="1:8" s="25" customFormat="1" ht="15.75" customHeight="1">
      <c r="A156" s="670"/>
      <c r="B156" s="173" t="str">
        <f>Data!Q179</f>
        <v>855-10934</v>
      </c>
      <c r="C156" s="173" t="str">
        <f>Data!P179</f>
        <v>MEDIA CONVERTER, B+B SMARTWORX, MCBASIC, TX/FX-SM1310/LONG-SC, 855-10934, MRN226543</v>
      </c>
      <c r="D156" s="178">
        <f>Data!S179</f>
        <v>40</v>
      </c>
      <c r="E156" s="28"/>
    </row>
    <row r="157" spans="1:8" s="25" customFormat="1" ht="15.75" customHeight="1">
      <c r="A157" s="670"/>
      <c r="B157" s="173" t="str">
        <f>Data!Q180</f>
        <v>855-10932</v>
      </c>
      <c r="C157" s="173" t="str">
        <f>Data!P180</f>
        <v>MEDIA CONVERTER, B+B SMARTWORX, MCBASIC, TX/FX-SM1310/PLUS-SC, 855-10932, MRN226542</v>
      </c>
      <c r="D157" s="178">
        <f>Data!S180</f>
        <v>40</v>
      </c>
      <c r="E157" s="28"/>
    </row>
    <row r="158" spans="1:8" s="25" customFormat="1" ht="15.75" customHeight="1" thickBot="1">
      <c r="A158" s="671"/>
      <c r="B158" s="251" t="str">
        <f>Data!Q181</f>
        <v>850-13100</v>
      </c>
      <c r="C158" s="251" t="str">
        <f>Data!P181</f>
        <v>CHASSIS, B+B SMARTWORX, MEDIACHASSIS/1, 1-SLOT, 850-13100, MRN226548</v>
      </c>
      <c r="D158" s="252">
        <f>Data!S181</f>
        <v>40</v>
      </c>
      <c r="E158" s="28"/>
    </row>
    <row r="159" spans="1:8" s="179" customFormat="1" ht="72" customHeight="1">
      <c r="A159" s="254"/>
      <c r="B159" s="254"/>
      <c r="C159" s="255" t="s">
        <v>555</v>
      </c>
      <c r="D159" s="256"/>
      <c r="E159" s="16"/>
      <c r="F159" s="180"/>
      <c r="G159" s="180"/>
      <c r="H159" s="181"/>
    </row>
    <row r="160" spans="1:8" s="25" customFormat="1" ht="20.149999999999999" customHeight="1">
      <c r="A160" s="28"/>
      <c r="B160" s="28"/>
      <c r="C160" s="28"/>
      <c r="D160" s="62"/>
      <c r="E160" s="28"/>
    </row>
    <row r="161" spans="4:4" s="25" customFormat="1" hidden="1">
      <c r="D161" s="30"/>
    </row>
    <row r="162" spans="4:4" s="25" customFormat="1" hidden="1">
      <c r="D162" s="30"/>
    </row>
    <row r="163" spans="4:4" s="25" customFormat="1" hidden="1">
      <c r="D163" s="30"/>
    </row>
    <row r="164" spans="4:4" s="25" customFormat="1" hidden="1">
      <c r="D164" s="30"/>
    </row>
    <row r="165" spans="4:4" s="25" customFormat="1" hidden="1">
      <c r="D165" s="30"/>
    </row>
    <row r="166" spans="4:4" s="25" customFormat="1" hidden="1">
      <c r="D166" s="30"/>
    </row>
    <row r="167" spans="4:4" s="25" customFormat="1" hidden="1">
      <c r="D167" s="30"/>
    </row>
    <row r="168" spans="4:4" s="25" customFormat="1" hidden="1">
      <c r="D168" s="30"/>
    </row>
    <row r="169" spans="4:4" s="25" customFormat="1" hidden="1">
      <c r="D169" s="30"/>
    </row>
    <row r="170" spans="4:4" s="25" customFormat="1" hidden="1">
      <c r="D170" s="30"/>
    </row>
    <row r="171" spans="4:4" s="25" customFormat="1" hidden="1">
      <c r="D171" s="30"/>
    </row>
    <row r="172" spans="4:4" s="25" customFormat="1" hidden="1">
      <c r="D172" s="30"/>
    </row>
    <row r="173" spans="4:4" s="25" customFormat="1" hidden="1">
      <c r="D173" s="30"/>
    </row>
    <row r="174" spans="4:4" s="25" customFormat="1" hidden="1">
      <c r="D174" s="30"/>
    </row>
    <row r="175" spans="4:4" s="25" customFormat="1" hidden="1">
      <c r="D175" s="30"/>
    </row>
    <row r="176" spans="4:4" s="25" customFormat="1" hidden="1">
      <c r="D176" s="30"/>
    </row>
    <row r="177" spans="4:4" s="25" customFormat="1" hidden="1">
      <c r="D177" s="30"/>
    </row>
    <row r="178" spans="4:4" s="25" customFormat="1" hidden="1">
      <c r="D178" s="30"/>
    </row>
    <row r="179" spans="4:4" s="25" customFormat="1" hidden="1">
      <c r="D179" s="30"/>
    </row>
    <row r="180" spans="4:4" s="25" customFormat="1" hidden="1">
      <c r="D180" s="30"/>
    </row>
    <row r="181" spans="4:4" s="25" customFormat="1" hidden="1">
      <c r="D181" s="30"/>
    </row>
    <row r="182" spans="4:4" s="25" customFormat="1" hidden="1">
      <c r="D182" s="30"/>
    </row>
    <row r="183" spans="4:4" s="25" customFormat="1" hidden="1">
      <c r="D183" s="30"/>
    </row>
    <row r="184" spans="4:4" s="25" customFormat="1" hidden="1">
      <c r="D184" s="30"/>
    </row>
    <row r="185" spans="4:4" s="25" customFormat="1" hidden="1">
      <c r="D185" s="30"/>
    </row>
    <row r="186" spans="4:4" s="25" customFormat="1" hidden="1">
      <c r="D186" s="30"/>
    </row>
    <row r="187" spans="4:4" s="25" customFormat="1" hidden="1">
      <c r="D187" s="30"/>
    </row>
    <row r="188" spans="4:4" s="25" customFormat="1" hidden="1">
      <c r="D188" s="30"/>
    </row>
    <row r="189" spans="4:4" s="25" customFormat="1" hidden="1">
      <c r="D189" s="30"/>
    </row>
    <row r="190" spans="4:4" s="25" customFormat="1" hidden="1">
      <c r="D190" s="30"/>
    </row>
    <row r="191" spans="4:4" s="25" customFormat="1" hidden="1">
      <c r="D191" s="30"/>
    </row>
    <row r="192" spans="4:4" s="25" customFormat="1" hidden="1">
      <c r="D192" s="30"/>
    </row>
    <row r="193" spans="4:4" s="25" customFormat="1" hidden="1">
      <c r="D193" s="30"/>
    </row>
    <row r="194" spans="4:4" s="25" customFormat="1" hidden="1">
      <c r="D194" s="30"/>
    </row>
    <row r="195" spans="4:4" s="25" customFormat="1" hidden="1">
      <c r="D195" s="30"/>
    </row>
    <row r="196" spans="4:4" s="25" customFormat="1" hidden="1">
      <c r="D196" s="30"/>
    </row>
    <row r="197" spans="4:4" s="25" customFormat="1" hidden="1">
      <c r="D197" s="30"/>
    </row>
    <row r="198" spans="4:4" s="25" customFormat="1" hidden="1">
      <c r="D198" s="30"/>
    </row>
    <row r="199" spans="4:4" s="25" customFormat="1" hidden="1">
      <c r="D199" s="30"/>
    </row>
    <row r="200" spans="4:4" s="25" customFormat="1" hidden="1">
      <c r="D200" s="30"/>
    </row>
    <row r="201" spans="4:4" s="25" customFormat="1" hidden="1">
      <c r="D201" s="30"/>
    </row>
    <row r="202" spans="4:4" s="25" customFormat="1" hidden="1">
      <c r="D202" s="30"/>
    </row>
    <row r="203" spans="4:4" s="25" customFormat="1" hidden="1">
      <c r="D203" s="30"/>
    </row>
    <row r="204" spans="4:4" s="25" customFormat="1" hidden="1">
      <c r="D204" s="30"/>
    </row>
    <row r="205" spans="4:4" s="25" customFormat="1" hidden="1">
      <c r="D205" s="30"/>
    </row>
    <row r="206" spans="4:4" s="25" customFormat="1" hidden="1">
      <c r="D206" s="30"/>
    </row>
    <row r="207" spans="4:4" s="25" customFormat="1" hidden="1">
      <c r="D207" s="30"/>
    </row>
    <row r="208" spans="4:4" s="25" customFormat="1" hidden="1">
      <c r="D208" s="30"/>
    </row>
    <row r="209" spans="4:4" s="25" customFormat="1" hidden="1">
      <c r="D209" s="30"/>
    </row>
    <row r="210" spans="4:4" s="25" customFormat="1" hidden="1">
      <c r="D210" s="30"/>
    </row>
    <row r="211" spans="4:4" s="25" customFormat="1" hidden="1">
      <c r="D211" s="30"/>
    </row>
    <row r="212" spans="4:4" s="25" customFormat="1" hidden="1">
      <c r="D212" s="30"/>
    </row>
    <row r="213" spans="4:4" s="25" customFormat="1" hidden="1">
      <c r="D213" s="30"/>
    </row>
    <row r="214" spans="4:4" s="25" customFormat="1" hidden="1">
      <c r="D214" s="30"/>
    </row>
    <row r="215" spans="4:4" s="25" customFormat="1" hidden="1">
      <c r="D215" s="30"/>
    </row>
    <row r="216" spans="4:4" s="25" customFormat="1" hidden="1">
      <c r="D216" s="30"/>
    </row>
    <row r="217" spans="4:4" s="25" customFormat="1" hidden="1">
      <c r="D217" s="30"/>
    </row>
    <row r="218" spans="4:4" s="25" customFormat="1" hidden="1">
      <c r="D218" s="30"/>
    </row>
    <row r="219" spans="4:4" s="25" customFormat="1" hidden="1">
      <c r="D219" s="30"/>
    </row>
    <row r="220" spans="4:4" s="25" customFormat="1" hidden="1">
      <c r="D220" s="30"/>
    </row>
    <row r="221" spans="4:4" s="25" customFormat="1" hidden="1">
      <c r="D221" s="30"/>
    </row>
    <row r="222" spans="4:4" s="25" customFormat="1" hidden="1">
      <c r="D222" s="30"/>
    </row>
    <row r="223" spans="4:4" s="25" customFormat="1" hidden="1">
      <c r="D223" s="30"/>
    </row>
    <row r="224" spans="4:4" s="25" customFormat="1" hidden="1">
      <c r="D224" s="30"/>
    </row>
    <row r="225" spans="4:4" s="25" customFormat="1" hidden="1">
      <c r="D225" s="30"/>
    </row>
    <row r="226" spans="4:4" s="25" customFormat="1" hidden="1">
      <c r="D226" s="30"/>
    </row>
    <row r="227" spans="4:4" s="25" customFormat="1" hidden="1">
      <c r="D227" s="30"/>
    </row>
    <row r="228" spans="4:4" s="25" customFormat="1" hidden="1">
      <c r="D228" s="30"/>
    </row>
    <row r="229" spans="4:4" s="25" customFormat="1" hidden="1">
      <c r="D229" s="30"/>
    </row>
    <row r="230" spans="4:4" s="25" customFormat="1" hidden="1">
      <c r="D230" s="30"/>
    </row>
    <row r="231" spans="4:4" s="25" customFormat="1" hidden="1">
      <c r="D231" s="30"/>
    </row>
    <row r="232" spans="4:4" s="25" customFormat="1" hidden="1">
      <c r="D232" s="30"/>
    </row>
    <row r="233" spans="4:4" s="25" customFormat="1" hidden="1">
      <c r="D233" s="30"/>
    </row>
    <row r="234" spans="4:4" s="25" customFormat="1" hidden="1">
      <c r="D234" s="30"/>
    </row>
    <row r="235" spans="4:4" s="25" customFormat="1" hidden="1">
      <c r="D235" s="30"/>
    </row>
    <row r="236" spans="4:4" s="25" customFormat="1" hidden="1">
      <c r="D236" s="30"/>
    </row>
    <row r="237" spans="4:4" s="25" customFormat="1" hidden="1">
      <c r="D237" s="30"/>
    </row>
    <row r="238" spans="4:4" s="25" customFormat="1" hidden="1">
      <c r="D238" s="30"/>
    </row>
    <row r="239" spans="4:4" s="25" customFormat="1" hidden="1">
      <c r="D239" s="30"/>
    </row>
    <row r="240" spans="4:4" s="25" customFormat="1" hidden="1">
      <c r="D240" s="30"/>
    </row>
    <row r="241" spans="4:4" s="25" customFormat="1" hidden="1">
      <c r="D241" s="30"/>
    </row>
    <row r="242" spans="4:4" s="25" customFormat="1" hidden="1">
      <c r="D242" s="30"/>
    </row>
    <row r="243" spans="4:4" s="25" customFormat="1" hidden="1">
      <c r="D243" s="30"/>
    </row>
    <row r="244" spans="4:4" s="25" customFormat="1" hidden="1">
      <c r="D244" s="30"/>
    </row>
    <row r="245" spans="4:4" s="25" customFormat="1" hidden="1">
      <c r="D245" s="30"/>
    </row>
    <row r="246" spans="4:4" s="25" customFormat="1" hidden="1">
      <c r="D246" s="30"/>
    </row>
    <row r="247" spans="4:4" s="25" customFormat="1" hidden="1">
      <c r="D247" s="30"/>
    </row>
    <row r="248" spans="4:4" s="25" customFormat="1" hidden="1">
      <c r="D248" s="30"/>
    </row>
    <row r="249" spans="4:4" s="25" customFormat="1" hidden="1">
      <c r="D249" s="30"/>
    </row>
    <row r="250" spans="4:4" s="25" customFormat="1" hidden="1">
      <c r="D250" s="30"/>
    </row>
    <row r="251" spans="4:4" s="25" customFormat="1" hidden="1">
      <c r="D251" s="30"/>
    </row>
    <row r="252" spans="4:4" s="25" customFormat="1" hidden="1">
      <c r="D252" s="30"/>
    </row>
    <row r="253" spans="4:4" s="25" customFormat="1" hidden="1">
      <c r="D253" s="30"/>
    </row>
    <row r="254" spans="4:4" s="25" customFormat="1" hidden="1">
      <c r="D254" s="30"/>
    </row>
    <row r="255" spans="4:4" s="25" customFormat="1" hidden="1">
      <c r="D255" s="30"/>
    </row>
    <row r="256" spans="4:4" s="25" customFormat="1" hidden="1">
      <c r="D256" s="30"/>
    </row>
    <row r="257" spans="4:4" s="25" customFormat="1" hidden="1">
      <c r="D257" s="30"/>
    </row>
    <row r="258" spans="4:4" s="25" customFormat="1" hidden="1">
      <c r="D258" s="30"/>
    </row>
    <row r="259" spans="4:4" s="25" customFormat="1" hidden="1">
      <c r="D259" s="30"/>
    </row>
    <row r="260" spans="4:4" s="25" customFormat="1" hidden="1">
      <c r="D260" s="30"/>
    </row>
    <row r="261" spans="4:4" s="25" customFormat="1" hidden="1">
      <c r="D261" s="30"/>
    </row>
    <row r="262" spans="4:4" s="25" customFormat="1" hidden="1">
      <c r="D262" s="30"/>
    </row>
    <row r="263" spans="4:4" s="25" customFormat="1" hidden="1">
      <c r="D263" s="30"/>
    </row>
    <row r="264" spans="4:4" s="25" customFormat="1" hidden="1">
      <c r="D264" s="30"/>
    </row>
    <row r="265" spans="4:4" s="25" customFormat="1" hidden="1">
      <c r="D265" s="30"/>
    </row>
    <row r="266" spans="4:4" s="25" customFormat="1" hidden="1">
      <c r="D266" s="30"/>
    </row>
    <row r="267" spans="4:4" s="25" customFormat="1" hidden="1">
      <c r="D267" s="30"/>
    </row>
    <row r="268" spans="4:4" s="25" customFormat="1" hidden="1">
      <c r="D268" s="30"/>
    </row>
    <row r="269" spans="4:4" s="25" customFormat="1" hidden="1">
      <c r="D269" s="30"/>
    </row>
    <row r="270" spans="4:4" s="25" customFormat="1" hidden="1">
      <c r="D270" s="30"/>
    </row>
    <row r="271" spans="4:4" s="25" customFormat="1" hidden="1">
      <c r="D271" s="30"/>
    </row>
    <row r="272" spans="4:4" s="25" customFormat="1" hidden="1">
      <c r="D272" s="30"/>
    </row>
    <row r="273" spans="4:4" s="25" customFormat="1" hidden="1">
      <c r="D273" s="30"/>
    </row>
    <row r="274" spans="4:4" s="25" customFormat="1" hidden="1">
      <c r="D274" s="30"/>
    </row>
    <row r="275" spans="4:4" s="25" customFormat="1" hidden="1">
      <c r="D275" s="30"/>
    </row>
    <row r="276" spans="4:4" s="25" customFormat="1" hidden="1">
      <c r="D276" s="30"/>
    </row>
    <row r="277" spans="4:4" s="25" customFormat="1" hidden="1">
      <c r="D277" s="30"/>
    </row>
    <row r="278" spans="4:4" s="25" customFormat="1" hidden="1">
      <c r="D278" s="30"/>
    </row>
    <row r="279" spans="4:4" s="25" customFormat="1" hidden="1">
      <c r="D279" s="30"/>
    </row>
    <row r="280" spans="4:4" s="25" customFormat="1" hidden="1">
      <c r="D280" s="30"/>
    </row>
    <row r="281" spans="4:4" s="25" customFormat="1" hidden="1">
      <c r="D281" s="30"/>
    </row>
    <row r="282" spans="4:4" s="25" customFormat="1" hidden="1">
      <c r="D282" s="30"/>
    </row>
    <row r="283" spans="4:4" s="25" customFormat="1" hidden="1">
      <c r="D283" s="30"/>
    </row>
    <row r="284" spans="4:4" s="25" customFormat="1" hidden="1">
      <c r="D284" s="30"/>
    </row>
    <row r="285" spans="4:4" s="25" customFormat="1" hidden="1">
      <c r="D285" s="30"/>
    </row>
    <row r="286" spans="4:4" s="25" customFormat="1" hidden="1">
      <c r="D286" s="30"/>
    </row>
    <row r="287" spans="4:4" s="25" customFormat="1" hidden="1">
      <c r="D287" s="30"/>
    </row>
    <row r="288" spans="4:4" s="25" customFormat="1" hidden="1">
      <c r="D288" s="30"/>
    </row>
    <row r="289" spans="4:4" s="25" customFormat="1" hidden="1">
      <c r="D289" s="30"/>
    </row>
    <row r="290" spans="4:4" s="25" customFormat="1" hidden="1">
      <c r="D290" s="30"/>
    </row>
    <row r="291" spans="4:4" s="25" customFormat="1" hidden="1">
      <c r="D291" s="30"/>
    </row>
    <row r="292" spans="4:4" s="25" customFormat="1" hidden="1">
      <c r="D292" s="30"/>
    </row>
    <row r="293" spans="4:4" s="25" customFormat="1" hidden="1">
      <c r="D293" s="30"/>
    </row>
    <row r="294" spans="4:4" s="25" customFormat="1" hidden="1">
      <c r="D294" s="30"/>
    </row>
    <row r="295" spans="4:4" s="25" customFormat="1" hidden="1">
      <c r="D295" s="30"/>
    </row>
    <row r="296" spans="4:4" s="25" customFormat="1" hidden="1">
      <c r="D296" s="30"/>
    </row>
    <row r="297" spans="4:4" s="25" customFormat="1" hidden="1">
      <c r="D297" s="30"/>
    </row>
    <row r="298" spans="4:4" s="25" customFormat="1" hidden="1">
      <c r="D298" s="30"/>
    </row>
    <row r="299" spans="4:4" s="25" customFormat="1" hidden="1">
      <c r="D299" s="30"/>
    </row>
    <row r="300" spans="4:4" s="25" customFormat="1" hidden="1">
      <c r="D300" s="30"/>
    </row>
    <row r="301" spans="4:4" s="25" customFormat="1" hidden="1">
      <c r="D301" s="30"/>
    </row>
    <row r="302" spans="4:4" s="25" customFormat="1" hidden="1">
      <c r="D302" s="30"/>
    </row>
    <row r="303" spans="4:4" s="25" customFormat="1" hidden="1">
      <c r="D303" s="30"/>
    </row>
    <row r="304" spans="4:4" s="25" customFormat="1" hidden="1">
      <c r="D304" s="30"/>
    </row>
    <row r="305" spans="4:4" s="25" customFormat="1" hidden="1">
      <c r="D305" s="30"/>
    </row>
    <row r="306" spans="4:4" s="25" customFormat="1" hidden="1">
      <c r="D306" s="30"/>
    </row>
    <row r="307" spans="4:4" s="25" customFormat="1" hidden="1">
      <c r="D307" s="30"/>
    </row>
    <row r="308" spans="4:4" s="25" customFormat="1" hidden="1">
      <c r="D308" s="30"/>
    </row>
    <row r="309" spans="4:4" s="25" customFormat="1" hidden="1">
      <c r="D309" s="30"/>
    </row>
    <row r="310" spans="4:4" s="25" customFormat="1" hidden="1">
      <c r="D310" s="30"/>
    </row>
    <row r="311" spans="4:4" s="25" customFormat="1" hidden="1">
      <c r="D311" s="30"/>
    </row>
    <row r="312" spans="4:4" s="25" customFormat="1" hidden="1">
      <c r="D312" s="30"/>
    </row>
    <row r="313" spans="4:4" s="25" customFormat="1" hidden="1">
      <c r="D313" s="30"/>
    </row>
    <row r="314" spans="4:4" s="25" customFormat="1" hidden="1">
      <c r="D314" s="30"/>
    </row>
    <row r="315" spans="4:4" s="25" customFormat="1" hidden="1">
      <c r="D315" s="30"/>
    </row>
    <row r="316" spans="4:4" s="25" customFormat="1" hidden="1">
      <c r="D316" s="30"/>
    </row>
    <row r="317" spans="4:4" s="25" customFormat="1" hidden="1">
      <c r="D317" s="30"/>
    </row>
    <row r="318" spans="4:4" s="25" customFormat="1" hidden="1">
      <c r="D318" s="30"/>
    </row>
    <row r="319" spans="4:4" s="25" customFormat="1" hidden="1">
      <c r="D319" s="30"/>
    </row>
    <row r="320" spans="4:4" s="25" customFormat="1" hidden="1">
      <c r="D320" s="30"/>
    </row>
    <row r="321" spans="4:4" s="25" customFormat="1" hidden="1">
      <c r="D321" s="30"/>
    </row>
    <row r="322" spans="4:4" s="25" customFormat="1" hidden="1">
      <c r="D322" s="30"/>
    </row>
    <row r="323" spans="4:4" s="25" customFormat="1" hidden="1">
      <c r="D323" s="30"/>
    </row>
    <row r="324" spans="4:4" s="25" customFormat="1" hidden="1">
      <c r="D324" s="30"/>
    </row>
    <row r="325" spans="4:4" s="25" customFormat="1" hidden="1">
      <c r="D325" s="30"/>
    </row>
    <row r="326" spans="4:4" s="25" customFormat="1" hidden="1">
      <c r="D326" s="30"/>
    </row>
    <row r="327" spans="4:4" s="25" customFormat="1" hidden="1">
      <c r="D327" s="30"/>
    </row>
    <row r="328" spans="4:4" s="25" customFormat="1" hidden="1">
      <c r="D328" s="30"/>
    </row>
    <row r="329" spans="4:4" s="25" customFormat="1" hidden="1">
      <c r="D329" s="30"/>
    </row>
    <row r="330" spans="4:4" s="25" customFormat="1" hidden="1">
      <c r="D330" s="30"/>
    </row>
    <row r="331" spans="4:4" s="25" customFormat="1" hidden="1">
      <c r="D331" s="30"/>
    </row>
    <row r="332" spans="4:4" s="25" customFormat="1" hidden="1">
      <c r="D332" s="30"/>
    </row>
    <row r="333" spans="4:4" s="25" customFormat="1" hidden="1">
      <c r="D333" s="30"/>
    </row>
    <row r="334" spans="4:4" s="25" customFormat="1" hidden="1">
      <c r="D334" s="30"/>
    </row>
    <row r="335" spans="4:4" s="25" customFormat="1" hidden="1">
      <c r="D335" s="30"/>
    </row>
    <row r="336" spans="4:4" s="25" customFormat="1" hidden="1">
      <c r="D336" s="30"/>
    </row>
    <row r="337" spans="4:4" s="25" customFormat="1" hidden="1">
      <c r="D337" s="30"/>
    </row>
    <row r="338" spans="4:4" s="25" customFormat="1" hidden="1">
      <c r="D338" s="30"/>
    </row>
    <row r="339" spans="4:4" s="25" customFormat="1" hidden="1">
      <c r="D339" s="30"/>
    </row>
    <row r="340" spans="4:4" s="25" customFormat="1" hidden="1">
      <c r="D340" s="30"/>
    </row>
    <row r="341" spans="4:4" s="25" customFormat="1" hidden="1">
      <c r="D341" s="30"/>
    </row>
    <row r="342" spans="4:4" s="25" customFormat="1" hidden="1">
      <c r="D342" s="30"/>
    </row>
    <row r="343" spans="4:4" s="25" customFormat="1" hidden="1">
      <c r="D343" s="30"/>
    </row>
    <row r="344" spans="4:4" s="25" customFormat="1" hidden="1">
      <c r="D344" s="30"/>
    </row>
    <row r="345" spans="4:4" s="25" customFormat="1" hidden="1">
      <c r="D345" s="30"/>
    </row>
    <row r="346" spans="4:4" s="25" customFormat="1" hidden="1">
      <c r="D346" s="30"/>
    </row>
    <row r="347" spans="4:4" s="25" customFormat="1" hidden="1">
      <c r="D347" s="30"/>
    </row>
    <row r="348" spans="4:4" s="25" customFormat="1" hidden="1">
      <c r="D348" s="30"/>
    </row>
    <row r="349" spans="4:4" s="25" customFormat="1" hidden="1">
      <c r="D349" s="30"/>
    </row>
    <row r="350" spans="4:4" s="25" customFormat="1" hidden="1">
      <c r="D350" s="30"/>
    </row>
    <row r="351" spans="4:4" s="25" customFormat="1" hidden="1">
      <c r="D351" s="30"/>
    </row>
    <row r="352" spans="4:4" s="25" customFormat="1" hidden="1">
      <c r="D352" s="30"/>
    </row>
    <row r="353" spans="4:4" s="25" customFormat="1" hidden="1">
      <c r="D353" s="30"/>
    </row>
    <row r="354" spans="4:4" s="25" customFormat="1" hidden="1">
      <c r="D354" s="30"/>
    </row>
    <row r="355" spans="4:4" s="25" customFormat="1" hidden="1">
      <c r="D355" s="30"/>
    </row>
    <row r="356" spans="4:4" s="25" customFormat="1" hidden="1">
      <c r="D356" s="30"/>
    </row>
    <row r="357" spans="4:4" s="25" customFormat="1" hidden="1">
      <c r="D357" s="30"/>
    </row>
    <row r="358" spans="4:4" s="25" customFormat="1" hidden="1">
      <c r="D358" s="30"/>
    </row>
    <row r="359" spans="4:4" s="25" customFormat="1" hidden="1">
      <c r="D359" s="30"/>
    </row>
    <row r="360" spans="4:4" s="25" customFormat="1" hidden="1">
      <c r="D360" s="30"/>
    </row>
    <row r="361" spans="4:4" s="25" customFormat="1" hidden="1">
      <c r="D361" s="30"/>
    </row>
    <row r="362" spans="4:4" s="25" customFormat="1" hidden="1">
      <c r="D362" s="30"/>
    </row>
    <row r="363" spans="4:4" s="25" customFormat="1" hidden="1">
      <c r="D363" s="30"/>
    </row>
    <row r="364" spans="4:4" s="25" customFormat="1" hidden="1">
      <c r="D364" s="30"/>
    </row>
    <row r="365" spans="4:4" s="25" customFormat="1" hidden="1">
      <c r="D365" s="30"/>
    </row>
    <row r="366" spans="4:4" s="25" customFormat="1" hidden="1">
      <c r="D366" s="30"/>
    </row>
    <row r="367" spans="4:4" s="25" customFormat="1" hidden="1">
      <c r="D367" s="30"/>
    </row>
    <row r="368" spans="4:4" s="25" customFormat="1" hidden="1">
      <c r="D368" s="30"/>
    </row>
    <row r="369" spans="4:4" s="25" customFormat="1" hidden="1">
      <c r="D369" s="30"/>
    </row>
    <row r="370" spans="4:4" s="25" customFormat="1" hidden="1">
      <c r="D370" s="30"/>
    </row>
    <row r="371" spans="4:4" s="25" customFormat="1" hidden="1">
      <c r="D371" s="30"/>
    </row>
    <row r="372" spans="4:4" s="25" customFormat="1" hidden="1">
      <c r="D372" s="30"/>
    </row>
    <row r="373" spans="4:4" s="25" customFormat="1" hidden="1">
      <c r="D373" s="30"/>
    </row>
    <row r="374" spans="4:4" s="25" customFormat="1" hidden="1">
      <c r="D374" s="30"/>
    </row>
    <row r="375" spans="4:4" s="25" customFormat="1" hidden="1">
      <c r="D375" s="30"/>
    </row>
    <row r="376" spans="4:4" s="25" customFormat="1" hidden="1">
      <c r="D376" s="30"/>
    </row>
    <row r="377" spans="4:4" s="25" customFormat="1" hidden="1">
      <c r="D377" s="30"/>
    </row>
    <row r="378" spans="4:4" s="25" customFormat="1" hidden="1">
      <c r="D378" s="30"/>
    </row>
    <row r="379" spans="4:4" s="25" customFormat="1" hidden="1">
      <c r="D379" s="30"/>
    </row>
    <row r="380" spans="4:4" s="25" customFormat="1" hidden="1">
      <c r="D380" s="30"/>
    </row>
    <row r="381" spans="4:4" s="25" customFormat="1" hidden="1">
      <c r="D381" s="30"/>
    </row>
    <row r="382" spans="4:4" s="25" customFormat="1" hidden="1">
      <c r="D382" s="30"/>
    </row>
    <row r="383" spans="4:4" s="25" customFormat="1" hidden="1">
      <c r="D383" s="30"/>
    </row>
    <row r="384" spans="4:4" s="25" customFormat="1" hidden="1">
      <c r="D384" s="30"/>
    </row>
    <row r="385" spans="4:4" s="25" customFormat="1" hidden="1">
      <c r="D385" s="30"/>
    </row>
    <row r="386" spans="4:4" s="25" customFormat="1" hidden="1">
      <c r="D386" s="30"/>
    </row>
    <row r="387" spans="4:4" s="25" customFormat="1" hidden="1">
      <c r="D387" s="30"/>
    </row>
    <row r="388" spans="4:4" s="25" customFormat="1" hidden="1">
      <c r="D388" s="30"/>
    </row>
    <row r="389" spans="4:4" s="25" customFormat="1" hidden="1">
      <c r="D389" s="30"/>
    </row>
    <row r="390" spans="4:4" s="25" customFormat="1" hidden="1">
      <c r="D390" s="30"/>
    </row>
    <row r="391" spans="4:4" s="25" customFormat="1" hidden="1">
      <c r="D391" s="30"/>
    </row>
    <row r="392" spans="4:4" s="25" customFormat="1" hidden="1">
      <c r="D392" s="30"/>
    </row>
    <row r="393" spans="4:4" s="25" customFormat="1" hidden="1">
      <c r="D393" s="30"/>
    </row>
    <row r="394" spans="4:4" s="25" customFormat="1" hidden="1">
      <c r="D394" s="30"/>
    </row>
    <row r="395" spans="4:4" s="25" customFormat="1" hidden="1">
      <c r="D395" s="30"/>
    </row>
    <row r="396" spans="4:4" s="25" customFormat="1" hidden="1">
      <c r="D396" s="30"/>
    </row>
    <row r="397" spans="4:4" s="25" customFormat="1" hidden="1">
      <c r="D397" s="30"/>
    </row>
    <row r="398" spans="4:4" s="25" customFormat="1" hidden="1">
      <c r="D398" s="30"/>
    </row>
    <row r="399" spans="4:4" s="25" customFormat="1" hidden="1">
      <c r="D399" s="30"/>
    </row>
    <row r="682"/>
    <row r="683"/>
    <row r="684"/>
    <row r="685"/>
    <row r="686"/>
    <row r="687"/>
    <row r="688"/>
    <row r="689"/>
    <row r="690"/>
    <row r="691"/>
    <row r="692"/>
    <row r="693"/>
    <row r="694"/>
    <row r="695"/>
    <row r="696"/>
    <row r="697"/>
    <row r="698"/>
    <row r="699"/>
  </sheetData>
  <sheetProtection algorithmName="SHA-512" hashValue="XzA8zJmphATmV6G9u4T5SOU4h/iapUFYfNTOG/1B0RTD/VmQHCgU+u8DkXQzxrYGNJGGZ/fsOz327RkpBwk8Bg==" saltValue="viyP9a9TUMLwbXXPdNMHHA==" spinCount="100000" sheet="1" objects="1" scenarios="1" selectLockedCells="1" selectUnlockedCells="1"/>
  <mergeCells count="4">
    <mergeCell ref="A153:A158"/>
    <mergeCell ref="A2:A102"/>
    <mergeCell ref="A103:A120"/>
    <mergeCell ref="A121:A152"/>
  </mergeCells>
  <conditionalFormatting sqref="B2:D158">
    <cfRule type="expression" dxfId="2" priority="3">
      <formula>IF($B2="END-OF-SALE",1,0)</formula>
    </cfRule>
  </conditionalFormatting>
  <printOptions horizontalCentered="1" gridLines="1"/>
  <pageMargins left="0.5" right="0.5" top="0.5" bottom="0.5" header="0.25" footer="0.25"/>
  <pageSetup scale="76" fitToHeight="0" orientation="landscape" r:id="rId1"/>
  <headerFooter alignWithMargins="0">
    <oddHeader>&amp;C&amp;F</oddHeader>
    <oddFooter>&amp;L&amp;A&amp;C&amp;P of &amp;N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5">
    <pageSetUpPr fitToPage="1"/>
  </sheetPr>
  <dimension ref="A1:L256"/>
  <sheetViews>
    <sheetView showZeros="0" zoomScaleNormal="100" workbookViewId="0">
      <pane ySplit="2" topLeftCell="A3" activePane="bottomLeft" state="frozen"/>
      <selection pane="bottomLeft" activeCell="G1" sqref="G1"/>
    </sheetView>
  </sheetViews>
  <sheetFormatPr defaultColWidth="0" defaultRowHeight="12.5" zeroHeight="1"/>
  <cols>
    <col min="1" max="1" width="6.26953125" customWidth="1"/>
    <col min="2" max="2" width="53.7265625" bestFit="1" customWidth="1"/>
    <col min="3" max="5" width="15.26953125" bestFit="1" customWidth="1"/>
    <col min="6" max="6" width="15.26953125" style="31" bestFit="1" customWidth="1"/>
    <col min="7" max="7" width="4.26953125" customWidth="1"/>
    <col min="8" max="8" width="11.26953125" hidden="1" customWidth="1"/>
    <col min="9" max="12" width="0" hidden="1" customWidth="1"/>
    <col min="13" max="16384" width="9" hidden="1"/>
  </cols>
  <sheetData>
    <row r="1" spans="1:10" ht="21" thickBot="1">
      <c r="A1" s="57" t="str">
        <f>CONCATENATE("Version ",+'Change History'!$A$27)</f>
        <v>Version 4.0</v>
      </c>
      <c r="B1" s="376"/>
      <c r="C1" s="677" t="s">
        <v>2024</v>
      </c>
      <c r="D1" s="679"/>
      <c r="E1" s="679"/>
      <c r="F1" s="680"/>
      <c r="G1" s="16"/>
    </row>
    <row r="2" spans="1:10" ht="28.5" thickBot="1">
      <c r="A2" s="677" t="s">
        <v>132</v>
      </c>
      <c r="B2" s="678"/>
      <c r="C2" s="192" t="s">
        <v>2027</v>
      </c>
      <c r="D2" s="192" t="s">
        <v>2025</v>
      </c>
      <c r="E2" s="192" t="s">
        <v>2026</v>
      </c>
      <c r="F2" s="192" t="s">
        <v>2028</v>
      </c>
      <c r="G2" s="16"/>
    </row>
    <row r="3" spans="1:10" s="25" customFormat="1" ht="15" customHeight="1">
      <c r="A3" s="661" t="s">
        <v>1820</v>
      </c>
      <c r="B3" s="171" t="str">
        <f>Data!Z5</f>
        <v>CISCO 65XX MODULAR SWITCHES</v>
      </c>
      <c r="C3" s="177">
        <f>Data!AA5</f>
        <v>1060.54</v>
      </c>
      <c r="D3" s="177">
        <f>Data!AB5</f>
        <v>673.59</v>
      </c>
      <c r="E3" s="177">
        <f>Data!AC5</f>
        <v>1447.5</v>
      </c>
      <c r="F3" s="177">
        <f>Data!AD5</f>
        <v>1017.55</v>
      </c>
      <c r="G3" s="28"/>
    </row>
    <row r="4" spans="1:10" s="25" customFormat="1" ht="15" customHeight="1">
      <c r="A4" s="662"/>
      <c r="B4" s="171" t="str">
        <f>Data!Z6</f>
        <v>CISCO 4XXX MODULAR SWITCHES</v>
      </c>
      <c r="C4" s="177">
        <f>Data!AA6</f>
        <v>827.36</v>
      </c>
      <c r="D4" s="177">
        <f>Data!AB6</f>
        <v>655.38</v>
      </c>
      <c r="E4" s="177">
        <f>Data!AC6</f>
        <v>999.34</v>
      </c>
      <c r="F4" s="177">
        <f>Data!AD6</f>
        <v>784.37</v>
      </c>
      <c r="G4" s="28"/>
    </row>
    <row r="5" spans="1:10" s="25" customFormat="1" ht="15" customHeight="1">
      <c r="A5" s="662"/>
      <c r="B5" s="171" t="str">
        <f>Data!Z7</f>
        <v>CISCO LARGE MODULAR ROUTERS (I.E. ASR, 38XX AND 39XX)</v>
      </c>
      <c r="C5" s="177">
        <f>Data!AA7</f>
        <v>815.74</v>
      </c>
      <c r="D5" s="177">
        <f>Data!AB7</f>
        <v>600.77</v>
      </c>
      <c r="E5" s="177">
        <f>Data!AC7</f>
        <v>1030.72</v>
      </c>
      <c r="F5" s="177">
        <f>Data!AD7</f>
        <v>772.75</v>
      </c>
      <c r="G5" s="28"/>
    </row>
    <row r="6" spans="1:10" s="25" customFormat="1" ht="15" customHeight="1">
      <c r="A6" s="662"/>
      <c r="B6" s="171" t="str">
        <f>Data!Z8</f>
        <v>CISCO SMALL ROUTERS (I.E. DSL, 28XX AND 29XX)</v>
      </c>
      <c r="C6" s="177">
        <f>Data!AA8</f>
        <v>729.75</v>
      </c>
      <c r="D6" s="177">
        <f>Data!AB8</f>
        <v>600.77</v>
      </c>
      <c r="E6" s="177">
        <f>Data!AC8</f>
        <v>858.74</v>
      </c>
      <c r="F6" s="177">
        <f>Data!AD8</f>
        <v>686.76</v>
      </c>
      <c r="G6" s="28"/>
    </row>
    <row r="7" spans="1:10" s="25" customFormat="1" ht="15" customHeight="1">
      <c r="A7" s="662"/>
      <c r="B7" s="171" t="str">
        <f>Data!Z9</f>
        <v>CISCO / BROCADE FIXED SWITCHES</v>
      </c>
      <c r="C7" s="177">
        <f>Data!AA9</f>
        <v>693.34</v>
      </c>
      <c r="D7" s="177">
        <f>Data!AB9</f>
        <v>564.36</v>
      </c>
      <c r="E7" s="177">
        <f>Data!AC9</f>
        <v>822.33</v>
      </c>
      <c r="F7" s="177">
        <f>Data!AD9</f>
        <v>650.35</v>
      </c>
      <c r="G7" s="28"/>
    </row>
    <row r="8" spans="1:10" s="25" customFormat="1" ht="15" customHeight="1">
      <c r="A8" s="662"/>
      <c r="B8" s="171" t="str">
        <f>Data!Z10</f>
        <v>FIREWALL AND IA DEVICES (I.E. JUNIPER, MCAFEE, RIVERBED)</v>
      </c>
      <c r="C8" s="177">
        <f>Data!AA10</f>
        <v>729.75</v>
      </c>
      <c r="D8" s="177">
        <f>Data!AB10</f>
        <v>600.77</v>
      </c>
      <c r="E8" s="177">
        <f>Data!AC10</f>
        <v>880.23</v>
      </c>
      <c r="F8" s="177">
        <f>Data!AD10</f>
        <v>686.76</v>
      </c>
      <c r="G8" s="28"/>
    </row>
    <row r="9" spans="1:10" s="25" customFormat="1" ht="15" customHeight="1" thickBot="1">
      <c r="A9" s="681"/>
      <c r="B9" s="380" t="str">
        <f>Data!Z11</f>
        <v>DMW OPTICAL DEVICES</v>
      </c>
      <c r="C9" s="381">
        <f>Data!AA11</f>
        <v>18.21</v>
      </c>
      <c r="D9" s="381">
        <f>Data!AB11</f>
        <v>18.21</v>
      </c>
      <c r="E9" s="381">
        <f>Data!AC11</f>
        <v>18.21</v>
      </c>
      <c r="F9" s="381">
        <f>Data!AD11</f>
        <v>18.21</v>
      </c>
      <c r="G9" s="28"/>
    </row>
    <row r="10" spans="1:10" ht="15" customHeight="1" thickBot="1">
      <c r="A10" s="675"/>
      <c r="B10" s="673" t="s">
        <v>2039</v>
      </c>
      <c r="C10" s="673"/>
      <c r="D10" s="673"/>
      <c r="E10" s="673"/>
      <c r="F10" s="674"/>
      <c r="G10" s="16"/>
      <c r="H10" s="31"/>
      <c r="I10" s="31"/>
      <c r="J10" s="377"/>
    </row>
    <row r="11" spans="1:10" ht="15" customHeight="1" thickBot="1">
      <c r="A11" s="676"/>
      <c r="B11" s="383" t="str">
        <f>Data!Z12</f>
        <v>SIPR CONFIGURATION (per device)</v>
      </c>
      <c r="C11" s="382">
        <f>Data!AA12</f>
        <v>85.99</v>
      </c>
      <c r="D11" s="382">
        <f>Data!AB12</f>
        <v>0</v>
      </c>
      <c r="E11" s="382">
        <f>Data!AC12</f>
        <v>85.99</v>
      </c>
      <c r="F11" s="382">
        <f>Data!AD12</f>
        <v>85.99</v>
      </c>
      <c r="G11" s="16"/>
      <c r="H11" s="31"/>
      <c r="I11" s="31"/>
      <c r="J11" s="377"/>
    </row>
    <row r="12" spans="1:10" s="179" customFormat="1" ht="39.75" customHeight="1">
      <c r="A12" s="685" t="s">
        <v>2024</v>
      </c>
      <c r="B12" s="378" t="s">
        <v>2030</v>
      </c>
      <c r="C12" s="682" t="s">
        <v>2031</v>
      </c>
      <c r="D12" s="683"/>
      <c r="E12" s="683"/>
      <c r="F12" s="684"/>
      <c r="G12" s="16"/>
      <c r="H12" s="180"/>
      <c r="I12" s="180"/>
      <c r="J12" s="181"/>
    </row>
    <row r="13" spans="1:10" ht="72" customHeight="1">
      <c r="A13" s="686"/>
      <c r="B13" s="379" t="s">
        <v>2032</v>
      </c>
      <c r="C13" s="687" t="s">
        <v>2033</v>
      </c>
      <c r="D13" s="688"/>
      <c r="E13" s="688"/>
      <c r="F13" s="689"/>
      <c r="G13" s="16"/>
      <c r="H13" s="31"/>
      <c r="I13" s="31"/>
      <c r="J13" s="377"/>
    </row>
    <row r="14" spans="1:10" ht="99.75" customHeight="1">
      <c r="A14" s="686"/>
      <c r="B14" s="379" t="s">
        <v>2034</v>
      </c>
      <c r="C14" s="687" t="s">
        <v>2035</v>
      </c>
      <c r="D14" s="688"/>
      <c r="E14" s="688"/>
      <c r="F14" s="689"/>
      <c r="G14" s="16"/>
      <c r="H14" s="31"/>
      <c r="I14" s="31"/>
      <c r="J14" s="377"/>
    </row>
    <row r="15" spans="1:10" ht="72" customHeight="1">
      <c r="A15" s="686"/>
      <c r="B15" s="379" t="s">
        <v>2036</v>
      </c>
      <c r="C15" s="687" t="s">
        <v>2037</v>
      </c>
      <c r="D15" s="688"/>
      <c r="E15" s="688"/>
      <c r="F15" s="689"/>
      <c r="G15" s="16"/>
      <c r="H15" s="31"/>
      <c r="I15" s="31"/>
      <c r="J15" s="377"/>
    </row>
    <row r="16" spans="1:10" ht="51" customHeight="1">
      <c r="B16" s="672" t="s">
        <v>2029</v>
      </c>
      <c r="C16" s="672"/>
      <c r="D16" s="672"/>
      <c r="E16" s="672"/>
      <c r="F16" s="672"/>
      <c r="G16" s="16"/>
      <c r="H16" s="31"/>
      <c r="I16" s="31"/>
      <c r="J16" s="377"/>
    </row>
    <row r="17" spans="1:7" s="25" customFormat="1" ht="20.149999999999999" customHeight="1">
      <c r="A17" s="28"/>
      <c r="B17" s="28"/>
      <c r="C17" s="28"/>
      <c r="D17" s="28"/>
      <c r="E17" s="28"/>
      <c r="F17" s="62"/>
      <c r="G17" s="28"/>
    </row>
    <row r="18" spans="1:7" s="25" customFormat="1" hidden="1">
      <c r="F18" s="30"/>
    </row>
    <row r="19" spans="1:7" s="25" customFormat="1" hidden="1">
      <c r="F19" s="30"/>
    </row>
    <row r="20" spans="1:7" s="25" customFormat="1" hidden="1">
      <c r="F20" s="30"/>
    </row>
    <row r="21" spans="1:7" s="25" customFormat="1" hidden="1">
      <c r="F21" s="30"/>
    </row>
    <row r="22" spans="1:7" s="25" customFormat="1" hidden="1">
      <c r="F22" s="30"/>
    </row>
    <row r="23" spans="1:7" s="25" customFormat="1" hidden="1">
      <c r="F23" s="30"/>
    </row>
    <row r="24" spans="1:7" s="25" customFormat="1" hidden="1">
      <c r="F24" s="30"/>
    </row>
    <row r="25" spans="1:7" s="25" customFormat="1" hidden="1">
      <c r="F25" s="30"/>
    </row>
    <row r="26" spans="1:7" s="25" customFormat="1" hidden="1">
      <c r="F26" s="30"/>
    </row>
    <row r="27" spans="1:7" s="25" customFormat="1" hidden="1">
      <c r="F27" s="30"/>
    </row>
    <row r="28" spans="1:7" s="25" customFormat="1" hidden="1">
      <c r="F28" s="30"/>
    </row>
    <row r="29" spans="1:7" s="25" customFormat="1" hidden="1">
      <c r="F29" s="30"/>
    </row>
    <row r="30" spans="1:7" s="25" customFormat="1" hidden="1">
      <c r="F30" s="30"/>
    </row>
    <row r="31" spans="1:7" s="25" customFormat="1" hidden="1">
      <c r="F31" s="30"/>
    </row>
    <row r="32" spans="1:7" s="25" customFormat="1" hidden="1">
      <c r="F32" s="30"/>
    </row>
    <row r="33" spans="6:6" s="25" customFormat="1" hidden="1">
      <c r="F33" s="30"/>
    </row>
    <row r="34" spans="6:6" s="25" customFormat="1" hidden="1">
      <c r="F34" s="30"/>
    </row>
    <row r="35" spans="6:6" s="25" customFormat="1" hidden="1">
      <c r="F35" s="30"/>
    </row>
    <row r="36" spans="6:6" s="25" customFormat="1" hidden="1">
      <c r="F36" s="30"/>
    </row>
    <row r="37" spans="6:6" s="25" customFormat="1" hidden="1">
      <c r="F37" s="30"/>
    </row>
    <row r="38" spans="6:6" s="25" customFormat="1" hidden="1">
      <c r="F38" s="30"/>
    </row>
    <row r="39" spans="6:6" s="25" customFormat="1" hidden="1">
      <c r="F39" s="30"/>
    </row>
    <row r="40" spans="6:6" s="25" customFormat="1" hidden="1">
      <c r="F40" s="30"/>
    </row>
    <row r="41" spans="6:6" s="25" customFormat="1" hidden="1">
      <c r="F41" s="30"/>
    </row>
    <row r="42" spans="6:6" s="25" customFormat="1" hidden="1">
      <c r="F42" s="30"/>
    </row>
    <row r="43" spans="6:6" s="25" customFormat="1" hidden="1">
      <c r="F43" s="30"/>
    </row>
    <row r="44" spans="6:6" s="25" customFormat="1" hidden="1">
      <c r="F44" s="30"/>
    </row>
    <row r="45" spans="6:6" s="25" customFormat="1" hidden="1">
      <c r="F45" s="30"/>
    </row>
    <row r="46" spans="6:6" s="25" customFormat="1" hidden="1">
      <c r="F46" s="30"/>
    </row>
    <row r="47" spans="6:6" s="25" customFormat="1" hidden="1">
      <c r="F47" s="30"/>
    </row>
    <row r="48" spans="6:6" s="25" customFormat="1" hidden="1">
      <c r="F48" s="30"/>
    </row>
    <row r="49" spans="6:6" s="25" customFormat="1" hidden="1">
      <c r="F49" s="30"/>
    </row>
    <row r="50" spans="6:6" s="25" customFormat="1" hidden="1">
      <c r="F50" s="30"/>
    </row>
    <row r="51" spans="6:6" s="25" customFormat="1" hidden="1">
      <c r="F51" s="30"/>
    </row>
    <row r="52" spans="6:6" s="25" customFormat="1" hidden="1">
      <c r="F52" s="30"/>
    </row>
    <row r="53" spans="6:6" s="25" customFormat="1" hidden="1">
      <c r="F53" s="30"/>
    </row>
    <row r="54" spans="6:6" s="25" customFormat="1" hidden="1">
      <c r="F54" s="30"/>
    </row>
    <row r="55" spans="6:6" s="25" customFormat="1" hidden="1">
      <c r="F55" s="30"/>
    </row>
    <row r="56" spans="6:6" s="25" customFormat="1" hidden="1">
      <c r="F56" s="30"/>
    </row>
    <row r="57" spans="6:6" s="25" customFormat="1" hidden="1">
      <c r="F57" s="30"/>
    </row>
    <row r="58" spans="6:6" s="25" customFormat="1" hidden="1">
      <c r="F58" s="30"/>
    </row>
    <row r="59" spans="6:6" s="25" customFormat="1" hidden="1">
      <c r="F59" s="30"/>
    </row>
    <row r="60" spans="6:6" s="25" customFormat="1" hidden="1">
      <c r="F60" s="30"/>
    </row>
    <row r="61" spans="6:6" s="25" customFormat="1" hidden="1">
      <c r="F61" s="30"/>
    </row>
    <row r="62" spans="6:6" s="25" customFormat="1" hidden="1">
      <c r="F62" s="30"/>
    </row>
    <row r="63" spans="6:6" s="25" customFormat="1" hidden="1">
      <c r="F63" s="30"/>
    </row>
    <row r="64" spans="6:6" s="25" customFormat="1" hidden="1">
      <c r="F64" s="30"/>
    </row>
    <row r="65" spans="6:6" s="25" customFormat="1" hidden="1">
      <c r="F65" s="30"/>
    </row>
    <row r="66" spans="6:6" s="25" customFormat="1" hidden="1">
      <c r="F66" s="30"/>
    </row>
    <row r="67" spans="6:6" s="25" customFormat="1" hidden="1">
      <c r="F67" s="30"/>
    </row>
    <row r="68" spans="6:6" s="25" customFormat="1" hidden="1">
      <c r="F68" s="30"/>
    </row>
    <row r="69" spans="6:6" s="25" customFormat="1" hidden="1">
      <c r="F69" s="30"/>
    </row>
    <row r="70" spans="6:6" s="25" customFormat="1" hidden="1">
      <c r="F70" s="30"/>
    </row>
    <row r="71" spans="6:6" s="25" customFormat="1" hidden="1">
      <c r="F71" s="30"/>
    </row>
    <row r="72" spans="6:6" s="25" customFormat="1" hidden="1">
      <c r="F72" s="30"/>
    </row>
    <row r="73" spans="6:6" s="25" customFormat="1" hidden="1">
      <c r="F73" s="30"/>
    </row>
    <row r="74" spans="6:6" s="25" customFormat="1" hidden="1">
      <c r="F74" s="30"/>
    </row>
    <row r="75" spans="6:6" s="25" customFormat="1" hidden="1">
      <c r="F75" s="30"/>
    </row>
    <row r="76" spans="6:6" s="25" customFormat="1" hidden="1">
      <c r="F76" s="30"/>
    </row>
    <row r="77" spans="6:6" s="25" customFormat="1" hidden="1">
      <c r="F77" s="30"/>
    </row>
    <row r="78" spans="6:6" s="25" customFormat="1" hidden="1">
      <c r="F78" s="30"/>
    </row>
    <row r="79" spans="6:6" s="25" customFormat="1" hidden="1">
      <c r="F79" s="30"/>
    </row>
    <row r="80" spans="6:6" s="25" customFormat="1" hidden="1">
      <c r="F80" s="30"/>
    </row>
    <row r="81" spans="6:6" s="25" customFormat="1" hidden="1">
      <c r="F81" s="30"/>
    </row>
    <row r="82" spans="6:6" s="25" customFormat="1" hidden="1">
      <c r="F82" s="30"/>
    </row>
    <row r="83" spans="6:6" s="25" customFormat="1" hidden="1">
      <c r="F83" s="30"/>
    </row>
    <row r="84" spans="6:6" s="25" customFormat="1" hidden="1">
      <c r="F84" s="30"/>
    </row>
    <row r="85" spans="6:6" s="25" customFormat="1" hidden="1">
      <c r="F85" s="30"/>
    </row>
    <row r="86" spans="6:6" s="25" customFormat="1" hidden="1">
      <c r="F86" s="30"/>
    </row>
    <row r="87" spans="6:6" s="25" customFormat="1" hidden="1">
      <c r="F87" s="30"/>
    </row>
    <row r="88" spans="6:6" s="25" customFormat="1" hidden="1">
      <c r="F88" s="30"/>
    </row>
    <row r="89" spans="6:6" s="25" customFormat="1" hidden="1">
      <c r="F89" s="30"/>
    </row>
    <row r="90" spans="6:6" s="25" customFormat="1" hidden="1">
      <c r="F90" s="30"/>
    </row>
    <row r="91" spans="6:6" s="25" customFormat="1" hidden="1">
      <c r="F91" s="30"/>
    </row>
    <row r="92" spans="6:6" s="25" customFormat="1" hidden="1">
      <c r="F92" s="30"/>
    </row>
    <row r="93" spans="6:6" s="25" customFormat="1" hidden="1">
      <c r="F93" s="30"/>
    </row>
    <row r="94" spans="6:6" s="25" customFormat="1" hidden="1">
      <c r="F94" s="30"/>
    </row>
    <row r="95" spans="6:6" s="25" customFormat="1" hidden="1">
      <c r="F95" s="30"/>
    </row>
    <row r="96" spans="6:6" s="25" customFormat="1" hidden="1">
      <c r="F96" s="30"/>
    </row>
    <row r="97" spans="6:6" s="25" customFormat="1" hidden="1">
      <c r="F97" s="30"/>
    </row>
    <row r="98" spans="6:6" s="25" customFormat="1" hidden="1">
      <c r="F98" s="30"/>
    </row>
    <row r="99" spans="6:6" s="25" customFormat="1" hidden="1">
      <c r="F99" s="30"/>
    </row>
    <row r="100" spans="6:6" s="25" customFormat="1" hidden="1">
      <c r="F100" s="30"/>
    </row>
    <row r="101" spans="6:6" s="25" customFormat="1" hidden="1">
      <c r="F101" s="30"/>
    </row>
    <row r="102" spans="6:6" s="25" customFormat="1" hidden="1">
      <c r="F102" s="30"/>
    </row>
    <row r="103" spans="6:6" s="25" customFormat="1" hidden="1">
      <c r="F103" s="30"/>
    </row>
    <row r="104" spans="6:6" s="25" customFormat="1" hidden="1">
      <c r="F104" s="30"/>
    </row>
    <row r="105" spans="6:6" s="25" customFormat="1" hidden="1">
      <c r="F105" s="30"/>
    </row>
    <row r="106" spans="6:6" s="25" customFormat="1" hidden="1">
      <c r="F106" s="30"/>
    </row>
    <row r="107" spans="6:6" s="25" customFormat="1" hidden="1">
      <c r="F107" s="30"/>
    </row>
    <row r="108" spans="6:6" s="25" customFormat="1" hidden="1">
      <c r="F108" s="30"/>
    </row>
    <row r="109" spans="6:6" s="25" customFormat="1" hidden="1">
      <c r="F109" s="30"/>
    </row>
    <row r="110" spans="6:6" s="25" customFormat="1" hidden="1">
      <c r="F110" s="30"/>
    </row>
    <row r="111" spans="6:6" s="25" customFormat="1" hidden="1">
      <c r="F111" s="30"/>
    </row>
    <row r="112" spans="6:6" s="25" customFormat="1" hidden="1">
      <c r="F112" s="30"/>
    </row>
    <row r="113" spans="6:6" s="25" customFormat="1" hidden="1">
      <c r="F113" s="30"/>
    </row>
    <row r="114" spans="6:6" s="25" customFormat="1" hidden="1">
      <c r="F114" s="30"/>
    </row>
    <row r="115" spans="6:6" s="25" customFormat="1" hidden="1">
      <c r="F115" s="30"/>
    </row>
    <row r="116" spans="6:6" s="25" customFormat="1" hidden="1">
      <c r="F116" s="30"/>
    </row>
    <row r="117" spans="6:6" s="25" customFormat="1" hidden="1">
      <c r="F117" s="30"/>
    </row>
    <row r="118" spans="6:6" s="25" customFormat="1" hidden="1">
      <c r="F118" s="30"/>
    </row>
    <row r="119" spans="6:6" s="25" customFormat="1" hidden="1">
      <c r="F119" s="30"/>
    </row>
    <row r="120" spans="6:6" s="25" customFormat="1" hidden="1">
      <c r="F120" s="30"/>
    </row>
    <row r="121" spans="6:6" s="25" customFormat="1" hidden="1">
      <c r="F121" s="30"/>
    </row>
    <row r="122" spans="6:6" s="25" customFormat="1" hidden="1">
      <c r="F122" s="30"/>
    </row>
    <row r="123" spans="6:6" s="25" customFormat="1" hidden="1">
      <c r="F123" s="30"/>
    </row>
    <row r="124" spans="6:6" s="25" customFormat="1" hidden="1">
      <c r="F124" s="30"/>
    </row>
    <row r="125" spans="6:6" s="25" customFormat="1" hidden="1">
      <c r="F125" s="30"/>
    </row>
    <row r="126" spans="6:6" s="25" customFormat="1" hidden="1">
      <c r="F126" s="30"/>
    </row>
    <row r="127" spans="6:6" s="25" customFormat="1" hidden="1">
      <c r="F127" s="30"/>
    </row>
    <row r="128" spans="6:6" s="25" customFormat="1" hidden="1">
      <c r="F128" s="30"/>
    </row>
    <row r="129" spans="6:6" s="25" customFormat="1" hidden="1">
      <c r="F129" s="30"/>
    </row>
    <row r="130" spans="6:6" s="25" customFormat="1" hidden="1">
      <c r="F130" s="30"/>
    </row>
    <row r="131" spans="6:6" s="25" customFormat="1" hidden="1">
      <c r="F131" s="30"/>
    </row>
    <row r="132" spans="6:6" s="25" customFormat="1" hidden="1">
      <c r="F132" s="30"/>
    </row>
    <row r="133" spans="6:6" s="25" customFormat="1" hidden="1">
      <c r="F133" s="30"/>
    </row>
    <row r="134" spans="6:6" s="25" customFormat="1" hidden="1">
      <c r="F134" s="30"/>
    </row>
    <row r="135" spans="6:6" s="25" customFormat="1" hidden="1">
      <c r="F135" s="30"/>
    </row>
    <row r="136" spans="6:6" s="25" customFormat="1" hidden="1">
      <c r="F136" s="30"/>
    </row>
    <row r="137" spans="6:6" s="25" customFormat="1" hidden="1">
      <c r="F137" s="30"/>
    </row>
    <row r="138" spans="6:6" s="25" customFormat="1" hidden="1">
      <c r="F138" s="30"/>
    </row>
    <row r="139" spans="6:6" s="25" customFormat="1" hidden="1">
      <c r="F139" s="30"/>
    </row>
    <row r="140" spans="6:6" s="25" customFormat="1" hidden="1">
      <c r="F140" s="30"/>
    </row>
    <row r="141" spans="6:6" s="25" customFormat="1" hidden="1">
      <c r="F141" s="30"/>
    </row>
    <row r="142" spans="6:6" s="25" customFormat="1" hidden="1">
      <c r="F142" s="30"/>
    </row>
    <row r="143" spans="6:6" s="25" customFormat="1" hidden="1">
      <c r="F143" s="30"/>
    </row>
    <row r="144" spans="6:6" s="25" customFormat="1" hidden="1">
      <c r="F144" s="30"/>
    </row>
    <row r="145" spans="6:6" s="25" customFormat="1" hidden="1">
      <c r="F145" s="30"/>
    </row>
    <row r="146" spans="6:6" s="25" customFormat="1" hidden="1">
      <c r="F146" s="30"/>
    </row>
    <row r="147" spans="6:6" s="25" customFormat="1" hidden="1">
      <c r="F147" s="30"/>
    </row>
    <row r="148" spans="6:6" s="25" customFormat="1" hidden="1">
      <c r="F148" s="30"/>
    </row>
    <row r="149" spans="6:6" s="25" customFormat="1" hidden="1">
      <c r="F149" s="30"/>
    </row>
    <row r="150" spans="6:6" s="25" customFormat="1" hidden="1">
      <c r="F150" s="30"/>
    </row>
    <row r="151" spans="6:6" s="25" customFormat="1" hidden="1">
      <c r="F151" s="30"/>
    </row>
    <row r="152" spans="6:6" s="25" customFormat="1" hidden="1">
      <c r="F152" s="30"/>
    </row>
    <row r="153" spans="6:6" s="25" customFormat="1" hidden="1">
      <c r="F153" s="30"/>
    </row>
    <row r="154" spans="6:6" s="25" customFormat="1" hidden="1">
      <c r="F154" s="30"/>
    </row>
    <row r="155" spans="6:6" s="25" customFormat="1" hidden="1">
      <c r="F155" s="30"/>
    </row>
    <row r="156" spans="6:6" s="25" customFormat="1" hidden="1">
      <c r="F156" s="30"/>
    </row>
    <row r="157" spans="6:6" s="25" customFormat="1" hidden="1">
      <c r="F157" s="30"/>
    </row>
    <row r="158" spans="6:6" s="25" customFormat="1" hidden="1">
      <c r="F158" s="30"/>
    </row>
    <row r="159" spans="6:6" s="25" customFormat="1" hidden="1">
      <c r="F159" s="30"/>
    </row>
    <row r="160" spans="6:6" s="25" customFormat="1" hidden="1">
      <c r="F160" s="30"/>
    </row>
    <row r="161" spans="6:6" s="25" customFormat="1" hidden="1">
      <c r="F161" s="30"/>
    </row>
    <row r="162" spans="6:6" s="25" customFormat="1" hidden="1">
      <c r="F162" s="30"/>
    </row>
    <row r="163" spans="6:6" s="25" customFormat="1" hidden="1">
      <c r="F163" s="30"/>
    </row>
    <row r="164" spans="6:6" s="25" customFormat="1" hidden="1">
      <c r="F164" s="30"/>
    </row>
    <row r="165" spans="6:6" s="25" customFormat="1" hidden="1">
      <c r="F165" s="30"/>
    </row>
    <row r="166" spans="6:6" s="25" customFormat="1" hidden="1">
      <c r="F166" s="30"/>
    </row>
    <row r="167" spans="6:6" s="25" customFormat="1" hidden="1">
      <c r="F167" s="30"/>
    </row>
    <row r="168" spans="6:6" s="25" customFormat="1" hidden="1">
      <c r="F168" s="30"/>
    </row>
    <row r="169" spans="6:6" s="25" customFormat="1" hidden="1">
      <c r="F169" s="30"/>
    </row>
    <row r="170" spans="6:6" s="25" customFormat="1" hidden="1">
      <c r="F170" s="30"/>
    </row>
    <row r="171" spans="6:6" s="25" customFormat="1" hidden="1">
      <c r="F171" s="30"/>
    </row>
    <row r="172" spans="6:6" s="25" customFormat="1" hidden="1">
      <c r="F172" s="30"/>
    </row>
    <row r="173" spans="6:6" s="25" customFormat="1" hidden="1">
      <c r="F173" s="30"/>
    </row>
    <row r="174" spans="6:6" s="25" customFormat="1" hidden="1">
      <c r="F174" s="30"/>
    </row>
    <row r="175" spans="6:6" s="25" customFormat="1" hidden="1">
      <c r="F175" s="30"/>
    </row>
    <row r="176" spans="6:6" s="25" customFormat="1" hidden="1">
      <c r="F176" s="30"/>
    </row>
    <row r="177" spans="6:6" s="25" customFormat="1" hidden="1">
      <c r="F177" s="30"/>
    </row>
    <row r="178" spans="6:6" s="25" customFormat="1" hidden="1">
      <c r="F178" s="30"/>
    </row>
    <row r="179" spans="6:6" s="25" customFormat="1" hidden="1">
      <c r="F179" s="30"/>
    </row>
    <row r="180" spans="6:6" s="25" customFormat="1" hidden="1">
      <c r="F180" s="30"/>
    </row>
    <row r="181" spans="6:6" s="25" customFormat="1" hidden="1">
      <c r="F181" s="30"/>
    </row>
    <row r="182" spans="6:6" s="25" customFormat="1" hidden="1">
      <c r="F182" s="30"/>
    </row>
    <row r="183" spans="6:6" s="25" customFormat="1" hidden="1">
      <c r="F183" s="30"/>
    </row>
    <row r="184" spans="6:6" s="25" customFormat="1" hidden="1">
      <c r="F184" s="30"/>
    </row>
    <row r="185" spans="6:6" s="25" customFormat="1" hidden="1">
      <c r="F185" s="30"/>
    </row>
    <row r="186" spans="6:6" s="25" customFormat="1" hidden="1">
      <c r="F186" s="30"/>
    </row>
    <row r="187" spans="6:6" s="25" customFormat="1" hidden="1">
      <c r="F187" s="30"/>
    </row>
    <row r="188" spans="6:6" s="25" customFormat="1" hidden="1">
      <c r="F188" s="30"/>
    </row>
    <row r="189" spans="6:6" s="25" customFormat="1" hidden="1">
      <c r="F189" s="30"/>
    </row>
    <row r="190" spans="6:6" s="25" customFormat="1" hidden="1">
      <c r="F190" s="30"/>
    </row>
    <row r="191" spans="6:6" s="25" customFormat="1" hidden="1">
      <c r="F191" s="30"/>
    </row>
    <row r="192" spans="6:6" s="25" customFormat="1" hidden="1">
      <c r="F192" s="30"/>
    </row>
    <row r="193" spans="6:6" s="25" customFormat="1" hidden="1">
      <c r="F193" s="30"/>
    </row>
    <row r="194" spans="6:6" s="25" customFormat="1" hidden="1">
      <c r="F194" s="30"/>
    </row>
    <row r="195" spans="6:6" s="25" customFormat="1" hidden="1">
      <c r="F195" s="30"/>
    </row>
    <row r="196" spans="6:6" s="25" customFormat="1" hidden="1">
      <c r="F196" s="30"/>
    </row>
    <row r="197" spans="6:6" s="25" customFormat="1" hidden="1">
      <c r="F197" s="30"/>
    </row>
    <row r="198" spans="6:6" s="25" customFormat="1" hidden="1">
      <c r="F198" s="30"/>
    </row>
    <row r="199" spans="6:6" s="25" customFormat="1" hidden="1">
      <c r="F199" s="30"/>
    </row>
    <row r="200" spans="6:6" s="25" customFormat="1" hidden="1">
      <c r="F200" s="30"/>
    </row>
    <row r="201" spans="6:6" s="25" customFormat="1" hidden="1">
      <c r="F201" s="30"/>
    </row>
    <row r="202" spans="6:6" s="25" customFormat="1" hidden="1">
      <c r="F202" s="30"/>
    </row>
    <row r="203" spans="6:6" s="25" customFormat="1" hidden="1">
      <c r="F203" s="30"/>
    </row>
    <row r="204" spans="6:6" s="25" customFormat="1" hidden="1">
      <c r="F204" s="30"/>
    </row>
    <row r="205" spans="6:6" s="25" customFormat="1" hidden="1">
      <c r="F205" s="30"/>
    </row>
    <row r="206" spans="6:6" s="25" customFormat="1" hidden="1">
      <c r="F206" s="30"/>
    </row>
    <row r="207" spans="6:6" s="25" customFormat="1" hidden="1">
      <c r="F207" s="30"/>
    </row>
    <row r="208" spans="6:6" s="25" customFormat="1" hidden="1">
      <c r="F208" s="30"/>
    </row>
    <row r="209" spans="6:6" s="25" customFormat="1" hidden="1">
      <c r="F209" s="30"/>
    </row>
    <row r="210" spans="6:6" s="25" customFormat="1" hidden="1">
      <c r="F210" s="30"/>
    </row>
    <row r="211" spans="6:6" s="25" customFormat="1" hidden="1">
      <c r="F211" s="30"/>
    </row>
    <row r="212" spans="6:6" s="25" customFormat="1" hidden="1">
      <c r="F212" s="30"/>
    </row>
    <row r="213" spans="6:6" s="25" customFormat="1" hidden="1">
      <c r="F213" s="30"/>
    </row>
    <row r="214" spans="6:6" s="25" customFormat="1" hidden="1">
      <c r="F214" s="30"/>
    </row>
    <row r="215" spans="6:6" s="25" customFormat="1" hidden="1">
      <c r="F215" s="30"/>
    </row>
    <row r="216" spans="6:6" s="25" customFormat="1" hidden="1">
      <c r="F216" s="30"/>
    </row>
    <row r="217" spans="6:6" s="25" customFormat="1" hidden="1">
      <c r="F217" s="30"/>
    </row>
    <row r="218" spans="6:6" s="25" customFormat="1" hidden="1">
      <c r="F218" s="30"/>
    </row>
    <row r="219" spans="6:6" s="25" customFormat="1" hidden="1">
      <c r="F219" s="30"/>
    </row>
    <row r="220" spans="6:6" s="25" customFormat="1" hidden="1">
      <c r="F220" s="30"/>
    </row>
    <row r="221" spans="6:6" s="25" customFormat="1" hidden="1">
      <c r="F221" s="30"/>
    </row>
    <row r="222" spans="6:6" s="25" customFormat="1" hidden="1">
      <c r="F222" s="30"/>
    </row>
    <row r="223" spans="6:6" s="25" customFormat="1" hidden="1">
      <c r="F223" s="30"/>
    </row>
    <row r="224" spans="6:6" s="25" customFormat="1" hidden="1">
      <c r="F224" s="30"/>
    </row>
    <row r="225" spans="6:6" s="25" customFormat="1" hidden="1">
      <c r="F225" s="30"/>
    </row>
    <row r="226" spans="6:6" s="25" customFormat="1" hidden="1">
      <c r="F226" s="30"/>
    </row>
    <row r="227" spans="6:6" s="25" customFormat="1" hidden="1">
      <c r="F227" s="30"/>
    </row>
    <row r="228" spans="6:6" s="25" customFormat="1" hidden="1">
      <c r="F228" s="30"/>
    </row>
    <row r="229" spans="6:6" s="25" customFormat="1" hidden="1">
      <c r="F229" s="30"/>
    </row>
    <row r="230" spans="6:6" s="25" customFormat="1" hidden="1">
      <c r="F230" s="30"/>
    </row>
    <row r="231" spans="6:6" s="25" customFormat="1" hidden="1">
      <c r="F231" s="30"/>
    </row>
    <row r="232" spans="6:6" s="25" customFormat="1" hidden="1">
      <c r="F232" s="30"/>
    </row>
    <row r="233" spans="6:6" s="25" customFormat="1" hidden="1">
      <c r="F233" s="30"/>
    </row>
    <row r="234" spans="6:6" s="25" customFormat="1" hidden="1">
      <c r="F234" s="30"/>
    </row>
    <row r="235" spans="6:6" s="25" customFormat="1" hidden="1">
      <c r="F235" s="30"/>
    </row>
    <row r="236" spans="6:6" s="25" customFormat="1" hidden="1">
      <c r="F236" s="30"/>
    </row>
    <row r="237" spans="6:6" s="25" customFormat="1" hidden="1">
      <c r="F237" s="30"/>
    </row>
    <row r="238" spans="6:6" s="25" customFormat="1" hidden="1">
      <c r="F238" s="30"/>
    </row>
    <row r="239" spans="6:6" s="25" customFormat="1" hidden="1">
      <c r="F239" s="30"/>
    </row>
    <row r="240" spans="6:6" s="25" customFormat="1" hidden="1">
      <c r="F240" s="30"/>
    </row>
    <row r="241" spans="6:6" s="25" customFormat="1" hidden="1">
      <c r="F241" s="30"/>
    </row>
    <row r="242" spans="6:6" s="25" customFormat="1" hidden="1">
      <c r="F242" s="30"/>
    </row>
    <row r="243" spans="6:6" s="25" customFormat="1" hidden="1">
      <c r="F243" s="30"/>
    </row>
    <row r="244" spans="6:6" s="25" customFormat="1" hidden="1">
      <c r="F244" s="30"/>
    </row>
    <row r="245" spans="6:6" s="25" customFormat="1" hidden="1">
      <c r="F245" s="30"/>
    </row>
    <row r="246" spans="6:6" s="25" customFormat="1" hidden="1">
      <c r="F246" s="30"/>
    </row>
    <row r="247" spans="6:6" s="25" customFormat="1" hidden="1">
      <c r="F247" s="30"/>
    </row>
    <row r="248" spans="6:6" s="25" customFormat="1" hidden="1">
      <c r="F248" s="30"/>
    </row>
    <row r="249" spans="6:6" s="25" customFormat="1" hidden="1">
      <c r="F249" s="30"/>
    </row>
    <row r="250" spans="6:6" s="25" customFormat="1" hidden="1">
      <c r="F250" s="30"/>
    </row>
    <row r="251" spans="6:6" s="25" customFormat="1" hidden="1">
      <c r="F251" s="30"/>
    </row>
    <row r="252" spans="6:6" s="25" customFormat="1" hidden="1">
      <c r="F252" s="30"/>
    </row>
    <row r="253" spans="6:6" s="25" customFormat="1" hidden="1">
      <c r="F253" s="30"/>
    </row>
    <row r="254" spans="6:6" s="25" customFormat="1" hidden="1">
      <c r="F254" s="30"/>
    </row>
    <row r="255" spans="6:6" s="25" customFormat="1" hidden="1">
      <c r="F255" s="30"/>
    </row>
    <row r="256" spans="6:6" s="25" customFormat="1" hidden="1">
      <c r="F256" s="30"/>
    </row>
  </sheetData>
  <sheetProtection algorithmName="SHA-512" hashValue="M0vamWUO6Ba0Jv28Zb53xcqmwPS/K9TsBhjHTu9AtUc9+P9gn8tozImexPH3ZRV5zzaOQwin7rcYg+l5IgTfpQ==" saltValue="vgS1ZTqvWCKbRwqoABSWxQ==" spinCount="100000" sheet="1" objects="1" scenarios="1" selectLockedCells="1" selectUnlockedCells="1"/>
  <mergeCells count="11">
    <mergeCell ref="B16:F16"/>
    <mergeCell ref="B10:F10"/>
    <mergeCell ref="A10:A11"/>
    <mergeCell ref="A2:B2"/>
    <mergeCell ref="C1:F1"/>
    <mergeCell ref="A3:A9"/>
    <mergeCell ref="C12:F12"/>
    <mergeCell ref="A12:A15"/>
    <mergeCell ref="C13:F13"/>
    <mergeCell ref="C14:F14"/>
    <mergeCell ref="C15:F15"/>
  </mergeCells>
  <printOptions horizontalCentered="1" gridLines="1"/>
  <pageMargins left="0.5" right="0.5" top="0.5" bottom="0.5" header="0.25" footer="0.25"/>
  <pageSetup scale="76" fitToHeight="0" orientation="landscape" r:id="rId1"/>
  <headerFooter alignWithMargins="0">
    <oddHeader>&amp;C&amp;F</oddHeader>
    <oddFooter>&amp;L&amp;A&amp;C&amp;P of &amp;N</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pageSetUpPr fitToPage="1"/>
  </sheetPr>
  <dimension ref="A1:XFC109"/>
  <sheetViews>
    <sheetView zoomScaleNormal="100" workbookViewId="0">
      <pane ySplit="1" topLeftCell="A8" activePane="bottomLeft" state="frozen"/>
      <selection activeCell="C41" sqref="C41"/>
      <selection pane="bottomLeft" activeCell="A16" sqref="A16"/>
    </sheetView>
  </sheetViews>
  <sheetFormatPr defaultColWidth="0" defaultRowHeight="10" zeroHeight="1"/>
  <cols>
    <col min="1" max="1" width="10.26953125" style="13" customWidth="1"/>
    <col min="2" max="2" width="20.7265625" style="13" customWidth="1"/>
    <col min="3" max="3" width="121.453125" style="14" customWidth="1"/>
    <col min="4" max="4" width="3.7265625" style="13" customWidth="1"/>
    <col min="5" max="5" width="25.7265625" style="13" hidden="1"/>
    <col min="6" max="16383" width="23.26953125" style="13" hidden="1"/>
    <col min="16384" max="16384" width="9.7265625" style="13" hidden="1"/>
  </cols>
  <sheetData>
    <row r="1" spans="1:5" ht="15.5">
      <c r="A1" s="239" t="s">
        <v>135</v>
      </c>
      <c r="B1" s="239" t="s">
        <v>134</v>
      </c>
      <c r="C1" s="239" t="s">
        <v>67</v>
      </c>
      <c r="D1" s="51"/>
      <c r="E1" s="51"/>
    </row>
    <row r="2" spans="1:5" ht="12.5">
      <c r="A2" s="240" t="s">
        <v>611</v>
      </c>
      <c r="B2" s="241">
        <v>41948</v>
      </c>
      <c r="C2" s="232" t="s">
        <v>446</v>
      </c>
      <c r="D2" s="51"/>
      <c r="E2" s="51"/>
    </row>
    <row r="3" spans="1:5" ht="25">
      <c r="A3" s="240" t="s">
        <v>764</v>
      </c>
      <c r="B3" s="243">
        <v>41975</v>
      </c>
      <c r="C3" s="232" t="s">
        <v>765</v>
      </c>
      <c r="D3" s="51"/>
      <c r="E3" s="51"/>
    </row>
    <row r="4" spans="1:5" ht="25">
      <c r="A4" s="240" t="s">
        <v>850</v>
      </c>
      <c r="B4" s="243">
        <v>42114</v>
      </c>
      <c r="C4" s="232" t="s">
        <v>957</v>
      </c>
      <c r="D4" s="51"/>
      <c r="E4" s="51"/>
    </row>
    <row r="5" spans="1:5" ht="12.5">
      <c r="A5" s="240" t="s">
        <v>1698</v>
      </c>
      <c r="B5" s="243">
        <v>42121</v>
      </c>
      <c r="C5" s="232" t="s">
        <v>1823</v>
      </c>
      <c r="D5" s="51"/>
      <c r="E5" s="51"/>
    </row>
    <row r="6" spans="1:5" ht="100">
      <c r="A6" s="240" t="s">
        <v>1733</v>
      </c>
      <c r="B6" s="354">
        <v>42312</v>
      </c>
      <c r="C6" s="353" t="s">
        <v>1825</v>
      </c>
      <c r="D6" s="51"/>
      <c r="E6" s="51"/>
    </row>
    <row r="7" spans="1:5" ht="12.5">
      <c r="A7" s="240" t="s">
        <v>1826</v>
      </c>
      <c r="B7" s="354">
        <v>42318</v>
      </c>
      <c r="C7" s="353" t="s">
        <v>1824</v>
      </c>
      <c r="D7" s="51"/>
      <c r="E7" s="51"/>
    </row>
    <row r="8" spans="1:5" ht="113">
      <c r="A8" s="240" t="s">
        <v>1832</v>
      </c>
      <c r="B8" s="354">
        <v>42627</v>
      </c>
      <c r="C8" s="353" t="s">
        <v>1985</v>
      </c>
      <c r="D8" s="51"/>
      <c r="E8" s="51"/>
    </row>
    <row r="9" spans="1:5" ht="50">
      <c r="A9" s="240" t="s">
        <v>1967</v>
      </c>
      <c r="B9" s="354">
        <v>42650</v>
      </c>
      <c r="C9" s="353" t="s">
        <v>1986</v>
      </c>
      <c r="D9" s="51"/>
      <c r="E9" s="51"/>
    </row>
    <row r="10" spans="1:5" ht="50">
      <c r="A10" s="240" t="s">
        <v>2010</v>
      </c>
      <c r="B10" s="354">
        <v>42725</v>
      </c>
      <c r="C10" s="353" t="s">
        <v>2011</v>
      </c>
      <c r="D10" s="51"/>
      <c r="E10" s="51"/>
    </row>
    <row r="11" spans="1:5" ht="37.5">
      <c r="A11" s="240" t="s">
        <v>2411</v>
      </c>
      <c r="B11" s="354">
        <v>42780</v>
      </c>
      <c r="C11" s="353" t="s">
        <v>2419</v>
      </c>
      <c r="D11" s="51"/>
      <c r="E11" s="51"/>
    </row>
    <row r="12" spans="1:5" ht="12.5">
      <c r="A12" s="240" t="s">
        <v>2411</v>
      </c>
      <c r="B12" s="354">
        <v>42814</v>
      </c>
      <c r="C12" s="353" t="s">
        <v>2454</v>
      </c>
      <c r="D12" s="51"/>
      <c r="E12" s="51"/>
    </row>
    <row r="13" spans="1:5" ht="12.5">
      <c r="A13" s="240" t="s">
        <v>2411</v>
      </c>
      <c r="B13" s="354">
        <v>42828</v>
      </c>
      <c r="C13" s="353" t="s">
        <v>2455</v>
      </c>
      <c r="D13" s="51"/>
      <c r="E13" s="51"/>
    </row>
    <row r="14" spans="1:5" ht="12.5">
      <c r="A14" s="240" t="s">
        <v>2411</v>
      </c>
      <c r="B14" s="354">
        <v>42845</v>
      </c>
      <c r="C14" s="353" t="s">
        <v>2461</v>
      </c>
      <c r="D14" s="51"/>
      <c r="E14" s="51"/>
    </row>
    <row r="15" spans="1:5" ht="162.5">
      <c r="A15" s="240" t="s">
        <v>2664</v>
      </c>
      <c r="B15" s="354">
        <v>43013</v>
      </c>
      <c r="C15" s="353" t="s">
        <v>2690</v>
      </c>
      <c r="D15" s="51"/>
      <c r="E15" s="51"/>
    </row>
    <row r="16" spans="1:5" ht="12.5">
      <c r="A16" s="244"/>
      <c r="B16" s="243"/>
      <c r="C16" s="232"/>
      <c r="D16" s="51"/>
      <c r="E16" s="51"/>
    </row>
    <row r="17" spans="1:5" ht="12.5">
      <c r="A17" s="244"/>
      <c r="B17" s="243"/>
      <c r="C17" s="232"/>
      <c r="D17" s="51"/>
      <c r="E17" s="51"/>
    </row>
    <row r="18" spans="1:5" ht="12.5">
      <c r="A18" s="244"/>
      <c r="B18" s="243"/>
      <c r="C18" s="232"/>
      <c r="D18" s="51"/>
      <c r="E18" s="51"/>
    </row>
    <row r="19" spans="1:5" ht="12.5">
      <c r="A19" s="242"/>
      <c r="B19" s="245"/>
      <c r="C19" s="233"/>
      <c r="D19" s="51"/>
      <c r="E19" s="51"/>
    </row>
    <row r="20" spans="1:5" ht="12.5">
      <c r="A20" s="235"/>
      <c r="B20" s="235"/>
      <c r="C20" s="235"/>
      <c r="D20" s="51"/>
      <c r="E20" s="51"/>
    </row>
    <row r="21" spans="1:5" ht="28">
      <c r="A21" s="350"/>
      <c r="B21" s="351" t="s">
        <v>1822</v>
      </c>
      <c r="C21" s="352" t="s">
        <v>1833</v>
      </c>
      <c r="D21" s="51"/>
      <c r="E21" s="51"/>
    </row>
    <row r="22" spans="1:5" ht="12.5">
      <c r="A22" s="235"/>
      <c r="B22" s="235"/>
      <c r="C22" s="235"/>
      <c r="D22" s="51"/>
      <c r="E22" s="51"/>
    </row>
    <row r="23" spans="1:5" ht="12.5">
      <c r="A23" s="235"/>
      <c r="B23" s="235"/>
      <c r="C23" s="235"/>
      <c r="D23" s="51"/>
      <c r="E23" s="51"/>
    </row>
    <row r="24" spans="1:5" ht="12.5">
      <c r="A24" s="235"/>
      <c r="B24" s="235"/>
      <c r="C24" s="235"/>
      <c r="D24" s="51"/>
      <c r="E24" s="51"/>
    </row>
    <row r="25" spans="1:5" ht="12.5">
      <c r="A25" s="235"/>
      <c r="B25" s="235"/>
      <c r="C25" s="235"/>
      <c r="D25" s="51"/>
      <c r="E25" s="51"/>
    </row>
    <row r="26" spans="1:5" ht="12.5">
      <c r="A26" s="246"/>
      <c r="B26" s="246"/>
      <c r="C26" s="234"/>
      <c r="D26" s="64">
        <f>INPUT!AD623+INPUT!AH623+INPUT!AK623+INPUT!AN623+INPUT!AQ623+INPUT!AR623</f>
        <v>0</v>
      </c>
      <c r="E26" s="51"/>
    </row>
    <row r="27" spans="1:5" ht="15" customHeight="1">
      <c r="A27" s="247" t="str">
        <f>VLOOKUP("latest",A2:A26,1)</f>
        <v>4.0</v>
      </c>
      <c r="B27" s="248" t="s">
        <v>64</v>
      </c>
      <c r="C27" s="238" t="str">
        <f>CONCATENATE("INPUT tab Header =    ",+INPUT!V1)</f>
        <v>INPUT tab Header =    Version 4.0</v>
      </c>
      <c r="D27" s="51"/>
      <c r="E27" s="51"/>
    </row>
    <row r="28" spans="1:5" ht="15" customHeight="1">
      <c r="A28" s="236"/>
      <c r="B28" s="237"/>
      <c r="C28" s="238" t="s">
        <v>445</v>
      </c>
      <c r="D28" s="51"/>
      <c r="E28" s="51"/>
    </row>
    <row r="29" spans="1:5" ht="20.149999999999999" customHeight="1">
      <c r="A29" s="51"/>
      <c r="B29" s="51"/>
      <c r="C29" s="52"/>
      <c r="D29" s="51"/>
      <c r="E29" s="51"/>
    </row>
    <row r="30" spans="1:5" ht="12.5" hidden="1">
      <c r="A30" s="51"/>
      <c r="B30" s="51"/>
      <c r="C30" s="52"/>
      <c r="D30" s="51"/>
      <c r="E30" s="65">
        <f>SUM(INPUT!AG61:AG550)</f>
        <v>1</v>
      </c>
    </row>
    <row r="59" spans="15:15" hidden="1">
      <c r="O59" s="60" t="s">
        <v>63</v>
      </c>
    </row>
    <row r="84" spans="19:19" hidden="1">
      <c r="S84" s="55" t="s">
        <v>20</v>
      </c>
    </row>
    <row r="108" spans="24:25" ht="12.5" hidden="1">
      <c r="X108" s="38" t="s">
        <v>100</v>
      </c>
    </row>
    <row r="109" spans="24:25" ht="12.5" hidden="1">
      <c r="Y109" s="38" t="s">
        <v>65</v>
      </c>
    </row>
  </sheetData>
  <sheetProtection algorithmName="SHA-512" hashValue="bNK2G3+6zj0zo2qxgwvHvMZfdadWBYUUmGvC+AEwWC+5mTd82c0xFPJH20t7eeWvUvOFdo4iD41HE3rY+aYJxg==" saltValue="oO5qxhujXYh+Z9W0F3dHJA==" spinCount="100000" sheet="1" objects="1" scenarios="1" selectLockedCells="1" selectUnlockedCells="1"/>
  <phoneticPr fontId="0" type="noConversion"/>
  <conditionalFormatting sqref="A20 A22:A25">
    <cfRule type="expression" dxfId="1" priority="98" stopIfTrue="1">
      <formula>IF(RIGHT(XFC20,3)&lt;&gt;XFA20,2,0)</formula>
    </cfRule>
  </conditionalFormatting>
  <conditionalFormatting sqref="B20:C20 B22:C25">
    <cfRule type="expression" dxfId="0" priority="97" stopIfTrue="1">
      <formula>IF(RIGHT(A20,3)&lt;&gt;XFB20,2,0)</formula>
    </cfRule>
  </conditionalFormatting>
  <printOptions horizontalCentered="1"/>
  <pageMargins left="0.25" right="0.25" top="0.93" bottom="0.75" header="0.47" footer="0.25"/>
  <pageSetup fitToHeight="0" orientation="landscape" r:id="rId1"/>
  <headerFooter alignWithMargins="0">
    <oddHeader>&amp;C&amp;"Arial,Bold"CoSC MAC Pricing Form
Change History</oddHeader>
    <oddFooter>&amp;L&amp;"Arial,Bold"&amp;8&amp;F&amp;R&amp;"Arial,Bold"Page &amp;P of &amp;N</oddFooter>
  </headerFooter>
  <ignoredErrors>
    <ignoredError sqref="D16:IU16 D8:IU15 A16:A20 A22:A24" numberStoredAsText="1"/>
    <ignoredError sqref="A27" evalError="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54</vt:i4>
      </vt:variant>
    </vt:vector>
  </HeadingPairs>
  <TitlesOfParts>
    <vt:vector size="68" baseType="lpstr">
      <vt:lpstr>INPUT</vt:lpstr>
      <vt:lpstr>Project Mgmt Hours</vt:lpstr>
      <vt:lpstr>Previously Awarded</vt:lpstr>
      <vt:lpstr>Data</vt:lpstr>
      <vt:lpstr>Previously Awarded Warranty</vt:lpstr>
      <vt:lpstr>Labor (NGEN)</vt:lpstr>
      <vt:lpstr>Wall Plugs</vt:lpstr>
      <vt:lpstr>ISP-OSP</vt:lpstr>
      <vt:lpstr>Facilities</vt:lpstr>
      <vt:lpstr>Misc Materials</vt:lpstr>
      <vt:lpstr>HW</vt:lpstr>
      <vt:lpstr>HW Installation</vt:lpstr>
      <vt:lpstr>HW Uninstalls</vt:lpstr>
      <vt:lpstr>Change History</vt:lpstr>
      <vt:lpstr>ALLcats</vt:lpstr>
      <vt:lpstr>BAN_LAN_Price</vt:lpstr>
      <vt:lpstr>BANnoNpriced</vt:lpstr>
      <vt:lpstr>BANprevpriced</vt:lpstr>
      <vt:lpstr>BANpriced</vt:lpstr>
      <vt:lpstr>CABnoNpriced</vt:lpstr>
      <vt:lpstr>CABpriced</vt:lpstr>
      <vt:lpstr>CBRE</vt:lpstr>
      <vt:lpstr>Clin5000Rates</vt:lpstr>
      <vt:lpstr>Facilities_Tasks</vt:lpstr>
      <vt:lpstr>Facilities_Tasks_Price</vt:lpstr>
      <vt:lpstr>FiscalYear</vt:lpstr>
      <vt:lpstr>FiscalYearTable</vt:lpstr>
      <vt:lpstr>GP_Reuse</vt:lpstr>
      <vt:lpstr>Hardware_Only</vt:lpstr>
      <vt:lpstr>HW_Desc_Model</vt:lpstr>
      <vt:lpstr>HW_Desc_Model_Price</vt:lpstr>
      <vt:lpstr>HW_Description</vt:lpstr>
      <vt:lpstr>HWnoNpriced</vt:lpstr>
      <vt:lpstr>HWprevpriced</vt:lpstr>
      <vt:lpstr>HWpriced</vt:lpstr>
      <vt:lpstr>ISP_OSP_Price</vt:lpstr>
      <vt:lpstr>ISP_OSP_Tasks</vt:lpstr>
      <vt:lpstr>ISP_OSP_Tasks_Price</vt:lpstr>
      <vt:lpstr>ISPnoNpriced</vt:lpstr>
      <vt:lpstr>ISPpriced</vt:lpstr>
      <vt:lpstr>ISPtbd</vt:lpstr>
      <vt:lpstr>JobTitle</vt:lpstr>
      <vt:lpstr>LABOR</vt:lpstr>
      <vt:lpstr>Misc_Mrtls</vt:lpstr>
      <vt:lpstr>Misc_Mrtls_Price</vt:lpstr>
      <vt:lpstr>MMPriced</vt:lpstr>
      <vt:lpstr>ODCnoNpriced</vt:lpstr>
      <vt:lpstr>PAHW_Desc_Install_Price</vt:lpstr>
      <vt:lpstr>PAHW_Desc_Model</vt:lpstr>
      <vt:lpstr>PAHW_Desc_Prev_RAP</vt:lpstr>
      <vt:lpstr>PAHW_Desc_Price</vt:lpstr>
      <vt:lpstr>PAHW_Desc_Vendor</vt:lpstr>
      <vt:lpstr>PAHW_Description</vt:lpstr>
      <vt:lpstr>PAHWM_Desc_Model</vt:lpstr>
      <vt:lpstr>PAHWM_Desc_Prev_RAP</vt:lpstr>
      <vt:lpstr>PAHWM_Desc_Price</vt:lpstr>
      <vt:lpstr>PAHWM_Desc_Vendor</vt:lpstr>
      <vt:lpstr>PAHWM_Description</vt:lpstr>
      <vt:lpstr>INPUT!Print_Area</vt:lpstr>
      <vt:lpstr>Facilities!Print_Titles</vt:lpstr>
      <vt:lpstr>'ISP-OSP'!Print_Titles</vt:lpstr>
      <vt:lpstr>'Labor (NGEN)'!Print_Titles</vt:lpstr>
      <vt:lpstr>UNINpriced</vt:lpstr>
      <vt:lpstr>Uninstall_Category</vt:lpstr>
      <vt:lpstr>Uninstall_Pricing</vt:lpstr>
      <vt:lpstr>Uninstall_Scenario</vt:lpstr>
      <vt:lpstr>Uninstall_Scenario_Table</vt:lpstr>
      <vt:lpstr>WallPlug</vt:lpstr>
    </vt:vector>
  </TitlesOfParts>
  <Company>HPE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NGEN Pricing Template for CLIN 6AG</dc:title>
  <dc:creator>Bud Barlow, Jeff Sampson, Doug Stone</dc:creator>
  <cp:lastModifiedBy>David Kerr</cp:lastModifiedBy>
  <cp:lastPrinted>2017-06-27T15:31:42Z</cp:lastPrinted>
  <dcterms:created xsi:type="dcterms:W3CDTF">2004-09-11T14:28:43Z</dcterms:created>
  <dcterms:modified xsi:type="dcterms:W3CDTF">2025-09-01T01:09:53Z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